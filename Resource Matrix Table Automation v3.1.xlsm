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A0382D5F-BFBE-45AD-A526-8BFBA08C4271}" xr6:coauthVersionLast="47" xr6:coauthVersionMax="47" xr10:uidLastSave="{00000000-0000-0000-0000-000000000000}"/>
  <bookViews>
    <workbookView xWindow="-108" yWindow="-108" windowWidth="23256" windowHeight="12576" xr2:uid="{00000000-000D-0000-FFFF-FFFF00000000}"/>
  </bookViews>
  <sheets>
    <sheet name="Client Summary" sheetId="9" r:id="rId1"/>
    <sheet name="Billable Staff Summary" sheetId="29" r:id="rId2"/>
    <sheet name="Staff Summary" sheetId="8" r:id="rId3"/>
    <sheet name="TS" sheetId="14" r:id="rId4"/>
    <sheet name="A" sheetId="21" state="hidden" r:id="rId5"/>
    <sheet name="Princess Halili" sheetId="30" r:id="rId6"/>
    <sheet name="Aileen Fajardo" sheetId="33" r:id="rId7"/>
    <sheet name="Rejie Montemor" sheetId="22" r:id="rId8"/>
    <sheet name="Ann Morei Narag" sheetId="5" r:id="rId9"/>
    <sheet name="Master" sheetId="13" state="hidden" r:id="rId10"/>
    <sheet name="Christine Chiu" sheetId="39" r:id="rId11"/>
    <sheet name="Efleda Reyes" sheetId="38" r:id="rId12"/>
    <sheet name="Neeti Gambhir" sheetId="37" r:id="rId13"/>
    <sheet name="Ma Angela Ibanez" sheetId="36" r:id="rId14"/>
    <sheet name="Irish Guia Medel" sheetId="35" r:id="rId15"/>
    <sheet name="Franz Xavier Cruz" sheetId="34" r:id="rId16"/>
    <sheet name="Gerardo Macawile" sheetId="32" r:id="rId17"/>
    <sheet name="Mary Ann Carpio" sheetId="31" r:id="rId18"/>
    <sheet name="PivotTS" sheetId="15" state="hidden" r:id="rId19"/>
    <sheet name="TEMP" sheetId="18" state="hidden" r:id="rId20"/>
    <sheet name="Jeric Rivera" sheetId="20" r:id="rId21"/>
    <sheet name="Jennica Felipe" sheetId="4" r:id="rId22"/>
    <sheet name="Jordan Martinez" sheetId="12" r:id="rId23"/>
    <sheet name="Marie Ann Ticzon" sheetId="23" r:id="rId24"/>
    <sheet name="Rachele Anne Nicdao" sheetId="24" r:id="rId25"/>
    <sheet name="Jimwelle Villon" sheetId="25" r:id="rId26"/>
    <sheet name="Sarah Angelica Medrano" sheetId="26" r:id="rId27"/>
    <sheet name="Lindsay Casero" sheetId="27" r:id="rId28"/>
    <sheet name="Client Name" sheetId="2" state="hidden" r:id="rId29"/>
  </sheets>
  <definedNames>
    <definedName name="_xlnm._FilterDatabase" localSheetId="3" hidden="1">TS!$A$1:$I$4535</definedName>
  </definedNames>
  <calcPr calcId="191028"/>
  <pivotCaches>
    <pivotCache cacheId="657"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9" i="8" l="1"/>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I10" i="8"/>
  <c r="I9" i="8"/>
  <c r="I8" i="8"/>
  <c r="I7" i="8"/>
  <c r="I6" i="8"/>
  <c r="I5" i="8"/>
  <c r="I4" i="8"/>
  <c r="I3" i="8"/>
  <c r="I2" i="8"/>
  <c r="I49" i="29"/>
  <c r="I48" i="29"/>
  <c r="I47" i="29"/>
  <c r="I46" i="29"/>
  <c r="I45" i="29"/>
  <c r="I44" i="29"/>
  <c r="I43" i="29"/>
  <c r="I42" i="29"/>
  <c r="I41" i="29"/>
  <c r="I40" i="29"/>
  <c r="I39" i="29"/>
  <c r="I38" i="29"/>
  <c r="I37" i="29"/>
  <c r="I36" i="29"/>
  <c r="I35" i="29"/>
  <c r="I34" i="29"/>
  <c r="I33" i="29"/>
  <c r="I32" i="29"/>
  <c r="I31" i="29"/>
  <c r="I30" i="29"/>
  <c r="I29" i="29"/>
  <c r="I28" i="29"/>
  <c r="I27" i="29"/>
  <c r="I26" i="29"/>
  <c r="I25" i="29"/>
  <c r="I24" i="29"/>
  <c r="I23" i="29"/>
  <c r="I22" i="29"/>
  <c r="I21" i="29"/>
  <c r="I20" i="29"/>
  <c r="I19" i="29"/>
  <c r="I18" i="29"/>
  <c r="I17" i="29"/>
  <c r="I16" i="29"/>
  <c r="I15" i="29"/>
  <c r="I14" i="29"/>
  <c r="I13" i="29"/>
  <c r="I12" i="29"/>
  <c r="I11" i="29"/>
  <c r="I10" i="29"/>
  <c r="I9" i="29"/>
  <c r="I8" i="29"/>
  <c r="I7" i="29"/>
  <c r="I6" i="29"/>
  <c r="I5" i="29"/>
  <c r="I4" i="29"/>
  <c r="I3" i="29"/>
  <c r="I2" i="29"/>
  <c r="B52" i="2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B52" i="8"/>
  <c r="AF19" i="27"/>
  <c r="AE19" i="27"/>
  <c r="AD19" i="27"/>
  <c r="AC19" i="27"/>
  <c r="AB19" i="27"/>
  <c r="Z19" i="27"/>
  <c r="U19" i="27"/>
  <c r="T19" i="27"/>
  <c r="S19" i="27"/>
  <c r="R19" i="27"/>
  <c r="P19" i="27"/>
  <c r="AF27" i="26"/>
  <c r="AE27" i="26"/>
  <c r="AD27" i="26"/>
  <c r="AC27" i="26"/>
  <c r="AB27" i="26"/>
  <c r="Z27" i="26"/>
  <c r="U27" i="26"/>
  <c r="T27" i="26"/>
  <c r="S27" i="26"/>
  <c r="R27" i="26"/>
  <c r="P27" i="26"/>
  <c r="AF21" i="25"/>
  <c r="AE21" i="25"/>
  <c r="AD21" i="25"/>
  <c r="AC21" i="25"/>
  <c r="AB21" i="25"/>
  <c r="Z21" i="25"/>
  <c r="U21" i="25"/>
  <c r="T21" i="25"/>
  <c r="S21" i="25"/>
  <c r="R21" i="25"/>
  <c r="P21" i="25"/>
  <c r="AF17" i="24"/>
  <c r="AE17" i="24"/>
  <c r="AD17" i="24"/>
  <c r="AC17" i="24"/>
  <c r="AB17" i="24"/>
  <c r="Z17" i="24"/>
  <c r="U17" i="24"/>
  <c r="T17" i="24"/>
  <c r="S17" i="24"/>
  <c r="R17" i="24"/>
  <c r="P17" i="24"/>
  <c r="AF15" i="23"/>
  <c r="AE15" i="23"/>
  <c r="AD15" i="23"/>
  <c r="AC15" i="23"/>
  <c r="AB15" i="23"/>
  <c r="Z15" i="23"/>
  <c r="U15" i="23"/>
  <c r="T15" i="23"/>
  <c r="S15" i="23"/>
  <c r="R15" i="23"/>
  <c r="P15" i="23"/>
  <c r="AF12" i="12"/>
  <c r="AE12" i="12"/>
  <c r="AD12" i="12"/>
  <c r="AC12" i="12"/>
  <c r="AB12" i="12"/>
  <c r="Z12" i="12"/>
  <c r="U12" i="12"/>
  <c r="T12" i="12"/>
  <c r="S12" i="12"/>
  <c r="R12" i="12"/>
  <c r="P12" i="12"/>
  <c r="AF30" i="4"/>
  <c r="AE30" i="4"/>
  <c r="AD30" i="4"/>
  <c r="AC30" i="4"/>
  <c r="AB30" i="4"/>
  <c r="Z30" i="4"/>
  <c r="U30" i="4"/>
  <c r="T30" i="4"/>
  <c r="S30" i="4"/>
  <c r="R30" i="4"/>
  <c r="P30" i="4"/>
  <c r="AF18" i="20"/>
  <c r="AE18" i="20"/>
  <c r="AD18" i="20"/>
  <c r="AC18" i="20"/>
  <c r="AB18" i="20"/>
  <c r="Z18" i="20"/>
  <c r="U18" i="20"/>
  <c r="T18" i="20"/>
  <c r="S18" i="20"/>
  <c r="R18" i="20"/>
  <c r="P18" i="20"/>
  <c r="AF18" i="31"/>
  <c r="AE18" i="31"/>
  <c r="AD18" i="31"/>
  <c r="AC18" i="31"/>
  <c r="AB18" i="31"/>
  <c r="Z18" i="31"/>
  <c r="U18" i="31"/>
  <c r="T18" i="31"/>
  <c r="S18" i="31"/>
  <c r="R18" i="31"/>
  <c r="P18" i="31"/>
  <c r="AF20" i="32"/>
  <c r="AE20" i="32"/>
  <c r="AD20" i="32"/>
  <c r="AC20" i="32"/>
  <c r="AB20" i="32"/>
  <c r="Z20" i="32"/>
  <c r="U20" i="32"/>
  <c r="T20" i="32"/>
  <c r="S20" i="32"/>
  <c r="R20" i="32"/>
  <c r="P20" i="32"/>
  <c r="AF34" i="34"/>
  <c r="AE34" i="34"/>
  <c r="AD34" i="34"/>
  <c r="AC34" i="34"/>
  <c r="AB34" i="34"/>
  <c r="Z34" i="34"/>
  <c r="U34" i="34"/>
  <c r="T34" i="34"/>
  <c r="S34" i="34"/>
  <c r="R34" i="34"/>
  <c r="P34" i="34"/>
  <c r="AF23" i="35"/>
  <c r="AE23" i="35"/>
  <c r="AD23" i="35"/>
  <c r="AC23" i="35"/>
  <c r="AB23" i="35"/>
  <c r="Z23" i="35"/>
  <c r="U23" i="35"/>
  <c r="T23" i="35"/>
  <c r="S23" i="35"/>
  <c r="R23" i="35"/>
  <c r="P23" i="35"/>
  <c r="AF15" i="36"/>
  <c r="AE15" i="36"/>
  <c r="AD15" i="36"/>
  <c r="AC15" i="36"/>
  <c r="AB15" i="36"/>
  <c r="Z15" i="36"/>
  <c r="U15" i="36"/>
  <c r="T15" i="36"/>
  <c r="S15" i="36"/>
  <c r="R15" i="36"/>
  <c r="P15" i="36"/>
  <c r="AF20" i="37"/>
  <c r="AE20" i="37"/>
  <c r="AD20" i="37"/>
  <c r="AC20" i="37"/>
  <c r="AB20" i="37"/>
  <c r="Z20" i="37"/>
  <c r="U20" i="37"/>
  <c r="T20" i="37"/>
  <c r="S20" i="37"/>
  <c r="R20" i="37"/>
  <c r="P20" i="37"/>
  <c r="AF34" i="38"/>
  <c r="AE34" i="38"/>
  <c r="AD34" i="38"/>
  <c r="AC34" i="38"/>
  <c r="AB34" i="38"/>
  <c r="Z34" i="38"/>
  <c r="U34" i="38"/>
  <c r="T34" i="38"/>
  <c r="S34" i="38"/>
  <c r="R34" i="38"/>
  <c r="P34" i="38"/>
  <c r="AF29" i="39"/>
  <c r="AE29" i="39"/>
  <c r="AD29" i="39"/>
  <c r="AC29" i="39"/>
  <c r="AB29" i="39"/>
  <c r="Z29" i="39"/>
  <c r="U29" i="39"/>
  <c r="T29" i="39"/>
  <c r="S29" i="39"/>
  <c r="R29" i="39"/>
  <c r="P29" i="39"/>
  <c r="AF19" i="5"/>
  <c r="AE19" i="5"/>
  <c r="AD19" i="5"/>
  <c r="AC19" i="5"/>
  <c r="AB19" i="5"/>
  <c r="Z19" i="5"/>
  <c r="U19" i="5"/>
  <c r="T19" i="5"/>
  <c r="S19" i="5"/>
  <c r="R19" i="5"/>
  <c r="P19" i="5"/>
  <c r="AF13" i="22"/>
  <c r="AE13" i="22"/>
  <c r="AD13" i="22"/>
  <c r="AC13" i="22"/>
  <c r="AB13" i="22"/>
  <c r="Z13" i="22"/>
  <c r="U13" i="22"/>
  <c r="T13" i="22"/>
  <c r="S13" i="22"/>
  <c r="R13" i="22"/>
  <c r="P13" i="22"/>
  <c r="AF29" i="33"/>
  <c r="AE29" i="33"/>
  <c r="AD29" i="33"/>
  <c r="AC29" i="33"/>
  <c r="AB29" i="33"/>
  <c r="Z29" i="33"/>
  <c r="U29" i="33"/>
  <c r="T29" i="33"/>
  <c r="S29" i="33"/>
  <c r="R29" i="33"/>
  <c r="P29" i="33"/>
  <c r="AF18" i="30"/>
  <c r="AE18" i="30"/>
  <c r="AD18" i="30"/>
  <c r="AC18" i="30"/>
  <c r="AB18" i="30"/>
  <c r="Z18" i="30"/>
  <c r="U18" i="30"/>
  <c r="T18" i="30"/>
  <c r="S18" i="30"/>
  <c r="R18" i="30"/>
  <c r="P18" i="30"/>
  <c r="C84" i="2"/>
  <c r="C70" i="2"/>
  <c r="G4205" i="14"/>
  <c r="G3744" i="14"/>
  <c r="G3743" i="14"/>
  <c r="G3742" i="14"/>
  <c r="G3550" i="14"/>
  <c r="G3349" i="14"/>
  <c r="G3348" i="14"/>
  <c r="G3347" i="14"/>
  <c r="G3346" i="14"/>
  <c r="G3101" i="14"/>
  <c r="G3100" i="14"/>
  <c r="G3099" i="14"/>
  <c r="G3098" i="14"/>
  <c r="G2886" i="14"/>
  <c r="G2726" i="14"/>
  <c r="G2668" i="14"/>
  <c r="G2667" i="14"/>
  <c r="G2455" i="14"/>
  <c r="G2213" i="14"/>
  <c r="G2212" i="14"/>
  <c r="G2211" i="14"/>
  <c r="G2210" i="14"/>
  <c r="G2131" i="14"/>
  <c r="G1962" i="14"/>
  <c r="G1961" i="14"/>
  <c r="G1780" i="14"/>
  <c r="G1779" i="14"/>
  <c r="G1706" i="14"/>
  <c r="G1705" i="14"/>
  <c r="G1640" i="14"/>
  <c r="G1638" i="14"/>
  <c r="G1453" i="14"/>
  <c r="G1292" i="14"/>
  <c r="G1291" i="14"/>
  <c r="G1290" i="14"/>
  <c r="G1211" i="14"/>
  <c r="G1210" i="14"/>
  <c r="G1209" i="14"/>
  <c r="G1208" i="14"/>
  <c r="G1207" i="14"/>
  <c r="G1018" i="14"/>
  <c r="G966" i="14"/>
  <c r="G965" i="14"/>
  <c r="G734" i="14"/>
  <c r="G733" i="14"/>
  <c r="G560" i="14"/>
  <c r="G506" i="14"/>
  <c r="G505" i="14"/>
  <c r="G326" i="14"/>
  <c r="G325" i="14"/>
  <c r="G324" i="14"/>
  <c r="G275" i="14"/>
  <c r="G274" i="14"/>
  <c r="G70" i="14"/>
</calcChain>
</file>

<file path=xl/sharedStrings.xml><?xml version="1.0" encoding="utf-8"?>
<sst xmlns="http://schemas.openxmlformats.org/spreadsheetml/2006/main" count="38753" uniqueCount="4034">
  <si>
    <t>Client</t>
  </si>
  <si>
    <t>Total Monthly Budgeted Hours</t>
  </si>
  <si>
    <t>W1 Total</t>
  </si>
  <si>
    <t>W2 Total</t>
  </si>
  <si>
    <t>W3 Total</t>
  </si>
  <si>
    <t>W4 Total</t>
  </si>
  <si>
    <t>Staff Name</t>
  </si>
  <si>
    <t>Difference</t>
  </si>
  <si>
    <t>Actuals Total</t>
  </si>
  <si>
    <t>W5 Total</t>
  </si>
  <si>
    <t>Name</t>
  </si>
  <si>
    <t>Capacity</t>
  </si>
  <si>
    <t>Extra Capacity</t>
  </si>
  <si>
    <t>Week 1</t>
  </si>
  <si>
    <t>Week 2</t>
  </si>
  <si>
    <t>Week 3</t>
  </si>
  <si>
    <t>Week 4</t>
  </si>
  <si>
    <t>Actuals</t>
  </si>
  <si>
    <t>Week 5</t>
  </si>
  <si>
    <t>[Time] Date</t>
  </si>
  <si>
    <t>[Staff] Name</t>
  </si>
  <si>
    <t>[Task] Name + Label</t>
  </si>
  <si>
    <t>[Time] Time (Totalled)</t>
  </si>
  <si>
    <t>[Job] Billing Details</t>
  </si>
  <si>
    <t>[Time] Billable</t>
  </si>
  <si>
    <t>[Time] Note</t>
  </si>
  <si>
    <t>[Week] Week</t>
  </si>
  <si>
    <t>[Day] Day</t>
  </si>
  <si>
    <t>Aileen Fajardo</t>
  </si>
  <si>
    <t>Bookkeeping</t>
  </si>
  <si>
    <t>Tasman Agri Pty Ltd</t>
  </si>
  <si>
    <t>Yes</t>
  </si>
  <si>
    <t>Email</t>
  </si>
  <si>
    <t>Friday</t>
  </si>
  <si>
    <t>Email/Inbox Management</t>
  </si>
  <si>
    <t>Unicorn Group Australia Pty Ltd</t>
  </si>
  <si>
    <t>Send RA to suppliers</t>
  </si>
  <si>
    <t>Litica Australia Pty Ltd</t>
  </si>
  <si>
    <t>Bank Reconciliation</t>
  </si>
  <si>
    <t>The Trustee for the Great Synagogue Foundation</t>
  </si>
  <si>
    <t>Capspace Investments Pty Ltd</t>
  </si>
  <si>
    <t>Manual Journal</t>
  </si>
  <si>
    <t>The Great Synagogue</t>
  </si>
  <si>
    <t>AP and Email/Inbox Management</t>
  </si>
  <si>
    <t>Space Industry Association of Australia Limited</t>
  </si>
  <si>
    <t>Doughboy Pizza Franchising Pty Ltd</t>
  </si>
  <si>
    <t>Accounts Receivable</t>
  </si>
  <si>
    <t>Clear AP inbox and Submit bills for approval in Xero</t>
  </si>
  <si>
    <t>Two By Four Cafe Pty Ltd</t>
  </si>
  <si>
    <t>Moody Kiddell &amp; Partners Asset Finance Pty Ltd</t>
  </si>
  <si>
    <t>Enter bills in Sage</t>
  </si>
  <si>
    <t>AR and Bank Reconciliation</t>
  </si>
  <si>
    <t>Merchant Services Online Pty Ltd</t>
  </si>
  <si>
    <t>General</t>
  </si>
  <si>
    <t>Dexterous Group Pty Limited</t>
  </si>
  <si>
    <t>No</t>
  </si>
  <si>
    <t>Afternoon Break</t>
  </si>
  <si>
    <t>Morning Break</t>
  </si>
  <si>
    <t>Meetings</t>
  </si>
  <si>
    <t>Team Huddle</t>
  </si>
  <si>
    <t>Payroll Processing</t>
  </si>
  <si>
    <t>Noumed Pharmaceuticals Pty Ltd</t>
  </si>
  <si>
    <t>Simpson And Co Painting WA Pty Ltd</t>
  </si>
  <si>
    <t>Payroll Tax</t>
  </si>
  <si>
    <t>Alison Sheer</t>
  </si>
  <si>
    <t>P&amp;C Advisory - Group</t>
  </si>
  <si>
    <t>NordFab Pty Ltd</t>
  </si>
  <si>
    <t>F/up re. Seek invoices</t>
  </si>
  <si>
    <t>P&amp;C Advisory - Nederman PT</t>
  </si>
  <si>
    <t>Weekly call</t>
  </si>
  <si>
    <t>P&amp;C Advisory - Nordfab</t>
  </si>
  <si>
    <t>Coordinate interviews Discussion with manager re. people concerns Phone screens and coordinating interviews</t>
  </si>
  <si>
    <t>Ann Morei Narag</t>
  </si>
  <si>
    <t>Annual Leave</t>
  </si>
  <si>
    <t>Birthday Leave</t>
  </si>
  <si>
    <t>Bernadette Feliciano</t>
  </si>
  <si>
    <t xml:space="preserve">Medical checkup at (St.Luke's) hospital: Ultrasound and Dr's appointment to consult about results </t>
  </si>
  <si>
    <t>Business Development</t>
  </si>
  <si>
    <t>finalizing of flow continuation of manuals  meeting with Jordan for AP Automation Meeting with Miguel, finalize Intranet setup</t>
  </si>
  <si>
    <t>Carly Chant</t>
  </si>
  <si>
    <t>Charm Dequito</t>
  </si>
  <si>
    <t>Alliance Electric Pty Ltd</t>
  </si>
  <si>
    <t xml:space="preserve">Leave reports and balances </t>
  </si>
  <si>
    <t xml:space="preserve">Email Management </t>
  </si>
  <si>
    <t xml:space="preserve">AP Processing </t>
  </si>
  <si>
    <t>Client Meeting</t>
  </si>
  <si>
    <t>Meeting with James, AP Catch up</t>
  </si>
  <si>
    <t>Team Ann Weekly Huddle</t>
  </si>
  <si>
    <t>Daniel Estoesta</t>
  </si>
  <si>
    <t>Automations</t>
  </si>
  <si>
    <t>Out-of-Scope Services</t>
  </si>
  <si>
    <t>Bellinger Asset Management Pty Limited</t>
  </si>
  <si>
    <t>Invoices and Bills to Pay Automation</t>
  </si>
  <si>
    <t>Dexterous Group</t>
  </si>
  <si>
    <t>Budget - Monthly</t>
  </si>
  <si>
    <t>Capspace Funds Management Pty Ltd</t>
  </si>
  <si>
    <t>The Yacht Life</t>
  </si>
  <si>
    <t>Dherick Jay Paalam</t>
  </si>
  <si>
    <t>Run four Alliance automations + AP automation; Observed the performance of newly added feature on Simpro</t>
  </si>
  <si>
    <t>Edward Jon Arquiza</t>
  </si>
  <si>
    <t>Connected Culture Report Adjustments and fixes</t>
  </si>
  <si>
    <t>Efleda Reyes</t>
  </si>
  <si>
    <t>Pinnacle Oporto Ulladulla Pty Ltd</t>
  </si>
  <si>
    <t>bank recon</t>
  </si>
  <si>
    <t>Pinnacle Oporto Warrawong Pty Ltd</t>
  </si>
  <si>
    <t>WJ Dental Pty Ltd</t>
  </si>
  <si>
    <t>Pinnacle CJ's Nowra Pty Ltd</t>
  </si>
  <si>
    <t>bank recon for BAS</t>
  </si>
  <si>
    <t>Romance Was Born Pty Ltd</t>
  </si>
  <si>
    <t>Emails, loading bills, bank recon, AP payment</t>
  </si>
  <si>
    <t>break</t>
  </si>
  <si>
    <t>team huddle</t>
  </si>
  <si>
    <t>The Trustee for Myall Street Investment Trust</t>
  </si>
  <si>
    <t>Franz Xavier Cruz</t>
  </si>
  <si>
    <t>Fusion Holdings (AAA) Pty Ltd</t>
  </si>
  <si>
    <t>queries</t>
  </si>
  <si>
    <t>RichBox Pty Ltd</t>
  </si>
  <si>
    <t>bank recs review</t>
  </si>
  <si>
    <t>bank rec review</t>
  </si>
  <si>
    <t>teams queries</t>
  </si>
  <si>
    <t>teams queries, issues, socials</t>
  </si>
  <si>
    <t>teams/ queries/ socials</t>
  </si>
  <si>
    <t>emails/ teams/ Sprout/ attendance/ socials</t>
  </si>
  <si>
    <t>HR/Recuitment</t>
  </si>
  <si>
    <t>payroll specialist technical assessment</t>
  </si>
  <si>
    <t>call w/ Aileen re: Tasman Agri</t>
  </si>
  <si>
    <t>review</t>
  </si>
  <si>
    <t>Livewire Markets Pty Ltd</t>
  </si>
  <si>
    <t>Pearson pay adj and emails</t>
  </si>
  <si>
    <t>ptax processing</t>
  </si>
  <si>
    <t>ptax review</t>
  </si>
  <si>
    <t>inbox mgmt</t>
  </si>
  <si>
    <t>Geneline Barongan</t>
  </si>
  <si>
    <t>- ASIC - ATO - Carly LinkedIn Update - Zoho Client's details update - Finalizing and checking the schedules and venues required for the meeting next week.</t>
  </si>
  <si>
    <t>Gerardo Macawile</t>
  </si>
  <si>
    <t>Commercial Hotel Tumut</t>
  </si>
  <si>
    <t>checking of processed invoices emails</t>
  </si>
  <si>
    <t>Alder Road Food Group Pty Ltd</t>
  </si>
  <si>
    <t>bank recon emails Process ap invoices from inbox</t>
  </si>
  <si>
    <t>Emma Mulholland on Holiday Pty Ltd</t>
  </si>
  <si>
    <t>re-checking of outstanding invoices</t>
  </si>
  <si>
    <t xml:space="preserve">bank recon emails </t>
  </si>
  <si>
    <t>Bookkeeping - AP</t>
  </si>
  <si>
    <t>Food Rascal Enterprises Pty Ltd</t>
  </si>
  <si>
    <t>ap payment report</t>
  </si>
  <si>
    <t>export ABA files</t>
  </si>
  <si>
    <t>dext emails</t>
  </si>
  <si>
    <t>meeting with the team (not team huddle)</t>
  </si>
  <si>
    <t>Learning &amp; Development</t>
  </si>
  <si>
    <t>reviewing of recorded hand over</t>
  </si>
  <si>
    <t>Irish Guia Medel</t>
  </si>
  <si>
    <t>Connected Culture Group Pty Ltd</t>
  </si>
  <si>
    <t>Bank recs, recording of invoices</t>
  </si>
  <si>
    <t>AR invoices, checking payments</t>
  </si>
  <si>
    <t>Checking LSL balances</t>
  </si>
  <si>
    <t>Discussion about the final pay</t>
  </si>
  <si>
    <t>Sydney Region Aboriginal Corporation</t>
  </si>
  <si>
    <t>Weekly meeting with Shalini and Cess</t>
  </si>
  <si>
    <t>Checking emails, asana</t>
  </si>
  <si>
    <t>Management Reporting</t>
  </si>
  <si>
    <t>Cashflow update</t>
  </si>
  <si>
    <t>Team meeting</t>
  </si>
  <si>
    <t>Prime Build Services Pty Ltd</t>
  </si>
  <si>
    <t>Creating new folders, PAYG Rec, exporting payroll reports, checking emails</t>
  </si>
  <si>
    <t>Jennica Felipe</t>
  </si>
  <si>
    <t>puerto galera meeting/chat</t>
  </si>
  <si>
    <t>idle</t>
  </si>
  <si>
    <t>emails, chat, survey questions, trainings, read articles</t>
  </si>
  <si>
    <t>xero certification updates, xero hq articles, idle time, XPM, check sprout attendance</t>
  </si>
  <si>
    <t>Jeric Rivera</t>
  </si>
  <si>
    <t>Holdsworth Community Ltd</t>
  </si>
  <si>
    <t>Team RJ</t>
  </si>
  <si>
    <t>Jessica Sinclair</t>
  </si>
  <si>
    <t>P&amp;C Advisory</t>
  </si>
  <si>
    <t>Salary recommendations</t>
  </si>
  <si>
    <t>Jimwelle Villon</t>
  </si>
  <si>
    <t>Ish Dental Pty Ltd</t>
  </si>
  <si>
    <t>Shipley Australasia Pty Limited</t>
  </si>
  <si>
    <t>Too Nice Creative Pty Ltd</t>
  </si>
  <si>
    <t>Harmony Build Pty Ltd</t>
  </si>
  <si>
    <t>ap items, bank recon</t>
  </si>
  <si>
    <t>bank recon, ap, invisalign invoices</t>
  </si>
  <si>
    <t>Spaceful Pty Ltd</t>
  </si>
  <si>
    <t>AP Items, bank recon, email sort, email client for payroll tax &amp; month end items to finish up recon</t>
  </si>
  <si>
    <t>Dext Prepare items sent to client for approval, month end journals, revenue reallocation</t>
  </si>
  <si>
    <t>Fintech Equity Pty Ltd</t>
  </si>
  <si>
    <t>Payroll tax, month end JE, ap items, bank recon</t>
  </si>
  <si>
    <t>Team weekly catch-up</t>
  </si>
  <si>
    <t>Jonathan Yanga</t>
  </si>
  <si>
    <t>SureFire Services Automation.</t>
  </si>
  <si>
    <t>Jordan Martinez</t>
  </si>
  <si>
    <t>Jose Bien Contreras</t>
  </si>
  <si>
    <t>Run: LOC Automation Run: AR Ageing Automation Run: Holdsworth Automation Part 2 for Cabcharge Run: Holdsworth Automation Part 1 for HCP Dev: PrimeBuild Payroll Processing Report</t>
  </si>
  <si>
    <t>Kate Gow</t>
  </si>
  <si>
    <t>Customer invoice summary and email to client</t>
  </si>
  <si>
    <t>RSVP.com.au Pty Limited</t>
  </si>
  <si>
    <t xml:space="preserve">GIC journal Load visa transactions Follow up 3H group deregistration and re-send to ATO Follow up Lucia re fixed fee Check emails and resend 2 x draft bills </t>
  </si>
  <si>
    <t>Client Admin</t>
  </si>
  <si>
    <t>Follow up email to Angie</t>
  </si>
  <si>
    <t>Filing from Downloads folder to onedrive / client shared drives</t>
  </si>
  <si>
    <t>Fixed fee proposals Spectrum, Pinnacle, Nephew and QUeste Emails Eric and Tyson LIaison with Shalini re training plans and fixed fees</t>
  </si>
  <si>
    <t>Client contact - Queste Director call Handover tasks and CEM team announcements Messages with Shalini re traning / MNL visit</t>
  </si>
  <si>
    <t>Client Manager</t>
  </si>
  <si>
    <t>BX Pty. Limited</t>
  </si>
  <si>
    <t>Email to Matt re bill payment and contractors.</t>
  </si>
  <si>
    <t>Luminary Mindset Pty Ltd</t>
  </si>
  <si>
    <t>Review Asana project Create spreadsheet for queries Set repeats on tasks and dates Review email Email super choice form to Kate R.</t>
  </si>
  <si>
    <t>emails</t>
  </si>
  <si>
    <t>Asana tasks</t>
  </si>
  <si>
    <t>FF prep for Queste and Nephew Brand Review Shalini CM reivew traning IT with Mark B - Outlook issues, not sending emails</t>
  </si>
  <si>
    <t>Review CM / internal team handover training wht Shlaini</t>
  </si>
  <si>
    <t>Pay rate / oncosts reports and new meployee confirmaiton of rates / entities etc.</t>
  </si>
  <si>
    <t>Len Mark Onanad</t>
  </si>
  <si>
    <t>Chat with Gen ( RE meeting )</t>
  </si>
  <si>
    <t>The Trustee for the Cowdroy Trust</t>
  </si>
  <si>
    <t>Attending to queries and updating ASANA</t>
  </si>
  <si>
    <t>Catch up with Gen and Angel ( Re: food )</t>
  </si>
  <si>
    <t>Trupanion Australia Pty Ltd</t>
  </si>
  <si>
    <t>RH Capital Group Pty Ltd</t>
  </si>
  <si>
    <t>Attending to queries and updates Xero and wps</t>
  </si>
  <si>
    <t>Team Ann's meeting ( Outing )</t>
  </si>
  <si>
    <t>AFTERNOON Break: 15 mins coffee breaks as paid per Labor Code of the Philippines, Article 85</t>
  </si>
  <si>
    <t>MORNING Break: 15 mins coffee breaks as paid per Labor Code of the Philippines, Article 85.</t>
  </si>
  <si>
    <t>Call Manager regarding reservation and payment, Informed Gen and other Gen concern</t>
  </si>
  <si>
    <t>&gt;Email response &gt;Meeting with Gen ( Team Activity ) &gt;Chat with Lindsay ( Gift Item &gt;Call with TWT Manager &gt;Create list menu order &gt;Compose email and link attachment</t>
  </si>
  <si>
    <t>IAS/BAS Preparation &amp; Lodgement - Feb</t>
  </si>
  <si>
    <t>Defeat Diabetes Proprietary Limited</t>
  </si>
  <si>
    <t xml:space="preserve">Pinnacle CJ's Warrawong Pty Ltd </t>
  </si>
  <si>
    <t>IAS</t>
  </si>
  <si>
    <t>Pinnacle Hospitality Group Pty Ltd</t>
  </si>
  <si>
    <t>Pinnacle Oporto Wodonga Pty Ltd</t>
  </si>
  <si>
    <t>IAAS</t>
  </si>
  <si>
    <t>IAS/BAS Preparation &amp; Lodgement - Oct-Dec</t>
  </si>
  <si>
    <t>Pelan Pty. Limited</t>
  </si>
  <si>
    <t>The Trustee for Shebeling Trust</t>
  </si>
  <si>
    <t>Tax Admin</t>
  </si>
  <si>
    <t>BAS/IAS signatory updates</t>
  </si>
  <si>
    <t>ASANA updates ALl clients</t>
  </si>
  <si>
    <t>Unpaid Leave</t>
  </si>
  <si>
    <t>Work late unpaid</t>
  </si>
  <si>
    <t>Lindsay Casero</t>
  </si>
  <si>
    <t>Sure Fire Services Pty Ltd</t>
  </si>
  <si>
    <t>Superfoods Australia Pty Ltd</t>
  </si>
  <si>
    <t>Emails</t>
  </si>
  <si>
    <t>Team huddle</t>
  </si>
  <si>
    <t>Logika Sri-Rangarajan</t>
  </si>
  <si>
    <t>BAM - Jan 24 Recs Interco schedule Tax recs</t>
  </si>
  <si>
    <t>Bookkeeping - Backlog</t>
  </si>
  <si>
    <t>FY18 Sole Trader accounts</t>
  </si>
  <si>
    <t>Ma Angela Ibanez</t>
  </si>
  <si>
    <t>Adhoc Support &amp; Advice</t>
  </si>
  <si>
    <t>Recon</t>
  </si>
  <si>
    <t>Debt Collection</t>
  </si>
  <si>
    <t>Break</t>
  </si>
  <si>
    <t>Dexterous Global Pty Ltd</t>
  </si>
  <si>
    <t>Dex debtor's adhoc</t>
  </si>
  <si>
    <t>Maria Carlos</t>
  </si>
  <si>
    <t>weekly AP meeting / review / emails</t>
  </si>
  <si>
    <t>handover</t>
  </si>
  <si>
    <t>emails / xpm check</t>
  </si>
  <si>
    <t>emails / Workers Comp QLD / Payroll Tax VIC / hand over</t>
  </si>
  <si>
    <t>month-end Branch / handover Ralph</t>
  </si>
  <si>
    <t>Marie Ann Ticzon</t>
  </si>
  <si>
    <t>Black Montana Pty Ltd T/A Lack of Color</t>
  </si>
  <si>
    <t>Clearing Account Paypal domestic Clearing Account Paypal International Clearing Account Shopify Installment Bills raise to xero postscript transactions</t>
  </si>
  <si>
    <t>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t>
  </si>
  <si>
    <t>Mark Barte</t>
  </si>
  <si>
    <t>IT</t>
  </si>
  <si>
    <t>Support with Team</t>
  </si>
  <si>
    <t>Mary Ann Carpio</t>
  </si>
  <si>
    <t xml:space="preserve">Email Management Bills Processing  Bank and Credit Card Recon </t>
  </si>
  <si>
    <t>Donor Republic Pty Ltd</t>
  </si>
  <si>
    <t>Email management Bills Processing Bank Recon  EOFY 2023</t>
  </si>
  <si>
    <t>Email Management Asana Task Clean up  Team Ann Weekly Huddle  Meeting with other Dext team</t>
  </si>
  <si>
    <t>Extraction of IAS and Payroll Activity Summary</t>
  </si>
  <si>
    <t>IAS/BAS Preparation &amp; Lodgement - Mar</t>
  </si>
  <si>
    <t>extraction of IAS and Payroll Activity Summary</t>
  </si>
  <si>
    <t xml:space="preserve">Wyzed Training </t>
  </si>
  <si>
    <t>Melissa Bagsic</t>
  </si>
  <si>
    <t>Accounts</t>
  </si>
  <si>
    <t>Partial bank recs/coordination with Ann and Ms Con re: APE and BDO of PA Aura</t>
  </si>
  <si>
    <t>Process all payables/coordination and request for BDO online approval.</t>
  </si>
  <si>
    <t>Xero subs setup and billing based on newly subscribed accounts</t>
  </si>
  <si>
    <t>APE (Repeat urinalysis and consultation) - with travel in Balanga</t>
  </si>
  <si>
    <t>Catch up with RJ</t>
  </si>
  <si>
    <t>Final pay preparation for April Rose Tortal. Coordination with Ms Con re: MP2 setup -done 29 Feb 2024</t>
  </si>
  <si>
    <t>Miguel Quizon</t>
  </si>
  <si>
    <t>Web</t>
  </si>
  <si>
    <t>✅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</si>
  <si>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Neeti Gambhir</t>
  </si>
  <si>
    <t>Organic Merchant Pty Ltd</t>
  </si>
  <si>
    <t>Barrack Broking Pty Ltd</t>
  </si>
  <si>
    <t>processing supplier bills and bank reco</t>
  </si>
  <si>
    <t>stripe reco</t>
  </si>
  <si>
    <t>Nicole Guttmann</t>
  </si>
  <si>
    <t>One Focus Pty Ltd</t>
  </si>
  <si>
    <t>checking access</t>
  </si>
  <si>
    <t>follow up on Asana tasks</t>
  </si>
  <si>
    <t>Meeting with Stuart month end and MtM</t>
  </si>
  <si>
    <t>ppt for monday</t>
  </si>
  <si>
    <t>emails, teams, Asana</t>
  </si>
  <si>
    <t>Princess Halili</t>
  </si>
  <si>
    <t>emails,AP, Accesspay</t>
  </si>
  <si>
    <t>BR</t>
  </si>
  <si>
    <t>Marsill Pty Ltd</t>
  </si>
  <si>
    <t>files</t>
  </si>
  <si>
    <t>KID</t>
  </si>
  <si>
    <t>Weekly catch up with Shalini</t>
  </si>
  <si>
    <t>check sprout attendance &amp; email request</t>
  </si>
  <si>
    <t>email, asana</t>
  </si>
  <si>
    <t xml:space="preserve">Marsil Dec BAS </t>
  </si>
  <si>
    <t>Team Ann Huddle</t>
  </si>
  <si>
    <t>checking change in bank details</t>
  </si>
  <si>
    <t>Rachele Anne Nicdao</t>
  </si>
  <si>
    <t xml:space="preserve">OMS setup Meeting with Sylvie re BASS recharged and OMS </t>
  </si>
  <si>
    <t>OMS and cost recharged</t>
  </si>
  <si>
    <t>Dex emails</t>
  </si>
  <si>
    <t>Team Ralph huddle</t>
  </si>
  <si>
    <t>Ralph Jim Renia</t>
  </si>
  <si>
    <t>Asana new tasks updating Handover lists review Sending handover checklist request to SS Attrition planning AU team visit planning for team Emails-admin Checking Xero bank recon daily</t>
  </si>
  <si>
    <t xml:space="preserve">Sprout monthly team timesheet review QB cert Capacity check Billable file check Admin-emails </t>
  </si>
  <si>
    <t>Monthly updating - billable hours and billable roster  Weekly team huddle</t>
  </si>
  <si>
    <t>Handover meeting with Mel - initial</t>
  </si>
  <si>
    <t>Finance handover monthend-Con</t>
  </si>
  <si>
    <t>Rejie Montemor</t>
  </si>
  <si>
    <t>Weekly catch up</t>
  </si>
  <si>
    <t>ASI Dashboard - Meeting with Con and Sherly</t>
  </si>
  <si>
    <t>weekly huddle and  meeting with Dexterous team</t>
  </si>
  <si>
    <t>Rosemarie Gaile Caliwag</t>
  </si>
  <si>
    <t>Samuel Hoare</t>
  </si>
  <si>
    <t>Check Kate email re cancellation of GST grouping for RSVP and related portal issues and respond</t>
  </si>
  <si>
    <t>Sarah Angelica Medrano</t>
  </si>
  <si>
    <t>Paid break</t>
  </si>
  <si>
    <t>Team RJ huddle</t>
  </si>
  <si>
    <t>MDF Group Pty Limited</t>
  </si>
  <si>
    <t>Export reports for payroll tax and superannuation</t>
  </si>
  <si>
    <t>Process and send out payslip</t>
  </si>
  <si>
    <t>Ramp Holdings Pty Ltd</t>
  </si>
  <si>
    <t>Payroll tax</t>
  </si>
  <si>
    <t>Adjustments in payroll</t>
  </si>
  <si>
    <t>Shalini Sehgal</t>
  </si>
  <si>
    <t>Weekly meeting. Review email re payroll for an employee, plan for follow ups etc</t>
  </si>
  <si>
    <t>Follow up with Sarah re BOQ requirements, email Nexia and Ish. Follow up with Adriaan re further confirmations</t>
  </si>
  <si>
    <t>The Cheng &amp; Lok Company: Note, client not setup in XPM yet. Need to move hours once setup as this is billable work  Send email to Lewie re appointing as tax agent with instructions. Request for information to prepare BAS and seek confirmation. Liaise with Carly re briefing</t>
  </si>
  <si>
    <t>Phone call with MDF re invoice and Ezidebit, update Mel, Rob's emails, catch-up with Kate/Ali, monthly invoices</t>
  </si>
  <si>
    <t>Feb 2024 IAS review &amp; lodgement</t>
  </si>
  <si>
    <t>Hunt Civil Pty Ltd</t>
  </si>
  <si>
    <t>Dec 2023 quarter BAS review and lodgement</t>
  </si>
  <si>
    <t>Dec 2023 quarter ABS review &amp; lodgement</t>
  </si>
  <si>
    <t>Email James to enquire re PAYG Instalment tax variation. Update BAS, WPS.</t>
  </si>
  <si>
    <t xml:space="preserve">Prepare training </t>
  </si>
  <si>
    <t>Sherly Oro</t>
  </si>
  <si>
    <t>Cashflow, AP Catch up with James</t>
  </si>
  <si>
    <t>training</t>
  </si>
  <si>
    <t>ASI Dashboard meeting with Con and Rej</t>
  </si>
  <si>
    <t>Sylvie Dardare</t>
  </si>
  <si>
    <t>Starleaton Holdings Pty Ltd</t>
  </si>
  <si>
    <t>Gather information from server  for ITR FY2023 and FY 2024</t>
  </si>
  <si>
    <t>Capspace Pty Ltd</t>
  </si>
  <si>
    <t>Run and save Feb payroll reports EH</t>
  </si>
  <si>
    <t>Recoding Travel Other / email Nick &amp; Adrian re fees vs budget</t>
  </si>
  <si>
    <t xml:space="preserve">Chase Stephen re BELCR and BLM payments and forex  </t>
  </si>
  <si>
    <t>Liaise with Logika on BAM BS Rec</t>
  </si>
  <si>
    <t>BLM - SALT invoice, sub-management inv from BELCR</t>
  </si>
  <si>
    <t>email Michael and Carly re their payroll</t>
  </si>
  <si>
    <t>Review OMS, check interco, summary, email Stephen</t>
  </si>
  <si>
    <t>Recharge BAML</t>
  </si>
  <si>
    <t>Nick / Nica - new tasks for SHPL</t>
  </si>
  <si>
    <t>emails, liaise with team</t>
  </si>
  <si>
    <t>Meeting with Rachele OMS and Recharge BAML</t>
  </si>
  <si>
    <t>Financial Statements</t>
  </si>
  <si>
    <t>JPE Invest Pty Limited ATF JPE Trust</t>
  </si>
  <si>
    <t>Update Directors loan summary with incorrect disbursement July 2022</t>
  </si>
  <si>
    <t>Asana, Timesheet, Teams, emails</t>
  </si>
  <si>
    <t>Zerradiene Egido</t>
  </si>
  <si>
    <t>Prepare dividend statements to for dividiends to cover division 7a loans at 30 June 2023</t>
  </si>
  <si>
    <t>Saturday</t>
  </si>
  <si>
    <t>Vacation Leave</t>
  </si>
  <si>
    <t>Monday</t>
  </si>
  <si>
    <t>P&amp;C Advisory - Nederman Mikropul</t>
  </si>
  <si>
    <t>Org chart update (and intranet update)</t>
  </si>
  <si>
    <t>Org chart Correspondence re NSW office closure</t>
  </si>
  <si>
    <t>Calls/correspondence re. employee concerns Draft letter re. attendance concerns (and review of timesheets) Correspondence re. IT/email account access details Draft letter re. role change Org chart update Follow up re. recruitment</t>
  </si>
  <si>
    <t>check emails and save files</t>
  </si>
  <si>
    <t>Compound interest, Unit register rec</t>
  </si>
  <si>
    <t>clean up emails</t>
  </si>
  <si>
    <t>review capacity for client movements, create client list with TL</t>
  </si>
  <si>
    <t>chats, catch up on emails, review capacity for client transfers required, check Sprout attendance for Feb 16-29, etc</t>
  </si>
  <si>
    <t>review timesheets</t>
  </si>
  <si>
    <t>Wyzed, capacity review, etc</t>
  </si>
  <si>
    <t>catchup with Nick &amp; Alison  catchup with Shalini   meeting with Miguel : Intranet QMS folder  continuation of flows /manual</t>
  </si>
  <si>
    <t>Processing of Reimbursements</t>
  </si>
  <si>
    <t xml:space="preserve">Creating pending invoice lists for the month of February </t>
  </si>
  <si>
    <t xml:space="preserve">Creating and Review of EFT lists </t>
  </si>
  <si>
    <t>Automations - Pinnacle</t>
  </si>
  <si>
    <t>The Cheng &amp; Lok Company Pty Ltd C/- Ashton Chace Group</t>
  </si>
  <si>
    <t>Run Marsill Automation</t>
  </si>
  <si>
    <t xml:space="preserve">Connected Culture Live Running and Testing </t>
  </si>
  <si>
    <t>Push bills from HubDoc, bank recon, leave provision</t>
  </si>
  <si>
    <t>Push bills from HubDoc, bank recon, leave provision, management fee invoicing</t>
  </si>
  <si>
    <t>Push bills from HubDoc, bank recon</t>
  </si>
  <si>
    <t>Call with LM for CJ Nowra report</t>
  </si>
  <si>
    <t>Elena Gildina</t>
  </si>
  <si>
    <t>CFO Advisory</t>
  </si>
  <si>
    <t xml:space="preserve">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t>
  </si>
  <si>
    <t>CFO001 - CFO Services</t>
  </si>
  <si>
    <t>Post Feb24 revenue journals + review results. Draft results ready for release Reconcile Alceon + adjust for the final close off Respond to queries  + requests + issue instructions to the team</t>
  </si>
  <si>
    <t>Emily Ear</t>
  </si>
  <si>
    <t>Company Tax Returns</t>
  </si>
  <si>
    <t>ADFLMF Investments Pty Ltd</t>
  </si>
  <si>
    <t xml:space="preserve">sending tax returns and adjustments journal for the group (6 entities) to Rebecca to review and approval </t>
  </si>
  <si>
    <t xml:space="preserve">internal Dext team catch-up </t>
  </si>
  <si>
    <t>inbox</t>
  </si>
  <si>
    <t>teams/ queries</t>
  </si>
  <si>
    <t>emails/teams/queries</t>
  </si>
  <si>
    <t>revenue re-alloc query</t>
  </si>
  <si>
    <t>rev re-alloc review</t>
  </si>
  <si>
    <t>conso reports</t>
  </si>
  <si>
    <t>conso reps</t>
  </si>
  <si>
    <t>audit queries</t>
  </si>
  <si>
    <t>Spinning Wheel Hotel</t>
  </si>
  <si>
    <t>inbox ap invoice</t>
  </si>
  <si>
    <t>reviewing training AP invoice</t>
  </si>
  <si>
    <t>Woolpack Hotel</t>
  </si>
  <si>
    <t>reviewing recorded training</t>
  </si>
  <si>
    <t>bank recon emails process ap invoices from inbox</t>
  </si>
  <si>
    <t>bank recon ap invoices emails</t>
  </si>
  <si>
    <t>ap invoices</t>
  </si>
  <si>
    <t>Bookkeeping - Bank Recs</t>
  </si>
  <si>
    <t>bank recon emails</t>
  </si>
  <si>
    <t>Process improvement - checking</t>
  </si>
  <si>
    <t>Checking Activity statements, sending email for ATO payment reminder</t>
  </si>
  <si>
    <t>Checking manual journals</t>
  </si>
  <si>
    <t xml:space="preserve">Bank recs, </t>
  </si>
  <si>
    <t>Checking requested docs by the client</t>
  </si>
  <si>
    <t>Manual journals - AL &amp; LSL</t>
  </si>
  <si>
    <t>Bank recs, recording of invoices, AP payment</t>
  </si>
  <si>
    <t>Ellis eCommerce Pty Ltd</t>
  </si>
  <si>
    <t>Recording of invoices</t>
  </si>
  <si>
    <t xml:space="preserve">Process Improvement - Testing </t>
  </si>
  <si>
    <t>Payroll journals, AL &amp; LSL accrual</t>
  </si>
  <si>
    <t>Payroll and answering queries from client</t>
  </si>
  <si>
    <t>Sick Leave</t>
  </si>
  <si>
    <t>Gastritis</t>
  </si>
  <si>
    <t>TSM (The Service Manager) Pty Ltd</t>
  </si>
  <si>
    <t>Central Monitoring Services Pty. Limited</t>
  </si>
  <si>
    <t xml:space="preserve">Formal interview - investigation - BB Phone Screen - Estimator Shortlisting - 2 x roles Inbox mgmt Salary Review recommendations progressed Mgmt team mtg </t>
  </si>
  <si>
    <t>AP items, invisalign invoices, bank recon</t>
  </si>
  <si>
    <t>AP items, bank recon, payroll process, send P&amp;L and BS to Kate (Client)</t>
  </si>
  <si>
    <t>ap bills, bank recon</t>
  </si>
  <si>
    <t>ap bills</t>
  </si>
  <si>
    <t>bank recon, ap items, payroll</t>
  </si>
  <si>
    <t>Revenue Reallocation, AP Items, bank recon</t>
  </si>
  <si>
    <t>Catch-up with Shalini &amp; Xavi</t>
  </si>
  <si>
    <t>Automations - Surefire</t>
  </si>
  <si>
    <t>Run: Lack of Color Run: Holdsworth Automation Part 2 Meeting: Oporto Automation Dev: Primebuild Payroll Processing</t>
  </si>
  <si>
    <t xml:space="preserve">Chat on teams with Nicole re query - inventory negative, show as liability on reports </t>
  </si>
  <si>
    <t>Leave balances journal and process doc</t>
  </si>
  <si>
    <t>Setup process and accounts and add monthly AL liablity journals</t>
  </si>
  <si>
    <t>Survey to Pinnacle</t>
  </si>
  <si>
    <t>Upstage World Pty Ltd</t>
  </si>
  <si>
    <t>Review Xero file for inventory Respond to email to Angelia</t>
  </si>
  <si>
    <t>Respond to query re icare</t>
  </si>
  <si>
    <t>Check Asana tasks - follow up email on cash / stock and reports and bank queries</t>
  </si>
  <si>
    <t>Review info re depreciation of store buildings,..  Issues list update</t>
  </si>
  <si>
    <t>Month end processing timetable and AL process update - review tasks for month end, messages to ef</t>
  </si>
  <si>
    <t>Create month end checklist AL journals and process Update Queries sheet Review balance sheet and PL Email re Amex feed update</t>
  </si>
  <si>
    <t>Reivew of Asana tasks Email survey to Tyson - Spectrum Review Nica reports training</t>
  </si>
  <si>
    <t>Teams messages</t>
  </si>
  <si>
    <t xml:space="preserve">Move downloads to OneDrive, check PB teams, </t>
  </si>
  <si>
    <t>Client update to team for Onefocus and Pinnacle / sptctrum</t>
  </si>
  <si>
    <t xml:space="preserve">Monthly invoicing check and approvals, </t>
  </si>
  <si>
    <t>IAM Systems Pty Ltd</t>
  </si>
  <si>
    <t>Add refund journal to QB, send client survey. Non billable - BAS already billed</t>
  </si>
  <si>
    <t>super processing and rec</t>
  </si>
  <si>
    <t>super processing</t>
  </si>
  <si>
    <t xml:space="preserve">Super processing </t>
  </si>
  <si>
    <t>Finalise Oncost and pay rates report and save to drive Review email Update termination process to include 'average weekly earnings' as pay rate to use for in lieu payments.</t>
  </si>
  <si>
    <t>Superannuation - Feb</t>
  </si>
  <si>
    <t>Finance team meeting</t>
  </si>
  <si>
    <t>Responding to Rose: Query RE: Party</t>
  </si>
  <si>
    <t>Responding to Anne: Query RE: Party</t>
  </si>
  <si>
    <t>Meeting with Ralf. List of clients ( Tax only )</t>
  </si>
  <si>
    <t>Waterstone Pty. Limited</t>
  </si>
  <si>
    <t>Assisting GEn and Irish Superannutioan</t>
  </si>
  <si>
    <t>Attending to queries and Responding to Cess's Query.</t>
  </si>
  <si>
    <t>Attending to queries and validating ATO portal</t>
  </si>
  <si>
    <t>Attending to queries and meeting with Elf</t>
  </si>
  <si>
    <t>Meeting with Shalini 101</t>
  </si>
  <si>
    <t>email</t>
  </si>
  <si>
    <t xml:space="preserve">Accompany Gen and Ocular the activity </t>
  </si>
  <si>
    <t>IAS/BAS Preparation &amp; Lodgement - Apr-Jun</t>
  </si>
  <si>
    <t>FY2023 BAS</t>
  </si>
  <si>
    <t>IAS/BAS Preparation &amp; Lodgement - Jul-Sep</t>
  </si>
  <si>
    <t>BAS</t>
  </si>
  <si>
    <t xml:space="preserve">FY2024 BAS prep, Xero fix and XPM. </t>
  </si>
  <si>
    <t>Non-Billable Xero set up</t>
  </si>
  <si>
    <t>Attending to RJ's queries and sending reports</t>
  </si>
  <si>
    <t>Libby Bruderlin</t>
  </si>
  <si>
    <t>Interview 2 x candidates for HR Advisory role and write up interview notes.</t>
  </si>
  <si>
    <t>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t>
  </si>
  <si>
    <t>Asana, Emails</t>
  </si>
  <si>
    <t>email clean up backlogs, asana,</t>
  </si>
  <si>
    <t>motnh-end / handover</t>
  </si>
  <si>
    <t>month-end / handover</t>
  </si>
  <si>
    <t>emails / weekly meeting with james / CF with Sherly / training calendar / handover</t>
  </si>
  <si>
    <t>handover / emails / admin BDO, Parlance</t>
  </si>
  <si>
    <t>Bank Reconiclaition BM and LOC Inc Import Paypal currencies and reconciled  Bills raise to xero postscript transactions Calculate stripe fees and posted to manual journal Check the statement account of DHL</t>
  </si>
  <si>
    <t xml:space="preserve">Calculate Affiliate Program commission (The Salty Blonde &amp; Dede Raad &amp; Emily Travis) sent for approval. Paid NSW Payroll Tax Email Management Bills Raise to xero Sent the Commission requesting for invoice.  Import CBA 7334 and reconciled  </t>
  </si>
  <si>
    <t>Support with the Team</t>
  </si>
  <si>
    <t xml:space="preserve">Fixing Some Transaction in Expense  BS Recon </t>
  </si>
  <si>
    <t>Email Management Bills Processing</t>
  </si>
  <si>
    <t xml:space="preserve">Email Management Bills Processing Invoices Processing Bank and Credit Card Recon Email the unreconciled credit card recon to Michelle and Nicole </t>
  </si>
  <si>
    <t xml:space="preserve">Email Management Plotting of Employees AU hours in Payroll </t>
  </si>
  <si>
    <t>Update Ezidebit</t>
  </si>
  <si>
    <t>Other Asana tasks review and invoice preparation</t>
  </si>
  <si>
    <t>Partial bank recs. Process bills. Partially respond and catch up emails.</t>
  </si>
  <si>
    <t>Sales invoicing - but partial only as I need to attend other matters.</t>
  </si>
  <si>
    <t>Timesheet for review - Kate and respond to emails. Endorse to Kate all invoices for approval.</t>
  </si>
  <si>
    <t>Banks recs for RO and Branch. Process bills.</t>
  </si>
  <si>
    <t>Continuation of invoicing and timesheet checking/review.</t>
  </si>
  <si>
    <t>Record final pay on Xero for Charmie and April</t>
  </si>
  <si>
    <t>Superannuation for Contractors</t>
  </si>
  <si>
    <t>✅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</si>
  <si>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ChronicleHQ Pty Ltd</t>
  </si>
  <si>
    <t>Income draw Feb EOM</t>
  </si>
  <si>
    <t>Adobe IT issue with Mark</t>
  </si>
  <si>
    <t>commissions month end</t>
  </si>
  <si>
    <t>follow up on Asana tasks MtM process</t>
  </si>
  <si>
    <t>Sydney weekly meeting</t>
  </si>
  <si>
    <t>Adhoc - send CTR FY22 report</t>
  </si>
  <si>
    <t>PL &amp; BS Report FY22 request</t>
  </si>
  <si>
    <t>emails/queries, files</t>
  </si>
  <si>
    <t>re -alloc</t>
  </si>
  <si>
    <t>vs. audit</t>
  </si>
  <si>
    <t>check Client auditors' queries</t>
  </si>
  <si>
    <t>Timesheet XPM review Weekly billable report Monthly billable report Monthly CPR Monthly billable roster</t>
  </si>
  <si>
    <t>CPR commentaries requested by Nick Tax only client - filtering process study Call with Jordan</t>
  </si>
  <si>
    <t xml:space="preserve">Update capacity file and planning Review final pay recording, practice hands on Handover with Con - month end </t>
  </si>
  <si>
    <t>Meeting with Ali and Nick</t>
  </si>
  <si>
    <t>Handover with Con - Final pay</t>
  </si>
  <si>
    <t>Fixing up cash clearing account plus reconciliation</t>
  </si>
  <si>
    <t>Morning emails and teams messages</t>
  </si>
  <si>
    <t>30 min break Discussions in the office</t>
  </si>
  <si>
    <t>2:1 Ali and Nick</t>
  </si>
  <si>
    <t>Super - Feb24</t>
  </si>
  <si>
    <t>Load payroll payment, give Henry Bull access to Xero Me and add link for timesheets instructions</t>
  </si>
  <si>
    <t>Payroll review</t>
  </si>
  <si>
    <t>Call with Rejie to show how to setup new employees (monthly)</t>
  </si>
  <si>
    <t>Queries from Mahendra re leave liability report</t>
  </si>
  <si>
    <t>Fill out LS Corp claim form for Tyler McGlinchy Action payroll emails and update query sheet</t>
  </si>
  <si>
    <t>AL and LSL liability report</t>
  </si>
  <si>
    <t>Leave liability reports - Feb24</t>
  </si>
  <si>
    <t>AP run</t>
  </si>
  <si>
    <t>AP run Cashflow update</t>
  </si>
  <si>
    <t>Inbox mgmt AP Export bank transactions and import to Xero</t>
  </si>
  <si>
    <t>Prepare handover file for MDF</t>
  </si>
  <si>
    <t>Meeting with Shalini</t>
  </si>
  <si>
    <t>Payroll tax processing</t>
  </si>
  <si>
    <t>Meeting with LM, with SRAC team, with MDF, with Livewire team, meet and greet team, finalise training presentation etc</t>
  </si>
  <si>
    <t>AP Invoice</t>
  </si>
  <si>
    <t>Shadowing AP Payment run review</t>
  </si>
  <si>
    <t>Shadowing AP payment Run</t>
  </si>
  <si>
    <t>Training Month End</t>
  </si>
  <si>
    <t>Cashflow</t>
  </si>
  <si>
    <t>Catch up Meeting with Nick and Ali</t>
  </si>
  <si>
    <t>emails Sharat and James / ARC</t>
  </si>
  <si>
    <t>Create shares 3TOP in 3TOP and BAM accounts</t>
  </si>
  <si>
    <t>review BAM BS rec</t>
  </si>
  <si>
    <t>BELCR payments, update spreadsheet, pmt ITR, Greg's salary calculation</t>
  </si>
  <si>
    <t>BASS- template invoice to BAML - redo invoices and resend to Addie</t>
  </si>
  <si>
    <t>ATO statements for Tim</t>
  </si>
  <si>
    <t xml:space="preserve">F/up month end with Ann </t>
  </si>
  <si>
    <t>emails, liaise with Rachele and Sarah</t>
  </si>
  <si>
    <t>catch up Stephen x2</t>
  </si>
  <si>
    <t>Asana, teams, emails, timesheet</t>
  </si>
  <si>
    <t>Tuesday</t>
  </si>
  <si>
    <t>Recode transactions</t>
  </si>
  <si>
    <t>Re-code transactions</t>
  </si>
  <si>
    <t>Accounts Payable</t>
  </si>
  <si>
    <t>Handover Process Training</t>
  </si>
  <si>
    <t>EOFY Wrap Up Training</t>
  </si>
  <si>
    <t>Coex Capital Pty Ltd</t>
  </si>
  <si>
    <t>Correspondence re. staff (employment status) for remuneration review) Remuneration review spreadsheet Status report template</t>
  </si>
  <si>
    <t>Correspondence re. PT's remote working policy</t>
  </si>
  <si>
    <t>Correspondence re. CSG role and internal appointment Correspondence re. disciplinary meeting Correspondence re. role change Draft letter for investigatory meeting</t>
  </si>
  <si>
    <t>check Xero support</t>
  </si>
  <si>
    <t>raise issue to Xero support - CFM</t>
  </si>
  <si>
    <t>Respond to Nick's query, emails</t>
  </si>
  <si>
    <t>team catchup</t>
  </si>
  <si>
    <t>Loans rec</t>
  </si>
  <si>
    <t>Unit register rec</t>
  </si>
  <si>
    <t>Sprout, Asana, emails, chats, etc</t>
  </si>
  <si>
    <t>capacity file review and update, chats, check meeting schedules and raise conflicting scheds</t>
  </si>
  <si>
    <t>update capacity, EOM nomination, chats re concerns, follow ups, etc</t>
  </si>
  <si>
    <t>trainings</t>
  </si>
  <si>
    <t>meeting with Miguel : Intranet QMS folder  continuation of flows /manual</t>
  </si>
  <si>
    <t xml:space="preserve">Continuation of pending invoices lists </t>
  </si>
  <si>
    <t xml:space="preserve">Handover Process - with Shalini </t>
  </si>
  <si>
    <t>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t>
  </si>
  <si>
    <t>XeroDownloadReportsAutomation • Updated sequences and activities • Added delay and rename sheet activities to rename each sheet of the downloaded files before consolidation • Tested and ran the bot for possible errors</t>
  </si>
  <si>
    <t>Automations - Alliance</t>
  </si>
  <si>
    <t>Alliance Report Demo and testing.</t>
  </si>
  <si>
    <t>I had a fever</t>
  </si>
  <si>
    <t>resolving bank integration issue</t>
  </si>
  <si>
    <t>inbox/queries</t>
  </si>
  <si>
    <t>ME tasks</t>
  </si>
  <si>
    <t>emails/ admin</t>
  </si>
  <si>
    <t>emails/tams/queries</t>
  </si>
  <si>
    <t>monitor and ff up BAS &amp; IAS</t>
  </si>
  <si>
    <t>technical assessment of Karen Odiongan</t>
  </si>
  <si>
    <t>training sessions with Shalini</t>
  </si>
  <si>
    <t>1:1 with Nick and Ali</t>
  </si>
  <si>
    <t>Ap invoices</t>
  </si>
  <si>
    <t>bank recon AP report</t>
  </si>
  <si>
    <t>approve ap invoices</t>
  </si>
  <si>
    <t>training with Shalini Hand over EOFY</t>
  </si>
  <si>
    <t>Bank recs</t>
  </si>
  <si>
    <t>AR invoice</t>
  </si>
  <si>
    <t>Checking super payment docs as requested by client</t>
  </si>
  <si>
    <t>Bank rec queries, bank recs</t>
  </si>
  <si>
    <t>Weekly meeting with Shalini</t>
  </si>
  <si>
    <t>Checking emails, asana, fixing sprout logs</t>
  </si>
  <si>
    <t>Training with Shalini</t>
  </si>
  <si>
    <t>Payroll</t>
  </si>
  <si>
    <t>respond to client - email invite</t>
  </si>
  <si>
    <t>review onboarding client information checklist, prepare</t>
  </si>
  <si>
    <t>update journals</t>
  </si>
  <si>
    <t>emails, asana, chat</t>
  </si>
  <si>
    <t>review onboarding checklist, meeting with yacht life on going training with Shalini</t>
  </si>
  <si>
    <t>handover training, eofy wrap up with shalini</t>
  </si>
  <si>
    <t>Training Session- Shalni</t>
  </si>
  <si>
    <t>Catch up- NIck</t>
  </si>
  <si>
    <t xml:space="preserve">Phone screens 1 x recruitment interview 1 x investigation interview Inbox &amp; phone calls Handover mtg with Dex Salary Review mtg MD </t>
  </si>
  <si>
    <t>import missing transactions not sent through CSV by client</t>
  </si>
  <si>
    <t>Month end sales invoices, bank recon, ap items</t>
  </si>
  <si>
    <t>Reconciled CC4195, 1925, 6146, 0405</t>
  </si>
  <si>
    <t>Livewire &amp; Fintech finalise forecast report</t>
  </si>
  <si>
    <t>upload and reconcile February 2024 transactions and sent to client items for queries</t>
  </si>
  <si>
    <t>invoices from procore</t>
  </si>
  <si>
    <t>Handover Process - with Shalini &amp; End of Financial Year Wrap Up - with Shalini</t>
  </si>
  <si>
    <t>Run: Lack of Color Dev: Primebuild Payroll Processing Dev: Oporto Automation</t>
  </si>
  <si>
    <t>Review bank rec queries</t>
  </si>
  <si>
    <t>Journals for ATO and email to Eric</t>
  </si>
  <si>
    <t>Journals and reconcile ATO account</t>
  </si>
  <si>
    <t>Reconcile ICA and add bank details</t>
  </si>
  <si>
    <t>Journals for IAS</t>
  </si>
  <si>
    <t>End of month journals and process</t>
  </si>
  <si>
    <t>End of month process and journals - 43 mins total 3.18 to 4pm, split to Ulladulla ./ Warrawong.</t>
  </si>
  <si>
    <t>Email re payroll and fees</t>
  </si>
  <si>
    <t>Teams and review email to check nothing urgent</t>
  </si>
  <si>
    <t>Emails, Teams</t>
  </si>
  <si>
    <t>Emails, Asana tasks</t>
  </si>
  <si>
    <t>Login to Angie Mchugh - employee setup - error based on trial file - log with Mark Aider screenshots for Nikhil and cancellation of subscription</t>
  </si>
  <si>
    <t>Add IAS journal and add bank details to ATO portal for refund</t>
  </si>
  <si>
    <t>Call with Nick re BX</t>
  </si>
  <si>
    <t>Review payroll, review inbox and respond to some messages.  Update Kate Gillam employment details</t>
  </si>
  <si>
    <t>Angela McHugh</t>
  </si>
  <si>
    <t>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t>
  </si>
  <si>
    <t>Payroll review, update timesheets for non-C locations Update process for reporting of non-C locations.</t>
  </si>
  <si>
    <t>Meeting with Nick ( 1 on 1 )</t>
  </si>
  <si>
    <t xml:space="preserve">XPM </t>
  </si>
  <si>
    <t>Client Portfolio</t>
  </si>
  <si>
    <t xml:space="preserve">&gt;Helping Gen and other team activity. &gt;Compose message to team &gt;Location map &gt;other adhoc </t>
  </si>
  <si>
    <t>Email and other adhoc</t>
  </si>
  <si>
    <t>The Trustee for Lyndcote Family Trust</t>
  </si>
  <si>
    <t>AS White Australia Pty Ltd</t>
  </si>
  <si>
    <t>Traininng</t>
  </si>
  <si>
    <t xml:space="preserve">Refreshing payroll process </t>
  </si>
  <si>
    <t>Training</t>
  </si>
  <si>
    <t>Shalini's training</t>
  </si>
  <si>
    <t>Meeting with Con</t>
  </si>
  <si>
    <t>Asana updates ( all clients ) Team Lead</t>
  </si>
  <si>
    <t>Interview candidate for HR Advisory role, and write up interview notes.</t>
  </si>
  <si>
    <t>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t>
  </si>
  <si>
    <t>FY 24 - Jan BS recs</t>
  </si>
  <si>
    <t>went BDO Bank &amp; Spaces</t>
  </si>
  <si>
    <t xml:space="preserve">emails / catch up / month-end / handover </t>
  </si>
  <si>
    <t>Dashboard</t>
  </si>
  <si>
    <t xml:space="preserve">Continuation of clearing account of Paypal domestic Check and approve sales to a2x postscripts transactions  </t>
  </si>
  <si>
    <t xml:space="preserve">Email Management Bills raise to Xero Check and approved sales to a2x Check Shopify taxes and send to Ivan Bank Reconciliation BM and LOC Inc Checked google statement account Clearing Account Domestic -Afterpay -Klarna -Shopify -Paypal  </t>
  </si>
  <si>
    <t>Client handover process</t>
  </si>
  <si>
    <t>EOFY Wrap UP</t>
  </si>
  <si>
    <t>Support with team</t>
  </si>
  <si>
    <t>Email Management Bills Processing Bank / Credit Card Recon Process Payroll Tax</t>
  </si>
  <si>
    <t xml:space="preserve">Email Management Asana Task cleanup </t>
  </si>
  <si>
    <t xml:space="preserve">Training With Shalini  - Process Handover -  EOFY Wrap Up </t>
  </si>
  <si>
    <t>Email Management Uploading of Timesheets</t>
  </si>
  <si>
    <t>Bills processing and others</t>
  </si>
  <si>
    <t>Catch up emails outside (Pantry)</t>
  </si>
  <si>
    <t>Process bills and check other emails and respond/Compliance invoicing update</t>
  </si>
  <si>
    <t>Catch up with Nick</t>
  </si>
  <si>
    <t>Payroll processing - continue</t>
  </si>
  <si>
    <t>Fixed all MP2 setup on Sprout Payroll. Payroll processing - initial discussion with RJ</t>
  </si>
  <si>
    <t>Final pay email preparation/account email checking.</t>
  </si>
  <si>
    <t>Process payroll and all the working papers and manual journal. Email Nick and request funds.</t>
  </si>
  <si>
    <t xml:space="preserve">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t>
  </si>
  <si>
    <t>3Forward Pty Ltd</t>
  </si>
  <si>
    <t>follow up on question from Camilla</t>
  </si>
  <si>
    <t>EOM report process</t>
  </si>
  <si>
    <t>Meeting with Scott and Jenny on commissions</t>
  </si>
  <si>
    <t>emails,AP</t>
  </si>
  <si>
    <t xml:space="preserve">Update KID January Account transactions from Taiana update email </t>
  </si>
  <si>
    <t>call with silvana</t>
  </si>
  <si>
    <t>Trainings with Shalini</t>
  </si>
  <si>
    <t>dex emails</t>
  </si>
  <si>
    <t xml:space="preserve">End of Financial Year Wrap Up Handover process Client Management review                                                                                            </t>
  </si>
  <si>
    <t>BELCR BS recs - Dec 23</t>
  </si>
  <si>
    <t>Payroll specialist role technical assessment review  Capacity file update  Global team meeting file/list update  Employee of the month nomination</t>
  </si>
  <si>
    <t>Payroll handover-mel shadow</t>
  </si>
  <si>
    <t>Con handover BS recon</t>
  </si>
  <si>
    <t xml:space="preserve">Handover con, mel  Training with Shalini - handover process, year end wrap-up </t>
  </si>
  <si>
    <t>Meeting with Nick</t>
  </si>
  <si>
    <t>Update live file</t>
  </si>
  <si>
    <t>Unapproved/Unallocated Timesheets report</t>
  </si>
  <si>
    <t>Payroll processing and queries to managers</t>
  </si>
  <si>
    <t>Payroll processing</t>
  </si>
  <si>
    <t>Review Amex transactions</t>
  </si>
  <si>
    <t>Review payments</t>
  </si>
  <si>
    <t>Bank rec</t>
  </si>
  <si>
    <t>Inbox mgmt AP Bank rec AP run</t>
  </si>
  <si>
    <t>Process payroll Email client</t>
  </si>
  <si>
    <t>Process payroll</t>
  </si>
  <si>
    <t>Process payroll Send query to client</t>
  </si>
  <si>
    <t>Answer payroll queries</t>
  </si>
  <si>
    <t>Speech and Learning Services Pty Ltd</t>
  </si>
  <si>
    <t xml:space="preserve">Reinstate employee as per email from Kerry and advise accordingly </t>
  </si>
  <si>
    <t>Upload payables and email Katherine/Shalisa for approval</t>
  </si>
  <si>
    <t>Training presentation, meet and greet team, weekly invoices, etc</t>
  </si>
  <si>
    <t>Review BS Recs</t>
  </si>
  <si>
    <t>checking accounts mailbox</t>
  </si>
  <si>
    <t>checking Recon files for month end preparation</t>
  </si>
  <si>
    <t>Reviewing training materials for month end preparation</t>
  </si>
  <si>
    <t>Checking GST Coding</t>
  </si>
  <si>
    <t>Alliance Dashboard Report Demo</t>
  </si>
  <si>
    <t>Training with Shalini  Client Manager review Handover process review EOFY Wrap up</t>
  </si>
  <si>
    <t>ITR documents: gather last doc from Mel and Cathro and send to ARC, liaise with Mel</t>
  </si>
  <si>
    <t>Doc for ITR 2023 and 2024, email to Mel for missing doc</t>
  </si>
  <si>
    <t>SHPL - Doc for ITR FY 2023 and FY 2024</t>
  </si>
  <si>
    <t>Review BAM BS rec, look into tax</t>
  </si>
  <si>
    <t>BASS- Recharge invoices- queries Addie- update inv template, redo all invoices, check bills</t>
  </si>
  <si>
    <t>Liaise with team, emails</t>
  </si>
  <si>
    <t>OMS Xero subscription, liaise with Mark and Stephen</t>
  </si>
  <si>
    <t>Query re new employee, Imogen, salary calculation x2</t>
  </si>
  <si>
    <t>OMS Xero subscription, emails, liaise with Mark and Xero support</t>
  </si>
  <si>
    <t>Review and adjust JPE, send to Josh</t>
  </si>
  <si>
    <t>Asana, timesheet</t>
  </si>
  <si>
    <t>Wednesday</t>
  </si>
  <si>
    <t>Queste Pty Ltd</t>
  </si>
  <si>
    <t>Import CFM bank feed in Xero</t>
  </si>
  <si>
    <t>Download bank statements</t>
  </si>
  <si>
    <t>Amend invoice amount and PO</t>
  </si>
  <si>
    <t>Catch up with Ali</t>
  </si>
  <si>
    <t>Review</t>
  </si>
  <si>
    <t>Update of intranet (org charts) Revised policies for signoff</t>
  </si>
  <si>
    <t>Draft outcome letters for office closure</t>
  </si>
  <si>
    <t>Correspondence re. reporting lines Liaising with candidate/Hiring Manager re. Sheet Metal Recruitment</t>
  </si>
  <si>
    <t>CFM bank - check Xero support's response and bank feeds</t>
  </si>
  <si>
    <t>loans rec</t>
  </si>
  <si>
    <t>Check Ef's capacity and update</t>
  </si>
  <si>
    <t>lunch out</t>
  </si>
  <si>
    <t>meeting with Miguel : Intranet QMS folder  continuation of flows /manual  *AI data security FAQ data</t>
  </si>
  <si>
    <t xml:space="preserve">Leave Reports </t>
  </si>
  <si>
    <t xml:space="preserve">Posting of Pending invoices </t>
  </si>
  <si>
    <t>AP Processing</t>
  </si>
  <si>
    <t>XeroDownloadReportsAutomation • Update the bot in VM (Added delay activity and rename sheet activity to rename each sheet of the downloaded files before consolidation) • Tested and ran the bot in VM for possible errors</t>
  </si>
  <si>
    <t>Productivity and Automation facilitated by Nick</t>
  </si>
  <si>
    <t>Alliance Report Automation additional functions development.</t>
  </si>
  <si>
    <t>Reviewing month end steps</t>
  </si>
  <si>
    <t>Pushing bills from HubDoc, bank recon</t>
  </si>
  <si>
    <t>Checking emails, AL and LSL provision</t>
  </si>
  <si>
    <t>Re-watching the handover video, checking the accounts and familiarizing myself</t>
  </si>
  <si>
    <t>Loading bills from HubDoc, bank recon, AP payment</t>
  </si>
  <si>
    <t>Checking emails, loading bills, bank recon, month end tasks</t>
  </si>
  <si>
    <t>FN payroll</t>
  </si>
  <si>
    <t>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t>
  </si>
  <si>
    <t>Feb'23 month-end actions. Update Xero chart of accounts and expense claim modules to resolve miscoding issues + recode transactions for consistency. Respond to queries</t>
  </si>
  <si>
    <t>Skype/ Dadworld sale review</t>
  </si>
  <si>
    <t>Bookkeeping - Emails</t>
  </si>
  <si>
    <t>billing distro - remove Mali</t>
  </si>
  <si>
    <t>team activity - farewell luncheon</t>
  </si>
  <si>
    <t>Sales actuals</t>
  </si>
  <si>
    <t>Management Reporting - Process</t>
  </si>
  <si>
    <t>reports sent to Tom</t>
  </si>
  <si>
    <t>- ATO - ASIC - Update of Carly's LinkedIn Network greetings - Admin Task   - Preparation for the FArewell Lunch Party for Con</t>
  </si>
  <si>
    <t>sending remittances</t>
  </si>
  <si>
    <t>inbox checking of invoices</t>
  </si>
  <si>
    <t>searching ways to import a bank transactions using import file reckon system</t>
  </si>
  <si>
    <t>ap batch payment ap report emails bank recon</t>
  </si>
  <si>
    <t>internal emails</t>
  </si>
  <si>
    <t>Checking payments, bank recs</t>
  </si>
  <si>
    <t>Exporting payroll/PAYG reports for IAS, checking accounts</t>
  </si>
  <si>
    <t>Pulling out payroll reports, checking of accounts for month-end closing</t>
  </si>
  <si>
    <t>Bank recs, checking of accounts</t>
  </si>
  <si>
    <t>Bank recs, updating AP</t>
  </si>
  <si>
    <t>Training with Nick</t>
  </si>
  <si>
    <t>Call with Ef for some queries</t>
  </si>
  <si>
    <t>Finalising payroll</t>
  </si>
  <si>
    <t xml:space="preserve">Checking payroll accounts and manual journal </t>
  </si>
  <si>
    <t>2:1 Shalini and Ali, Meeting with Nick, 1:1 with Nick</t>
  </si>
  <si>
    <t>1:1 with Nick, meeting with Jordan and Dan and assist on automation. Check emails</t>
  </si>
  <si>
    <t>Shortlisting CV's HR Daily mtg Handover cont. Updating links, templates etc in readiness for Dex engagements</t>
  </si>
  <si>
    <t>dext prep, ap items, bank recon</t>
  </si>
  <si>
    <t>AP Items from email &amp; procore, draft payroll for final pay as per client, sort of emails in inboxes, hubdoc, bank recon &amp; JE to transfer cost for Feb204 to Spaceful Xero from A&amp;E</t>
  </si>
  <si>
    <t>Balance sheet recon finalise, ap queries to close out Feb24 items</t>
  </si>
  <si>
    <t>Add GIC from ATO portal, reconcile ATO account including updating payments to account for Pay.com.au fees Email to Mary to check fees going forward</t>
  </si>
  <si>
    <t>review emails and file Setup Kate R super Bank rec report  Respond to Blair email</t>
  </si>
  <si>
    <t>Load payroll and Inform bill to NAB Check accountant queries and send through to Emily Follow up Lucia for Nine contact information</t>
  </si>
  <si>
    <t>Email to Ef re building depreciation</t>
  </si>
  <si>
    <t>Proda - download letter and email to Mary with info</t>
  </si>
  <si>
    <t>REview rec status and tax queries status, liaise with Aileen</t>
  </si>
  <si>
    <t>Bookkeping invoices to Xero, review for payments and email to Marianne</t>
  </si>
  <si>
    <t>Emails and Asana</t>
  </si>
  <si>
    <t>Review report template notes from Nica, respond via email with query to Ali</t>
  </si>
  <si>
    <t>Review payrun</t>
  </si>
  <si>
    <t>Follow up approvals</t>
  </si>
  <si>
    <t>Review ADI for Melanie Mull - add super details.  Email to Ash to check timesheet</t>
  </si>
  <si>
    <t xml:space="preserve">Payroll review Check child support and super - update summary table </t>
  </si>
  <si>
    <t>Payroll review, call Darren T re Hannah G and update - emails to Tim and Mohit</t>
  </si>
  <si>
    <t>Load payments to bank including superannuation, child support etc.</t>
  </si>
  <si>
    <t>Payroll reviews Email re Sean Lawther pay amounts for FY23 - check Elmo and JobPac, email to Danni</t>
  </si>
  <si>
    <t>Affluens360 Tax &amp; Business Advisory Pty Ltd</t>
  </si>
  <si>
    <t>Teams chat</t>
  </si>
  <si>
    <t>Arriva email training</t>
  </si>
  <si>
    <t>Ben's email</t>
  </si>
  <si>
    <t>MYOB access</t>
  </si>
  <si>
    <t>adhoc report request by RJ</t>
  </si>
  <si>
    <t xml:space="preserve">Gen seeking a help. I am assisting her to finish the Master list for all clients. </t>
  </si>
  <si>
    <t>Affluens360 Wealth Management Pty Ltd</t>
  </si>
  <si>
    <t>Team Activity with Con</t>
  </si>
  <si>
    <t>&gt;Responding to IAS exportation queries &gt;Checking or retrieving of previous email &gt;Updating ASANA IAS clients</t>
  </si>
  <si>
    <t>Creating and Updating list report ( All clients ) request by RJ.</t>
  </si>
  <si>
    <t>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t>
  </si>
  <si>
    <t>FY24 - Jan InterCo variances</t>
  </si>
  <si>
    <t>training with Nick</t>
  </si>
  <si>
    <t>month-end / handover / emails / catchup Nick /</t>
  </si>
  <si>
    <t>Prepared summary report for approval for payment.  call with Ms. Rose regarding the new process of intercompany loan reconciliation. Load payment to COMbizz</t>
  </si>
  <si>
    <t>Email Management Bills raise to xero Bank Reconciliation BM and LOC Inc. Approving sales to a2x  Check all AP's and make plan date. Revised Paypal clearing account Domestic</t>
  </si>
  <si>
    <t xml:space="preserve">Meeting with Nick and the team. </t>
  </si>
  <si>
    <t>Paternity Leave</t>
  </si>
  <si>
    <t>BDO file uploading and discussion with RJ</t>
  </si>
  <si>
    <t>Further processing of payables and request to Nick for approval and payment.</t>
  </si>
  <si>
    <t>Process bills and catch up emails.</t>
  </si>
  <si>
    <t xml:space="preserve">Training with Nick </t>
  </si>
  <si>
    <t>Lunch out with the Team (Ms Con's farewell)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</si>
  <si>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t>
  </si>
  <si>
    <t>processing bills and preparing AP list</t>
  </si>
  <si>
    <t>Set up Reilly</t>
  </si>
  <si>
    <t>Carbon Reduction Institute Pty Ltd</t>
  </si>
  <si>
    <t>moving house</t>
  </si>
  <si>
    <t>Other debtor &amp; Suspense</t>
  </si>
  <si>
    <t xml:space="preserve"> SRAC -BR</t>
  </si>
  <si>
    <t>AP</t>
  </si>
  <si>
    <t>with Nick</t>
  </si>
  <si>
    <t>Super bounce back query</t>
  </si>
  <si>
    <t>BELCR recs</t>
  </si>
  <si>
    <t xml:space="preserve">Payroll specialist technical assessment review  Weekly cashflow review and actual report  </t>
  </si>
  <si>
    <t>Handover Con- BS recon Payroll BDO upload</t>
  </si>
  <si>
    <t>Payroll Tax - February 2024</t>
  </si>
  <si>
    <t>Call with Ge re BAS</t>
  </si>
  <si>
    <t>Cash clearing recon</t>
  </si>
  <si>
    <t>Cash clearing account rec until end of Feb24</t>
  </si>
  <si>
    <t>Entering bank transactions</t>
  </si>
  <si>
    <t>Bank recon</t>
  </si>
  <si>
    <t>Con's farewell party</t>
  </si>
  <si>
    <t>Load aba file</t>
  </si>
  <si>
    <t>Update pay as per email confirmation from managers</t>
  </si>
  <si>
    <t>Complete Feb24 super Payroll processing, inbox, discussions with Kate</t>
  </si>
  <si>
    <t>Payroll processing, super - Feb24</t>
  </si>
  <si>
    <t>Email Vively 23 ITRs to Michael Pang as requested</t>
  </si>
  <si>
    <t>AP review</t>
  </si>
  <si>
    <t>Accounts rec</t>
  </si>
  <si>
    <t>1-on-1 with Alison</t>
  </si>
  <si>
    <t>Process payroll Email reports</t>
  </si>
  <si>
    <t>Process payroll  Email reports</t>
  </si>
  <si>
    <t>Rerun payroll to check Sarah's annual leave balance</t>
  </si>
  <si>
    <t>Update file for upcoming salara increase of several employees</t>
  </si>
  <si>
    <t>Payroll Processing - Senior</t>
  </si>
  <si>
    <t>Upload payables and payroll and email Zoe for approval.</t>
  </si>
  <si>
    <t>Manila trip, Con's farewell lunch, review proposal for Carly and send feedback etc</t>
  </si>
  <si>
    <t>Review and lodgement of quarterly BAS for Dec 2022, March 2023, June 2023 &amp; Sep 2023</t>
  </si>
  <si>
    <t>Dec 2023 quarter BAS review &amp; lodgement</t>
  </si>
  <si>
    <t>Client On boarding</t>
  </si>
  <si>
    <t>Reviewing reports preparation for month end walkthrough with Con and payroll tax with Rej , Review of Payroll tax with Con</t>
  </si>
  <si>
    <t>Review of files</t>
  </si>
  <si>
    <t>Invoice with Issue created receipt to Simpro Client on boarding</t>
  </si>
  <si>
    <t>Checking files</t>
  </si>
  <si>
    <t>Email Sharat, run TB, check ATO</t>
  </si>
  <si>
    <t>Send BANA invoices to wider group</t>
  </si>
  <si>
    <t xml:space="preserve">AP payments </t>
  </si>
  <si>
    <t>OMS Xero subscription - Xero support</t>
  </si>
  <si>
    <t>Term deposit interest BAM and BELCR</t>
  </si>
  <si>
    <t>BAM BS Rec / Tax rec</t>
  </si>
  <si>
    <t>Asana task - billing JPE trust</t>
  </si>
  <si>
    <t>Review Logika's invoice</t>
  </si>
  <si>
    <t>Liaise with Josh &amp; Nick re resignation as director</t>
  </si>
  <si>
    <t>Medical appointment</t>
  </si>
  <si>
    <t>Thursday</t>
  </si>
  <si>
    <t>Upload ABA file in NAB</t>
  </si>
  <si>
    <t>Copy contacts from AgriChain to Xero</t>
  </si>
  <si>
    <t>Manual Journals</t>
  </si>
  <si>
    <t>Mark PO as billed and copy to bills in Xero Publish bills in Hubdoc</t>
  </si>
  <si>
    <t>Check Brokerage Income, Freight, and Purchases balances in Xero vs AgriChain</t>
  </si>
  <si>
    <t>Develop handling difficult conversations presentation Draft script for performance concerns discussion Performance and salary review spreadsheet</t>
  </si>
  <si>
    <t>Correspondence re. redundancy calculations and information for personnel files</t>
  </si>
  <si>
    <t xml:space="preserve">Draft script re. attendance concerns Correspondence re. org chart  Correspondence re. former employment concerns </t>
  </si>
  <si>
    <t>chats, Asana</t>
  </si>
  <si>
    <t>review team's Asana, attend to concerns</t>
  </si>
  <si>
    <t>complete training surveys, chats, emails, Sprout, Asana</t>
  </si>
  <si>
    <t>chats re concerns, check email from Ben, find who is handling Regcentric and coordinate Ben's request, check Regcentric files in onedrive</t>
  </si>
  <si>
    <t>Things to improve productivity, review capacity vs actual hrs, etc</t>
  </si>
  <si>
    <t>management team meeting</t>
  </si>
  <si>
    <t>Management Team meeting : w/ Nick &amp; Alison  Meeting with Nica: QMS flow videos  * Revision 1 : AI data security FAQ data</t>
  </si>
  <si>
    <t xml:space="preserve">Statement checking </t>
  </si>
  <si>
    <t>Posting of Invoices</t>
  </si>
  <si>
    <t xml:space="preserve">Checking and Reviewing of February Pending Lists </t>
  </si>
  <si>
    <t>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t>
  </si>
  <si>
    <t>Run four Alliance automations + AP automation;  Added 7 supplier to Alliance Automation Tax Invoice</t>
  </si>
  <si>
    <t>Emails, loading bills, bank recon, weekly report</t>
  </si>
  <si>
    <t>weekly payroll</t>
  </si>
  <si>
    <t>Review + recode transactions to align to the Xero P&amp;L structure (clean up the coding), review and amend historical data Send information requests</t>
  </si>
  <si>
    <t>Catch up with Lynn + Mary Ann to discuss payroll process + agree on actions</t>
  </si>
  <si>
    <t xml:space="preserve">responded to Rebecca's query regarding FBT; checking loan disclosure as per James's instructions; update CTR accordingly </t>
  </si>
  <si>
    <t>emails/queries</t>
  </si>
  <si>
    <t>emails/teams/queries/sruveys</t>
  </si>
  <si>
    <t>tech assessment - Anna</t>
  </si>
  <si>
    <t>Trust Tax Returns</t>
  </si>
  <si>
    <t>EOFY checklist</t>
  </si>
  <si>
    <t>checking of processed invoices</t>
  </si>
  <si>
    <t>checking previous manual journal for stock take report</t>
  </si>
  <si>
    <t>leave liability report</t>
  </si>
  <si>
    <t>emails checking of invoices review training</t>
  </si>
  <si>
    <t>training with Ms.Rose</t>
  </si>
  <si>
    <t>approve ap invoice for batch payment</t>
  </si>
  <si>
    <t>process ap invoices from inbox</t>
  </si>
  <si>
    <t xml:space="preserve">email regarding training internal emails </t>
  </si>
  <si>
    <t xml:space="preserve">asana and checking of emails </t>
  </si>
  <si>
    <t>Manual journals</t>
  </si>
  <si>
    <t>Saving BAS/IAS reports of all entities to each folders</t>
  </si>
  <si>
    <t>Bank recs, recording of invoices, checking of intercompany accounts</t>
  </si>
  <si>
    <t>Month-end reports</t>
  </si>
  <si>
    <t>Checking exported payroll reports &amp; saving reports</t>
  </si>
  <si>
    <t>Submission of pay runs to ATO, replying to queries from the client, checking inbox</t>
  </si>
  <si>
    <t>emails, asana, XPM, sprout, chat with Kate Pinacle, chat about Loc contract</t>
  </si>
  <si>
    <t>Super</t>
  </si>
  <si>
    <t>Exit interview</t>
  </si>
  <si>
    <t xml:space="preserve">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t>
  </si>
  <si>
    <t>ap items, bank recon, BS recon</t>
  </si>
  <si>
    <t>ap bills, hubdoc, EH items sync payroll apply payments, sort emails in inboxes email queries</t>
  </si>
  <si>
    <t>ap bills review</t>
  </si>
  <si>
    <t>Automations - Skylife</t>
  </si>
  <si>
    <t>Run: Lack of Color Run: Trial Balance - June 2023 to January 2024 FirstRun/Testing: Primebuild Payroll Processing Dev: Oporto Automation</t>
  </si>
  <si>
    <t>EMail - re Kate Payments</t>
  </si>
  <si>
    <t>Spectrum Retail Developments Pty Ltd</t>
  </si>
  <si>
    <t>Intercompany rec</t>
  </si>
  <si>
    <t>Catch up with Tyson</t>
  </si>
  <si>
    <t>Jordan re report consolidation automation</t>
  </si>
  <si>
    <t>emails and review Asana tasks.  Teams chat Check report generated - consolidated PL for multiple entiteis - email to Jordan / Dan</t>
  </si>
  <si>
    <t>teams. email - LoC notice and messages with Nica, Liaise with Jordan re PI an dsubmit PB initiative for oncost journal automation</t>
  </si>
  <si>
    <t>Liaise with Irish re Mayday</t>
  </si>
  <si>
    <t>Review Katherine car space deductions and email her</t>
  </si>
  <si>
    <t>REview Steven Pember query, Caleb stubbs, ofther emails</t>
  </si>
  <si>
    <t>Emails for payroll and call to ATO re Sean Lawther - follow up email</t>
  </si>
  <si>
    <t>Oncost journals</t>
  </si>
  <si>
    <t>Payroll oncost journals</t>
  </si>
  <si>
    <t xml:space="preserve">email </t>
  </si>
  <si>
    <t>Atmosphere Property Pty Ltd</t>
  </si>
  <si>
    <t>Energy Vault Pty Ltd</t>
  </si>
  <si>
    <t>Sack me! Pty Ltd</t>
  </si>
  <si>
    <t>Responding to Netti's Email</t>
  </si>
  <si>
    <t>Attending to Rose's queries</t>
  </si>
  <si>
    <t xml:space="preserve">Queries: Payment extension due date </t>
  </si>
  <si>
    <t>Responding to Ann's email query</t>
  </si>
  <si>
    <t>Attending to queries</t>
  </si>
  <si>
    <t>Email. Together Stronger Unstoppable</t>
  </si>
  <si>
    <t>Leave accrual</t>
  </si>
  <si>
    <t>Seaforth FC - FY23 ( No XPM details yet )</t>
  </si>
  <si>
    <t>Time sheet review</t>
  </si>
  <si>
    <t xml:space="preserve">MORNING Break: 15 mins coffee breaks as paid per Labor Code of the Philippines, Article 85. </t>
  </si>
  <si>
    <t xml:space="preserve">Responding to Nick's queries. Try 3 ways to improve productivity. </t>
  </si>
  <si>
    <t>&gt;Team Ann's outing &gt;Other adhoc &gt;checking of other files &gt;slow internet</t>
  </si>
  <si>
    <t>NonBillable reupdating file and fixing drive</t>
  </si>
  <si>
    <t>Reupdating the file</t>
  </si>
  <si>
    <t>Fixing spreadsheet and looking for file</t>
  </si>
  <si>
    <t>Asana updates, slow connection and error fix</t>
  </si>
  <si>
    <t>&gt;Asana updates, XPM, and email &gt;Sprout &gt;Meeting with Princess &gt;Teams Chat</t>
  </si>
  <si>
    <t>Worklate deductible to my salary</t>
  </si>
  <si>
    <t>Training evaluation</t>
  </si>
  <si>
    <t>Emails, Asana, scedules, checklists</t>
  </si>
  <si>
    <t>Phone with Sylvie to discuss Interco Rec</t>
  </si>
  <si>
    <t>FX rate changes for Intercompany transactions in BAM &amp; BELCR</t>
  </si>
  <si>
    <t>review debtor's list</t>
  </si>
  <si>
    <t>BS Recs for LOC Inc account Check and approve sales to a2x</t>
  </si>
  <si>
    <t xml:space="preserve">Email Management Bills raise to xero Bank Reconciliation BM and LOC Inc Sent queries to Lauren for approval.  Clearing Account International - Paypal Afterpay Shopify Klarna Shopify Installment </t>
  </si>
  <si>
    <t>Support</t>
  </si>
  <si>
    <t>Email Management Bills Processing Bank Recon</t>
  </si>
  <si>
    <t xml:space="preserve">Bank Recon </t>
  </si>
  <si>
    <t>Email Management Bills Processing Invoices Processing' Supplier's Batch Payment Liam's Expense Claim payment Bank and credit Card Recon  Sending out unreconciled bank transactions to Michelle and Nicole</t>
  </si>
  <si>
    <t xml:space="preserve">Catch Up Meeting with Elena and Lynn re Payroll concerns </t>
  </si>
  <si>
    <t xml:space="preserve">Sending of STP and checking payroll queries  </t>
  </si>
  <si>
    <t>Partial bank recs</t>
  </si>
  <si>
    <t>Catch up emails for AU Accounts and respond</t>
  </si>
  <si>
    <t>Communication with Ms Con regarding instructions with Finance and other things</t>
  </si>
  <si>
    <t>Short discussion with Jordan re: XPM and Xero invoicing reconciliation</t>
  </si>
  <si>
    <t>Respond to various emails - send out ASIC invoice to Emily</t>
  </si>
  <si>
    <t>Process bills for Compass (no issue)</t>
  </si>
  <si>
    <t>Catch up Asana tasks and billed additional invoicing.</t>
  </si>
  <si>
    <t>Record ASIC service fee and Intercompany setup for both Dexterous Global Pty Ltd and Dexterous Holdings Pty Ltd</t>
  </si>
  <si>
    <t>Compliance</t>
  </si>
  <si>
    <t>Request compass to print the the Change of Accounting Period requirements.</t>
  </si>
  <si>
    <t>Preparation of BIR 1601C and 0619E for the month of February 2024.</t>
  </si>
  <si>
    <t>Dexterous Group RO</t>
  </si>
  <si>
    <t>RO BIR 1601C and 0619E February 2024 working papers and tax filings</t>
  </si>
  <si>
    <t>Insights with the training (email). Assistance via phone with Con re: PH Branch BDO setup.</t>
  </si>
  <si>
    <t>Assist Ms Con with the Change of Accounting Period requirements/Discussion with Salaries accrual.</t>
  </si>
  <si>
    <t>Record all accrual for Feb 2024. Leave balances updating. Coordinating with Jordan/Ms Con re: XPM as per Nick's request to add the reconciliation of invoices.</t>
  </si>
  <si>
    <t>Payroll processing - Sprout payroll approval</t>
  </si>
  <si>
    <t>BDO payroll uploading and request to Nick for approval. Summary preparation for all request.</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</si>
  <si>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t>
  </si>
  <si>
    <t>processing bills and bank reco</t>
  </si>
  <si>
    <t>uploading payments</t>
  </si>
  <si>
    <t>VGS Pty Ltd</t>
  </si>
  <si>
    <t>Supply Crew Pty Ltd</t>
  </si>
  <si>
    <t>prep for meeting</t>
  </si>
  <si>
    <t>organising access and handover</t>
  </si>
  <si>
    <t>Fathom report February</t>
  </si>
  <si>
    <t>month end file for manual journals</t>
  </si>
  <si>
    <t>call with Stuart on month end excel</t>
  </si>
  <si>
    <t>Meeting with Josh and Carly</t>
  </si>
  <si>
    <t>emails, teams, Asana Searching for customer analysis data software integration with Xero</t>
  </si>
  <si>
    <t>email, AP</t>
  </si>
  <si>
    <t>AP, emails</t>
  </si>
  <si>
    <t>AP, Files, BR</t>
  </si>
  <si>
    <t>emails &amp; EOM</t>
  </si>
  <si>
    <t>CPR insights Finance meeting RO balance sheet recon</t>
  </si>
  <si>
    <t>Management meetings 1:1 Handover</t>
  </si>
  <si>
    <t>Feb24 payroll tax processing and lodgment with Gerardo. Overview of Cash clearing account recon</t>
  </si>
  <si>
    <t>Morning and afternoon emails Various teams messages during the day</t>
  </si>
  <si>
    <t>Finalise payroll, upload payment, email for approval</t>
  </si>
  <si>
    <t>Export reports for payroll journal automation</t>
  </si>
  <si>
    <t>Review payroll journals</t>
  </si>
  <si>
    <t>Respond to Adrienne's query</t>
  </si>
  <si>
    <t>Call from Adrienne re  Eri's LWOP. Amend Eri Ng's pay as per Adrienne,</t>
  </si>
  <si>
    <t>Look into redundancy, PPL, and LSL query from client</t>
  </si>
  <si>
    <t>Last minute payroll adjustments</t>
  </si>
  <si>
    <t>Payroll processing and peer review</t>
  </si>
  <si>
    <t>Post AL/LSL provision journal</t>
  </si>
  <si>
    <t>AP and bank rec review Transactions review</t>
  </si>
  <si>
    <t>Cashflow update AP run Bank rec</t>
  </si>
  <si>
    <t>Account rec</t>
  </si>
  <si>
    <t>Accounts reconciliation</t>
  </si>
  <si>
    <t>Inbox mgmt Bank rec Ad hoc Month-end rec</t>
  </si>
  <si>
    <t>BS rec</t>
  </si>
  <si>
    <t>Email payslips and file STP</t>
  </si>
  <si>
    <t>Update leave and reprocess payroll Email reports to client</t>
  </si>
  <si>
    <t>Upload payable and email Kathy/Shalisa</t>
  </si>
  <si>
    <t>Attend to email from Kerry. Update Prue's pay template. Amend payrun for F/E 03/03/2024 for Prue. Process Chanelle's pay again. Advise Kerry on the additional payment for Prue</t>
  </si>
  <si>
    <t>Review accounts for Feb 2024. Run dep/amortisation for Feb. Update Fathom report, add commentaries and send report to Zoe.</t>
  </si>
  <si>
    <t>Return from Manila</t>
  </si>
  <si>
    <t>checking Invoice with Issue and Cash flow</t>
  </si>
  <si>
    <t>reviewing files for month end prep payroll tax payment</t>
  </si>
  <si>
    <t>Payroll Tax lodgement training</t>
  </si>
  <si>
    <t>Payments</t>
  </si>
  <si>
    <t>review unreconciled Bk rec / search funds held</t>
  </si>
  <si>
    <t>BAM Tax rec, email to Sam</t>
  </si>
  <si>
    <t>OMS</t>
  </si>
  <si>
    <t>SNZL - invoicing, liaise Nick, Josh, Mel</t>
  </si>
  <si>
    <t>Asana - new invoice SNZL, liaise Mel Eaton and Nick</t>
  </si>
  <si>
    <t>Liaise with Aileen re payroll and iAS</t>
  </si>
  <si>
    <t>Liaise with Rachele and Sarah</t>
  </si>
  <si>
    <t>Meeting Logika re Interco recs and BS recs</t>
  </si>
  <si>
    <t>update Asana, timesheet, Teams, emails, liaise teams re IAS</t>
  </si>
  <si>
    <t xml:space="preserve">Report for IAS </t>
  </si>
  <si>
    <t>IAS/BAS Preparation &amp; Lodgement - Jan</t>
  </si>
  <si>
    <t>Starleaton NZ Limited</t>
  </si>
  <si>
    <t>Get all payroll reports and PAYE calculation from server, review, access IRD, liaise with Nica and Sarah for training, email Mel and Nick</t>
  </si>
  <si>
    <t>Fathom Conso Feb 2024 - review and corrections</t>
  </si>
  <si>
    <t>Send RA to supplier</t>
  </si>
  <si>
    <t>Merge and update details of contact in Xero</t>
  </si>
  <si>
    <t>Download Bank Statements</t>
  </si>
  <si>
    <t>Submit bill for approval in Xero</t>
  </si>
  <si>
    <t>Enter bill in Sage</t>
  </si>
  <si>
    <t>Void manual journal in Xero</t>
  </si>
  <si>
    <t>Clear AP inbox</t>
  </si>
  <si>
    <t>Submit bills for approval in Xero</t>
  </si>
  <si>
    <t>Send Bonuses paid from FY 2021-2023</t>
  </si>
  <si>
    <t>Send Payroll Tax Reports from FY 2023</t>
  </si>
  <si>
    <t>AP, Bank Reconciliation, and Emails</t>
  </si>
  <si>
    <t>Nephew Brand Pty Ltd</t>
  </si>
  <si>
    <t>Send employee details report and leave balances</t>
  </si>
  <si>
    <t>IAS - Feb 2024</t>
  </si>
  <si>
    <t>Correspondence re. flexible working arrangements policy</t>
  </si>
  <si>
    <t>Weekly PT call</t>
  </si>
  <si>
    <t xml:space="preserve">Calls with GM Calls with Drug and Alcohol testing provider Disciplinary meeting Correspondence re. Sales team and recruitment request Draft letter re. formal role change  </t>
  </si>
  <si>
    <t>archive loan accounts</t>
  </si>
  <si>
    <t>emails, update bank account details</t>
  </si>
  <si>
    <t>loans rec update</t>
  </si>
  <si>
    <t>chats re staff concerns</t>
  </si>
  <si>
    <t>chats, follow ups, Asana, etc</t>
  </si>
  <si>
    <t>chats re staff concern</t>
  </si>
  <si>
    <t>chats, emails, follow up on response to Nick, etc</t>
  </si>
  <si>
    <t>chats with CMs and directs re concerns, additional requirements, etc. coordinate client transfers, review and update capacity</t>
  </si>
  <si>
    <t>Medical checkup (final leg of scans and consultation with Dr. at St. Luke's)</t>
  </si>
  <si>
    <t>Continuation of flows /manual  * Review 2- AI data security FAQ data : to be transformed to simple language</t>
  </si>
  <si>
    <t>Zoho tasks Networking</t>
  </si>
  <si>
    <t xml:space="preserve">Leave Reports and Balances </t>
  </si>
  <si>
    <t>February Month End Recs - Simpro Vs Xero</t>
  </si>
  <si>
    <t>XeroDownloadReportsAutomation - updated Zoho Survey Form - added the following in the Profit and Loss Sequence  * Month / Year / Custom date and 'compare to previous periods'  * Cash vs accruals basis - added 'Uncoded Statement Lines' Sequence for all bank accounts across multiple entities</t>
  </si>
  <si>
    <t>Run four Alliance automations + AP automation; Conducted revision on newly added feature to make it more efficient in adding comments</t>
  </si>
  <si>
    <t>Alliance Report Automation additional functions development and testing.</t>
  </si>
  <si>
    <t>Call with Kate re Oporto Newtown and other entities</t>
  </si>
  <si>
    <t>Bank recon, emails, bills, month end tasks</t>
  </si>
  <si>
    <t>Re-watching handover video, checking the account, previous bills, call with Ge re some transactions</t>
  </si>
  <si>
    <t>Loading bills, bank recon</t>
  </si>
  <si>
    <t>Emails, loading bills, bank recon, AP payment, IAS report</t>
  </si>
  <si>
    <t>MET</t>
  </si>
  <si>
    <t>Forecast report email to John, call w/Jim</t>
  </si>
  <si>
    <t>review/emails</t>
  </si>
  <si>
    <t>inbox/ seminar/ queries</t>
  </si>
  <si>
    <t>emails/ queries/ reminders/ Sprout</t>
  </si>
  <si>
    <t>socials/ teams/ Gen Ledgers Exceptions/ queries</t>
  </si>
  <si>
    <t>Gen Ledger Exceptions queries</t>
  </si>
  <si>
    <t>Fathom</t>
  </si>
  <si>
    <t>Arriva: The Employee Relations Revolution: Why It Matters &amp; 24 Game-Changing Strategies to Improve It</t>
  </si>
  <si>
    <t>checking process bank transactions</t>
  </si>
  <si>
    <t>process AP payments emails</t>
  </si>
  <si>
    <t>AP payment</t>
  </si>
  <si>
    <t>bank transactions training with Ms.Rose</t>
  </si>
  <si>
    <t>send remittances</t>
  </si>
  <si>
    <t>ap report for payment</t>
  </si>
  <si>
    <t>export aba files</t>
  </si>
  <si>
    <t xml:space="preserve">call with Ms,Ef </t>
  </si>
  <si>
    <t>Exporting IAS report</t>
  </si>
  <si>
    <t>BAnk recs</t>
  </si>
  <si>
    <t>Exploring Mayday app for reconciling intercompany accounts</t>
  </si>
  <si>
    <t>Checking overpayments, invoices, manual journals</t>
  </si>
  <si>
    <t>Checking emails, asana, responding to training evaluation forms</t>
  </si>
  <si>
    <t>Month-end report</t>
  </si>
  <si>
    <t>PAYG Rec, checking employee earnings</t>
  </si>
  <si>
    <t>Add loan to chart, and to warrawong email kate on the setup update for newtown</t>
  </si>
  <si>
    <t>email client</t>
  </si>
  <si>
    <t>emails, asana, xpm</t>
  </si>
  <si>
    <t>assist Rac with month end - answer queries</t>
  </si>
  <si>
    <t>assist Rac - dashboard report</t>
  </si>
  <si>
    <t>Pinnacle new store - new town setup</t>
  </si>
  <si>
    <t>feb lodgement</t>
  </si>
  <si>
    <t>SNZL NZ PAYE Lodgement</t>
  </si>
  <si>
    <t>Bank rec, finalise bs rec</t>
  </si>
  <si>
    <t>bank recon, ap items, finalise BS rec</t>
  </si>
  <si>
    <t>Wyzed - wip</t>
  </si>
  <si>
    <t>Wyzed TPAR</t>
  </si>
  <si>
    <t>Wyzed Payroll Tax</t>
  </si>
  <si>
    <t>Run: Lack of Color Run: Cash raw - January to February 2024 Dev: Oporto Automation</t>
  </si>
  <si>
    <t>Add opening / closing stock journals back to first month of trading</t>
  </si>
  <si>
    <t>Add journals for stock held back to October to 'fix' figures</t>
  </si>
  <si>
    <t>Review bank queries and AP Email to Lucia re tax returns Email to Nine re agreement informaiton etc.</t>
  </si>
  <si>
    <t>Rerun bank reconciliation queries and send to Eric as 'fresh' email Liaise with Jordan re report automation OPORTO NEWTOWN - summary</t>
  </si>
  <si>
    <t>Check RSVP derregistration of GST group - email to Gen to ask her to call ATO on this</t>
  </si>
  <si>
    <t>Message to Ann re Ef / Pinnacle resourcing</t>
  </si>
  <si>
    <t>Nephew Brand - email to Aaron, confirm fees.  Messages to Aileen and client delivery chat group</t>
  </si>
  <si>
    <t xml:space="preserve">Teams chats with delivery team re oporto and Ann re Ef capacity Chat with Ef re capacity </t>
  </si>
  <si>
    <t>Check email/ respond re bank account</t>
  </si>
  <si>
    <t>OPORTO NEWTOWN - liaise with Nica re setup tasks required.  Add users to new Xero file</t>
  </si>
  <si>
    <t>Meeting with Jordan re oncost journal automation</t>
  </si>
  <si>
    <t>Trying to contact client to follow up from meeting - phone call and text message, message to Nica</t>
  </si>
  <si>
    <t>Call with Eric and discuss Newtown store</t>
  </si>
  <si>
    <t>Meeting with Nica - update Mayday access, review Mayday and discuss Pinnacle intercompany loans</t>
  </si>
  <si>
    <t>Revieew payroll / wages - update repeating journal.  Add AL journals for Jan / Feb and add monthly task.</t>
  </si>
  <si>
    <t>&gt;CoffeeBreak &gt;chat with Nick &gt;Reading Ann's Team Activity - Outing &gt;Generating report requested by Princess and Gen &gt;Other adhoc</t>
  </si>
  <si>
    <t>&gt;catch up with RJ &gt;Responding to Jordan queries &gt;Helping and Continuation of GEn report ( Master list ) &gt;Responding to Aileen Queries &gt;Responding to Cess Queries &gt;Responding to Kate emails &gt;checking of XPM &gt;Email</t>
  </si>
  <si>
    <t>Bellinger Credit Pty Limited</t>
  </si>
  <si>
    <t>RSA Industries Pty Ltd</t>
  </si>
  <si>
    <t>ias</t>
  </si>
  <si>
    <t>Updating and fixing Zoom meeting</t>
  </si>
  <si>
    <t>General Exception list reason column sent by Xavi</t>
  </si>
  <si>
    <t>Reading Exception reason link provided by Xavi</t>
  </si>
  <si>
    <t xml:space="preserve">Training: The employee relationship revolution sent by Xavi. </t>
  </si>
  <si>
    <t>Asana. e,ails</t>
  </si>
  <si>
    <t>wyzed, refund Aranas</t>
  </si>
  <si>
    <t>month-end / handover / arranging various deliveries legal docs / BIR Payment</t>
  </si>
  <si>
    <t>True Alpha Ventures Pty Ltd</t>
  </si>
  <si>
    <t xml:space="preserve">Weekly bookkeeping </t>
  </si>
  <si>
    <t xml:space="preserve">Check and approving sales to a2x Intercompany loan reconciliation </t>
  </si>
  <si>
    <t xml:space="preserve">Email Management Fixed the Fixed asset Bills raise to xero Bank Reconciliation BM and Loc Inc Bs Recs for BM </t>
  </si>
  <si>
    <t>Paternity</t>
  </si>
  <si>
    <t>Email Management  Bills Processing</t>
  </si>
  <si>
    <t>Email Management Bills Processing Bank and Credit Card Recon</t>
  </si>
  <si>
    <t xml:space="preserve">Email Management Bills Processing Supplier Invoice Recon Bank Recon </t>
  </si>
  <si>
    <t>SL</t>
  </si>
  <si>
    <t xml:space="preserve">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t>
  </si>
  <si>
    <t>follow up access to Xero</t>
  </si>
  <si>
    <t>Reimburse Shalisa</t>
  </si>
  <si>
    <t>Smartfleet reports request</t>
  </si>
  <si>
    <t>Feb Supp recs</t>
  </si>
  <si>
    <t>emails and KID balance</t>
  </si>
  <si>
    <t>Feb Supplier recs</t>
  </si>
  <si>
    <t>3 things to work on</t>
  </si>
  <si>
    <t>Training eval form</t>
  </si>
  <si>
    <t>chat with Nick</t>
  </si>
  <si>
    <t>Review for IAS export</t>
  </si>
  <si>
    <t>Monthend finalization hand over</t>
  </si>
  <si>
    <t>Monthend finalization handover</t>
  </si>
  <si>
    <t>Cal with Maan re FAR</t>
  </si>
  <si>
    <t>Discussion with Maan re interco loan account recon</t>
  </si>
  <si>
    <t>Enter weekly spreadsheets from Jan to Feb</t>
  </si>
  <si>
    <t xml:space="preserve">Reconcile cash on hand and cash clearing until end of Feb24 </t>
  </si>
  <si>
    <t>Entering of bank transactions and bank handover with Gerardo</t>
  </si>
  <si>
    <t>Emails, teams messages, asana</t>
  </si>
  <si>
    <t>Load payroll payments</t>
  </si>
  <si>
    <t>Action payroll emails, email from Allison to remove completed jobs</t>
  </si>
  <si>
    <t>AP and bank rec review Accounts review</t>
  </si>
  <si>
    <t>Adhoc recs</t>
  </si>
  <si>
    <t>Inbox mgmt AP and bank rec Ad hoc reconciliations</t>
  </si>
  <si>
    <t>Prepare IAS report</t>
  </si>
  <si>
    <t>Prepare IAS report Reconcile payroll transaction</t>
  </si>
  <si>
    <t>Upload payment an email Katherine/Shalisa</t>
  </si>
  <si>
    <t>Chemika Pty Ltd</t>
  </si>
  <si>
    <t>Onsite: IT issues, send customer statements as at 07.03.2024. AP processing, meeting with Alan.</t>
  </si>
  <si>
    <t>Month end shadowing</t>
  </si>
  <si>
    <t>Shadow month end task with Rejie</t>
  </si>
  <si>
    <t>February Budget Variance report</t>
  </si>
  <si>
    <t>Cashflow, AP Catch up meeting, Payroll Expense report</t>
  </si>
  <si>
    <t>BLM - 3E queries for tax return</t>
  </si>
  <si>
    <t>Timesheet, Asana</t>
  </si>
  <si>
    <t>Liaise with Nica on PAYE</t>
  </si>
  <si>
    <t xml:space="preserve">Stephen's comments on Feb Fathom </t>
  </si>
  <si>
    <t>Create new account in CoA and Re-code bill</t>
  </si>
  <si>
    <t>Unsettled Purchases - Feb 2024</t>
  </si>
  <si>
    <t>Check Freight balance in AgriChain vs Xero</t>
  </si>
  <si>
    <t>AP and Bank Reconciliation</t>
  </si>
  <si>
    <t>Check Sales and Purchases balance in AgriChain vs Xero</t>
  </si>
  <si>
    <t>Meeting with Nicole</t>
  </si>
  <si>
    <t>Balance Sheet Reconciliation</t>
  </si>
  <si>
    <t>Remuneration review data Correspondence re. flexible working arrangements policy Follow up re. performance reviews  Follow up re. pulse check</t>
  </si>
  <si>
    <t>Review and correspondence re. performance plan</t>
  </si>
  <si>
    <t>Correspondence re. reporting lines Follow up re. secondment and role change</t>
  </si>
  <si>
    <t>management reports</t>
  </si>
  <si>
    <t>emails, chats, emails/chats re Food Rascal, check Asana</t>
  </si>
  <si>
    <t>chats re meeting scheds, Asana, coordinate tasks</t>
  </si>
  <si>
    <t>capacity, chats, coordinate tasks needing backup, etc</t>
  </si>
  <si>
    <t>capacity review, coordinate client transfers, review Guia's client and check which ones to transfer, check tax accountants for Zoho update</t>
  </si>
  <si>
    <t>Sprout, Asana, chats, emails, check timesheets, call with Con re staff performance issues, coordinate tasks, review capacity, etc</t>
  </si>
  <si>
    <t xml:space="preserve">screen through existing processes to filter through what to keep and delete  start of video and manual edits  </t>
  </si>
  <si>
    <t>Creating and review of EFT Weekly Lists</t>
  </si>
  <si>
    <t>- Check and updated other automations (tested different scenarios for error possibilities) Xero API Payrun - Ran Xero API Payrun for 491 Pay Items requested by Kate Gow</t>
  </si>
  <si>
    <t>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t>
  </si>
  <si>
    <t>Pinnacle Oporto Newtown Pty Ltd</t>
  </si>
  <si>
    <t>Connected Culture New Client Template development Capscpace Automation Report Generation and Output Checking</t>
  </si>
  <si>
    <t>Pushing bills, bank recon</t>
  </si>
  <si>
    <t>Email management, loading bills, month end</t>
  </si>
  <si>
    <t>Email checking, loading bills</t>
  </si>
  <si>
    <t>Call with Kate and Nicole</t>
  </si>
  <si>
    <t>Reading processes and payroll inbox, learning the process</t>
  </si>
  <si>
    <t>Specific Reserve - investigate past MYOB transactions + make corrections to the fin records + advise</t>
  </si>
  <si>
    <t>Review + finalise Feb24 financials review payroll review internal transfers</t>
  </si>
  <si>
    <t>HR queries/ teams/ queries</t>
  </si>
  <si>
    <t>inbox/ queries/ new outlook settings/ Sprout/ Teams</t>
  </si>
  <si>
    <t>expense report Email regarding expense report</t>
  </si>
  <si>
    <t>bank recon email suppliers</t>
  </si>
  <si>
    <t>Bank recs, AP processing, recording of invoices</t>
  </si>
  <si>
    <t>Checking/reconciling intercompany transactions, Bank Recs, recording of invoices</t>
  </si>
  <si>
    <t>Cashflow updates</t>
  </si>
  <si>
    <t>review bank recs</t>
  </si>
  <si>
    <t>check emails, asana, xpm, teams chat</t>
  </si>
  <si>
    <t xml:space="preserve">file medicine reimbursements </t>
  </si>
  <si>
    <t>reply to emails re GST</t>
  </si>
  <si>
    <t>gst nz return</t>
  </si>
  <si>
    <t>fix vpn access with Mark to run reports for GST</t>
  </si>
  <si>
    <t>record process flows</t>
  </si>
  <si>
    <t>process flows</t>
  </si>
  <si>
    <t>review feb reports and send to client</t>
  </si>
  <si>
    <t>chat with Rachele to assist on Payroll - FBT deductions</t>
  </si>
  <si>
    <t>assist rac - payroll query</t>
  </si>
  <si>
    <t>Dext prep, ap items, bank recon, send email to client for open items and ap bills due</t>
  </si>
  <si>
    <t>AP items and Dext Prepare</t>
  </si>
  <si>
    <t>Update custom P&amp;L reports, Client queries, generate AP batch for payment</t>
  </si>
  <si>
    <t>record invoices, bank recon, send items for query to client</t>
  </si>
  <si>
    <t>SureFire Services - Automation</t>
  </si>
  <si>
    <t>Run: LOC Dev: Pinnacle Oporto Automation Meeting: Holdsworth Update - Jeric</t>
  </si>
  <si>
    <t>Emails to Jemimah and Katherine re hours / meetings.  Create RCTIs for previous fortnight x 2 load payments to bank Create draft RCTIs for current fortnight x 2</t>
  </si>
  <si>
    <t>Emails, Asana general</t>
  </si>
  <si>
    <t>Onefocus - non billable meeting with Ef and Nicole re access and payroll processing RSVP - chat to Nick on phone re tax, respond to email</t>
  </si>
  <si>
    <t>Follow up re queries for BAS / tax</t>
  </si>
  <si>
    <t>Request setup of pay codes from BIT team</t>
  </si>
  <si>
    <t>Non billable - assist Irish with Mayday set up</t>
  </si>
  <si>
    <t>Email to Charloie at Nine, review month end progress</t>
  </si>
  <si>
    <t>Email to James re R&amp;D, ASIC etc Respond to Blair email with summary</t>
  </si>
  <si>
    <t>Email, TEams to Ali re resourcing</t>
  </si>
  <si>
    <t>Management meeting reports update / email to /Alison Emails and Asana</t>
  </si>
  <si>
    <t>Sydney team meeting, teams, emails</t>
  </si>
  <si>
    <t>Call with Services Austrlaia - update Child support payment, save documents, change password on website and update secure notes Email to Andrew re Dean move to RNR</t>
  </si>
  <si>
    <t>Set up Frank in Xero Rinka - monthly payments calculation Email to Angie re payroll Review super clearing houses and email re Hostplus clearing house and workers compl</t>
  </si>
  <si>
    <t>Check STP reporting and PAYG balances</t>
  </si>
  <si>
    <t>Salary spreadsheet - update with all employees</t>
  </si>
  <si>
    <t>Finance team meeting, messages to RJ / Ali re resourcing</t>
  </si>
  <si>
    <t>Meeting with Z, leave and other concerns</t>
  </si>
  <si>
    <t>Catch up with Mariecon</t>
  </si>
  <si>
    <t>attending to queries</t>
  </si>
  <si>
    <t xml:space="preserve">MORNING Break: as paid per Labor Code of the Philippines, Article 85. </t>
  </si>
  <si>
    <t>Reading and cleaning 25unread emails</t>
  </si>
  <si>
    <t>&gt;ASANA updates &gt;XPM checking &gt;other tasks &gt;chat with Melissa Dex concern &gt;Catch up with RJ &gt;Catch up with Ann &gt;call with Linsday, BAS concern</t>
  </si>
  <si>
    <t>Checking of leave, validating VL, compose email to Shalini, filing of leave, retrieving emails and chat with Zerra</t>
  </si>
  <si>
    <t>IAS process and fixing XPM error</t>
  </si>
  <si>
    <t>slow connection</t>
  </si>
  <si>
    <t xml:space="preserve">Wyzed training - Company Tax return </t>
  </si>
  <si>
    <t>catch up with Aileen ( Games activity )</t>
  </si>
  <si>
    <t>Meeting with Angela ( Billing concern &amp; Team Ann's activity )</t>
  </si>
  <si>
    <t>Phone call with AH to discuss HR Advisory candidate, and Nordfab.  Conduct first reference check for candidate and type up.  Organise CV check to be sent to candidate.  Review candidates for HR Advisory role on Seek and send unsuccessful letters to candidates.</t>
  </si>
  <si>
    <t>Teams weekly meeting.</t>
  </si>
  <si>
    <t>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t>
  </si>
  <si>
    <t>Month-end tasks - JE</t>
  </si>
  <si>
    <t>New Employee set up</t>
  </si>
  <si>
    <t>review debt list</t>
  </si>
  <si>
    <t>huddle</t>
  </si>
  <si>
    <t>monthend / handover</t>
  </si>
  <si>
    <t>BS RECS - reconciled the bank reconciliation report of the 4 corporate cards and revised the BS RECS for BM and LOC Inc</t>
  </si>
  <si>
    <t>Email Management Bills raise to xero Approving sales to a2x Import CBA 7334 and reconciled Bank Reconciliation in BM and LOC Inc</t>
  </si>
  <si>
    <t>Check Employee list vs. in XERO Sent the difference to Lauren Prepared the payroll employee summary report comparison for the previous FN Sent for approval for payment Upload it to CBA Sent the payslip and filed it to ATO</t>
  </si>
  <si>
    <t>IT Support</t>
  </si>
  <si>
    <t>Clean up other Asana tasks related to Invoicing</t>
  </si>
  <si>
    <t>Partially catch up emails from AU accounts emails. Process bills and reconcile bank accounts.</t>
  </si>
  <si>
    <t>XPM and Xero invoicing reconciliation. Ezidebit payments update. Send email to Erina for dishonoured payment.</t>
  </si>
  <si>
    <t>Additional invoicing based on Asana tasks</t>
  </si>
  <si>
    <t>Continuous on weekly invoicing.</t>
  </si>
  <si>
    <t>Weekly invoicing</t>
  </si>
  <si>
    <t xml:space="preserve">Compliance invoicing report checking and coordinating for unbilled lodgement </t>
  </si>
  <si>
    <t>Assist Ms Shirley with Brgy Clearance and Insurance copy for RO and Branch</t>
  </si>
  <si>
    <t xml:space="preserve">✅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t>
  </si>
  <si>
    <t>Request for net income previous years review of # employees</t>
  </si>
  <si>
    <t>email introduction to Tisha</t>
  </si>
  <si>
    <t>Meeting with Tisha (sales expert)</t>
  </si>
  <si>
    <t>Follow up on access of shared folder Meeting with Kate and Efleda on payroll</t>
  </si>
  <si>
    <t>Jan2024 Grant allocation</t>
  </si>
  <si>
    <t>AP, files</t>
  </si>
  <si>
    <t>Team Ann huddle</t>
  </si>
  <si>
    <t>leaves application and payroll</t>
  </si>
  <si>
    <t>Respond to Rob</t>
  </si>
  <si>
    <t>BELC recs</t>
  </si>
  <si>
    <t xml:space="preserve">Checking emails and replied </t>
  </si>
  <si>
    <t>BELCR BS recs</t>
  </si>
  <si>
    <t>CHCP reporting</t>
  </si>
  <si>
    <t>Weekly billable reporting XPM timesheets review Update weekly billable-new graph Review interco and advances Monthly 1:1 Rose BS queries resolution from Nick with Con WIP study for dashboard</t>
  </si>
  <si>
    <t>Finance handover - monthend conso</t>
  </si>
  <si>
    <t>Prepayments- walkthrough with Sherly</t>
  </si>
  <si>
    <t>Send emails to Alan/Catherine re nominating Dexterous, NAB ID.</t>
  </si>
  <si>
    <t>Attend to email from Kerry. Coordinate internally re work to be done</t>
  </si>
  <si>
    <t>Review EOM reports for Feb 2024 and send feedback to Jimwelle</t>
  </si>
  <si>
    <t xml:space="preserve">Review EOM reports for Feb 2024 and send feedback to Jimwelle Attend to emails from Tom re PAYG instalment tax for Tom as an individual </t>
  </si>
  <si>
    <t>Review super for Feb 2024. Lodgement via SBSCH. Terminate employees on SBSCH. Send report to Wayne for payment</t>
  </si>
  <si>
    <t>Weekly invoicing, BAS/AIS workflow. Request for IAS deferral for RWB, go through mails, proposal for annual payroll tax for Energy Vault, send an email to James, BAS/IAS follow up with team</t>
  </si>
  <si>
    <t>Feb 2024 IAS review and lodgement</t>
  </si>
  <si>
    <t>Weekly Sydney meeting</t>
  </si>
  <si>
    <t>Overview Month end task</t>
  </si>
  <si>
    <t>Cashflow, meeting with James Con</t>
  </si>
  <si>
    <t>Month End BS Rec</t>
  </si>
  <si>
    <t>Email Andrew/talk Nick re Josh's resignation</t>
  </si>
  <si>
    <t>ITR 2023 and 2024 - run GST reports and payroll reports and send to ARC</t>
  </si>
  <si>
    <t>Review BS rec</t>
  </si>
  <si>
    <t>Review BASS Bs Rec + corrections</t>
  </si>
  <si>
    <t>Review timesheet, approve invoices Bellinger and Capspace - check Rachele's allocation on Bellinger</t>
  </si>
  <si>
    <t>Liaise with Sam for update</t>
  </si>
  <si>
    <t>Queries Tracey, liaise with Aileen</t>
  </si>
  <si>
    <t>Retrieve and resend quote for Fathom report - inform client about AL</t>
  </si>
  <si>
    <t>GST Jan-Feb - run reports in Sage, send to Nica</t>
  </si>
  <si>
    <t>Nica's access to server</t>
  </si>
  <si>
    <t>set up consolidated P&amp;L Feb 2024</t>
  </si>
  <si>
    <t>Catch up Nick</t>
  </si>
  <si>
    <t>Set Lock Dates in Xero</t>
  </si>
  <si>
    <t>Check Brokerage balance in AgriChain vs Xero</t>
  </si>
  <si>
    <t>Bank Reconciliation, Emails, and Manual Journals</t>
  </si>
  <si>
    <t>AP and Emails</t>
  </si>
  <si>
    <t>Check Sales &amp; Purchases balance in AgriChain vs Xero</t>
  </si>
  <si>
    <t>Check Sales balance in AgriChain vs Xero</t>
  </si>
  <si>
    <t>Check if all invoices in AgriChain are synced in Xero and Publish bills from Hubdoc to Xero</t>
  </si>
  <si>
    <t>Set up new employee in Xero</t>
  </si>
  <si>
    <t>Meeting re. mediation</t>
  </si>
  <si>
    <t>Weekly meeting with FD Call with FD re. salary range/performance concerns of staff member</t>
  </si>
  <si>
    <t>Remuneration reviews and correspondence</t>
  </si>
  <si>
    <t>call with Nicole</t>
  </si>
  <si>
    <t>call with Aileen re task</t>
  </si>
  <si>
    <t>Check emails, Assist with final pay calcs, chats with Mary</t>
  </si>
  <si>
    <t>internal call, chats</t>
  </si>
  <si>
    <t>Asana, Sprout, emails, chats</t>
  </si>
  <si>
    <t>Break, chats, emails, capacity, etc</t>
  </si>
  <si>
    <t>call with RJ, chats re staff concerns, capacity, call with Guia re capacity, etc</t>
  </si>
  <si>
    <t xml:space="preserve">screen through existing processes to filter through what to keep and delete  start of video and manual edits </t>
  </si>
  <si>
    <t xml:space="preserve">Amend James' comments for EFT weekly lists </t>
  </si>
  <si>
    <t xml:space="preserve">Statement Checking </t>
  </si>
  <si>
    <t>XeroDownloadReportsAutomation - Debugging some errors found while running in the VM</t>
  </si>
  <si>
    <t>Nelson, Joshua</t>
  </si>
  <si>
    <t>Triple Gem Investments Pty Limited</t>
  </si>
  <si>
    <t>Run four Alliance automations + AP automation;  Added 6 supplier to Alliance Automation Statements/Credit Adjustments</t>
  </si>
  <si>
    <t>Connected Culture New Template Development</t>
  </si>
  <si>
    <t>Checking emails, bank recon</t>
  </si>
  <si>
    <t>Creating invoice for client</t>
  </si>
  <si>
    <t>Loading receipts from Dext, bank recon, AP payment</t>
  </si>
  <si>
    <t>Learning the process, reading emails, reviewing the exceptions spreadsheet, checking previous payruns and checking each employee's payslips</t>
  </si>
  <si>
    <t>Monthly payroll</t>
  </si>
  <si>
    <t>Review + coordinate final pay calc + payroll</t>
  </si>
  <si>
    <t>uploaded all the returns (6 entities) to xero for signing, billing instructions to Mel; updating ASANA, updating 2024 tax schedule, email Bec to let her know and confirm if ADFLMF is approved for signature</t>
  </si>
  <si>
    <t>review and approve invoice</t>
  </si>
  <si>
    <t>admin</t>
  </si>
  <si>
    <t>emails/ requests/ queries</t>
  </si>
  <si>
    <t>queries/emails</t>
  </si>
  <si>
    <t>Deputy report</t>
  </si>
  <si>
    <t>Apple</t>
  </si>
  <si>
    <t>inbox/ leave calendar/ Sprout/ reminder</t>
  </si>
  <si>
    <t>career dev't plan</t>
  </si>
  <si>
    <t>Xero Migration</t>
  </si>
  <si>
    <t>Earjobs NZ Limited Partnership</t>
  </si>
  <si>
    <t>adding users</t>
  </si>
  <si>
    <t>- ASIC - Call to ATO for RSVP.Com - Nick's email management - Follow up with Travel Agents - Zoho data update</t>
  </si>
  <si>
    <t>ap report</t>
  </si>
  <si>
    <t>invoices inbox</t>
  </si>
  <si>
    <t>bank recon ap invoices from inbox approve ap invoices in xero</t>
  </si>
  <si>
    <t>spinning and woolpack invoices</t>
  </si>
  <si>
    <t>Checking mails, drafting email, checking accounts</t>
  </si>
  <si>
    <t>AR invoices, answering queries/emails</t>
  </si>
  <si>
    <t>Checking emails</t>
  </si>
  <si>
    <t>Updating month-end report</t>
  </si>
  <si>
    <t xml:space="preserve">Payroll </t>
  </si>
  <si>
    <t>bank rec</t>
  </si>
  <si>
    <t>update oporto report templates - across all oporto files</t>
  </si>
  <si>
    <t>bank rec and check bills and invoices</t>
  </si>
  <si>
    <t>review loan balances</t>
  </si>
  <si>
    <t>emails. chat, asana</t>
  </si>
  <si>
    <t>IT fix server starleaton, emails, follow up Sam of Yacht life</t>
  </si>
  <si>
    <t>GST return lodgement</t>
  </si>
  <si>
    <t>review process flows</t>
  </si>
  <si>
    <t>assist Rac and answer query</t>
  </si>
  <si>
    <t xml:space="preserve">Super </t>
  </si>
  <si>
    <t>Handover prep Daily HR team mtg 2 x salary review mtgs and subsequent updates to report Inbox mgmt Doc pack prepared &amp; submitted to MD for upcoming org change Investigation mtg handover</t>
  </si>
  <si>
    <t>reconciling bunnings invoices, ap invoices bank recon</t>
  </si>
  <si>
    <t>client query for ap items, unscheduled ap bills payment</t>
  </si>
  <si>
    <t>Action items sent by Maria &amp; Caitlin for the uncoded statement lines</t>
  </si>
  <si>
    <t>Run: LOC Dev: Pinnacle Oporto Automation Dev: Holdsworth Update</t>
  </si>
  <si>
    <t>Check reconciliation</t>
  </si>
  <si>
    <t>Email re compassionate leave, update Asana task for end date on icare policy</t>
  </si>
  <si>
    <t>Nine review</t>
  </si>
  <si>
    <t>Invoicing - setup new contact, set up tracking category, review invoice settings (remove cutaway), create invoice according to proposal.  Email to Zoe for review.</t>
  </si>
  <si>
    <t>Oporto reporting PL and balance sheet</t>
  </si>
  <si>
    <t xml:space="preserve">Oporto Head office report including template updates and process </t>
  </si>
  <si>
    <t>Contract for new employee.  Phone call and follow up with Charlie from Nine.</t>
  </si>
  <si>
    <t xml:space="preserve">Queste credit note and issue statement </t>
  </si>
  <si>
    <t>Emails and filing downloads, junk mail Respond to Mayday email re Affluens group set up for Irish</t>
  </si>
  <si>
    <t xml:space="preserve">General emails </t>
  </si>
  <si>
    <t>Review and send invoices</t>
  </si>
  <si>
    <t>Messages with Emily re tax clients, Nica re Oporto reports and Gen re RSVP</t>
  </si>
  <si>
    <t>Follow up overdue invoves with Ang Email to upstage</t>
  </si>
  <si>
    <t>Internal messages re spectrum GST differences to LM</t>
  </si>
  <si>
    <t>Teams and Asana - update Tasman Agri tassk</t>
  </si>
  <si>
    <t>Lodge update events for SVS and NSW to attempt to correct PAYG figures</t>
  </si>
  <si>
    <t>Review payroll, email re Caleb Stubbs</t>
  </si>
  <si>
    <t>Review QLD payroll and emails</t>
  </si>
  <si>
    <t>Liaise with Sarah re new store, check pay code setup Call with Eric re opening / fixed fees</t>
  </si>
  <si>
    <t>review payrolls and emils</t>
  </si>
  <si>
    <t>IAS exportation email</t>
  </si>
  <si>
    <t>Energin Pty Ltd</t>
  </si>
  <si>
    <t>The Search Experience Pty Ltd</t>
  </si>
  <si>
    <t>WPS update and email</t>
  </si>
  <si>
    <t>Meeting with Linsday</t>
  </si>
  <si>
    <t>Responding to Kate Queries</t>
  </si>
  <si>
    <t>meeting with Angela</t>
  </si>
  <si>
    <t>&gt;	Reading through emails and diving into email history. &gt;	Going back and forth on client concerns through email. &gt;	Double-checking and validating accounts before hitting reply. &gt;	Organizing folders in Outlook for each client. &gt;	Adding labels to keep things neat and tidy per client. &gt;	Doing some email spring cleaning and other odds and ends. &gt;	Keeping up with tasks on Asana. ****	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t>
  </si>
  <si>
    <t>&gt;Learning, Unpaid invoices XPM and Xero. chats with Mel and Mark. RE: on hold client &gt;Meeting with ASANA history notes issues</t>
  </si>
  <si>
    <t>&gt;Asana updates &gt;XPM &gt;Email &gt;Team chats &gt;Organizing folder</t>
  </si>
  <si>
    <t xml:space="preserve">Checking and digging 157785 as per kate queries. </t>
  </si>
  <si>
    <t xml:space="preserve">Fixing outlook, getting authenticator, creating new outlook,log in to ignito, reformat cellphone, and others. Chat with Mark </t>
  </si>
  <si>
    <t>Complete ref checks for HR Advisory candidate.  Complete job offer.  Send to candidate. Complete CV check and follow up results.  Send unsuccessful letters to final candidates via Seek.</t>
  </si>
  <si>
    <t xml:space="preserve">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t>
  </si>
  <si>
    <t>emails, asana</t>
  </si>
  <si>
    <t>update Interco Rec file Review BELCR &amp; BLM variance</t>
  </si>
  <si>
    <t>hand over / cash flow / emails</t>
  </si>
  <si>
    <t>Intercompany loan reconciliation Consolidation summary tab P&amp;L -BM</t>
  </si>
  <si>
    <t>Intercompany loan reconciliation Consolidation summary tab LOC Inc Find the variance with Ms. Rose Bills raise postscript transactions Approving sales to a2x of postscript transactions</t>
  </si>
  <si>
    <t>Email Management Bills raise to xero Bank Reconcilaition BM and LOC INC Approving sales to a2x</t>
  </si>
  <si>
    <t>Additional invoicing and continuous review of Xero and XPM clients name.</t>
  </si>
  <si>
    <t>Review all the XPM and Xero client list and align with Mark, Kate and LM for queries. Rename all other/previous invoices and repeating template.</t>
  </si>
  <si>
    <t>Update bank recs. Catch up email and respond to Kate. Do necessary actions and feedback.</t>
  </si>
  <si>
    <t>Coordination and emailing regarding change of address requirements</t>
  </si>
  <si>
    <t xml:space="preserve">Call with Mark and LM re: access request and clarification on Asana </t>
  </si>
  <si>
    <t>Processing of SSS, PHIC and HDMF for the month of February 2024. Prepare necessary files for Compliance.</t>
  </si>
  <si>
    <t>Chat with Ann</t>
  </si>
  <si>
    <t>follow up Asana tasks</t>
  </si>
  <si>
    <t>estimate of time to update analysis</t>
  </si>
  <si>
    <t>P&amp;L rearrange of accounts and brokarage accruals review</t>
  </si>
  <si>
    <t>Fortnightly meeting with Alison</t>
  </si>
  <si>
    <t>AP, travel allowance search</t>
  </si>
  <si>
    <t>AP, BR</t>
  </si>
  <si>
    <t>email, proc doc review, server config</t>
  </si>
  <si>
    <t>config</t>
  </si>
  <si>
    <t>3E recon</t>
  </si>
  <si>
    <t>dex  emails</t>
  </si>
  <si>
    <t>cHSP reporting + emails</t>
  </si>
  <si>
    <t>Seniors Catchups</t>
  </si>
  <si>
    <t>Call with Ann Monthly reporting file meeting with Con 1:1 Rejie</t>
  </si>
  <si>
    <t xml:space="preserve">Alliance and Primebuild back up planning HO funding request training Cashflow queries   </t>
  </si>
  <si>
    <t>Call with seniors for Rose back-up</t>
  </si>
  <si>
    <t>1:1 Rose</t>
  </si>
  <si>
    <t>Call with Gerardo re his queries</t>
  </si>
  <si>
    <t>Call with Maan re interco loan account recon wkp and process, messages Lauren queries, discuss other month end tasks</t>
  </si>
  <si>
    <t>Teams messages throughout the day Emails etc</t>
  </si>
  <si>
    <t>Seniors catch up with Ralph</t>
  </si>
  <si>
    <t>Catch up with Ralph</t>
  </si>
  <si>
    <t>Load ABA for CRI/VGS</t>
  </si>
  <si>
    <t>Discussion with Kate re PB tasks and budget hours</t>
  </si>
  <si>
    <t>Reply to payroll emails, check ELMO for new employees</t>
  </si>
  <si>
    <t>Action payroll emails</t>
  </si>
  <si>
    <t>Unapproved/unallocated report Update live file from emails Payroll processing</t>
  </si>
  <si>
    <t>AP and bank rec review Update cashflow file Send BOQ requirements</t>
  </si>
  <si>
    <t>Inbox mgmt Bank rec AP run</t>
  </si>
  <si>
    <t>AP run Bank rec Adhoc reconciliations</t>
  </si>
  <si>
    <t>Catch up on emails Adhoc reconciliations</t>
  </si>
  <si>
    <t>Team RJ SA catch up</t>
  </si>
  <si>
    <t>Attend to email from the accountant. Save draft FS under the folder. Coordinate with Sarah to send requested documents to BOQ</t>
  </si>
  <si>
    <t>Attend to email re travel/meal allowance. Setup payables and email Katherine/Shalisa for approval</t>
  </si>
  <si>
    <t xml:space="preserve">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t>
  </si>
  <si>
    <t>Cash flow, Deferred, WIP, BAS review</t>
  </si>
  <si>
    <t>review unreconciled Bk / cc</t>
  </si>
  <si>
    <t xml:space="preserve">forward invoices, label in accounts </t>
  </si>
  <si>
    <t>old CN in Bass- discuss their reversal</t>
  </si>
  <si>
    <t xml:space="preserve">review Chris Turner expenses reconciliation </t>
  </si>
  <si>
    <t>CPF payments rec - contact Queenie</t>
  </si>
  <si>
    <t xml:space="preserve">review weekly AP list </t>
  </si>
  <si>
    <t>review BS rec, issues with credit cards, liaise with Aileen</t>
  </si>
  <si>
    <t>Interco BLM / BELCR - allocate CN, correct payments</t>
  </si>
  <si>
    <t xml:space="preserve">Finalise and send Bellinger FN invoice, request ITR Fy 2023 invoice from Mel, approve and send </t>
  </si>
  <si>
    <t xml:space="preserve">liaise with team, emails </t>
  </si>
  <si>
    <t>Laise with Tracey and Aileen on Imogen and payroll, look at method for novated lease in payroll</t>
  </si>
  <si>
    <t>Search for TFN - email Josh</t>
  </si>
  <si>
    <t>letter Nick</t>
  </si>
  <si>
    <t>emails, teams, update Asana, timesheet</t>
  </si>
  <si>
    <t>Review GST return Jan-Feb 2024</t>
  </si>
  <si>
    <t>February reports</t>
  </si>
  <si>
    <t>review Imogen set up</t>
  </si>
  <si>
    <t>AP and Manual Journal</t>
  </si>
  <si>
    <t>Handover</t>
  </si>
  <si>
    <t>Handling difficult conversations presentation and correspondence Call with FD Correspondence re. online performance plans and follow up with managers</t>
  </si>
  <si>
    <t>Call with GM re. disciplinary matter Review of candidates</t>
  </si>
  <si>
    <t>call with Con and Z re staff concern</t>
  </si>
  <si>
    <t>screen through existing processes to filter through what to keep and delete  start of video and manual edits  catchup with Alison</t>
  </si>
  <si>
    <t>Sending of Remittance Advice</t>
  </si>
  <si>
    <t>Marking as paid in SimPRO</t>
  </si>
  <si>
    <t>Leave Balances</t>
  </si>
  <si>
    <t>Run four Alliance automations + AP automation;  Added 4 supplier to Alliance Automation Tax Invoice/Credit Adjustments</t>
  </si>
  <si>
    <t>Capspace Report generation for the month of February. Checking of output and concerns.</t>
  </si>
  <si>
    <t>Checking</t>
  </si>
  <si>
    <t>Pinnacle payroll walk through with Sarah</t>
  </si>
  <si>
    <t>Emails, loading bills, bank recon</t>
  </si>
  <si>
    <t>Emails, loading bills, bank recon, payables list,  BS recon, employee termination processing</t>
  </si>
  <si>
    <t>Answering Nicole's payroll queries, reviewing the exceptions spreadsheet, checking previous payruns</t>
  </si>
  <si>
    <t>responded to Anthony's email regarding lodgement due dates for payable entities.   send out ADLMF's tax return for singing, responded to Anthony's email, billing instructions for Mel, update tax schedule</t>
  </si>
  <si>
    <t>queries/ emails</t>
  </si>
  <si>
    <t>query re: BK changeoever</t>
  </si>
  <si>
    <t>update Dec and Jan conso reps</t>
  </si>
  <si>
    <t>payroll update file proj</t>
  </si>
  <si>
    <t>queries re: Feb NZ transactions</t>
  </si>
  <si>
    <t xml:space="preserve">- ASIC - Ethical Clearance - ATO Lodgment Report - Nick's email management - Check and verified documents ATO sent by post. - Update Zoho data. - Newsletter </t>
  </si>
  <si>
    <t>email checking of previous reports</t>
  </si>
  <si>
    <t>BAS &amp; IAS Call with Ms.Rose</t>
  </si>
  <si>
    <t>bank recon. ap invoices</t>
  </si>
  <si>
    <t>ap batch payment</t>
  </si>
  <si>
    <t>Checking journals</t>
  </si>
  <si>
    <t>Recording of invoices, Bank recs</t>
  </si>
  <si>
    <t>Checking intercompany accounts, bank recs, manual journals</t>
  </si>
  <si>
    <t>Recording of invoices, checking journals/reconciliations</t>
  </si>
  <si>
    <t>Checking employee pay</t>
  </si>
  <si>
    <t>review xero file</t>
  </si>
  <si>
    <t xml:space="preserve">review xero file; dont charge client yet as this is only a preparation for meeting. </t>
  </si>
  <si>
    <t>review of loan balances</t>
  </si>
  <si>
    <t>sign e-card, answer training survey</t>
  </si>
  <si>
    <t>emails - yachtlife response, chat with kate about pinnacle and spectrum, chat with Mark about setting up email</t>
  </si>
  <si>
    <t>update budget forecast but tagged as non billable as per shalini</t>
  </si>
  <si>
    <t>Handover mtgs with Dex Daily HR team mtg Investigation follow up calls Louie future-dated task allocations Salary Review mtgs with Regional Heads Handover emails to external stakeholders</t>
  </si>
  <si>
    <t>dext prepare items, bank recon</t>
  </si>
  <si>
    <t>EH Items, Leave Approvals query sent to Brett, hubdoc and procore items query</t>
  </si>
  <si>
    <t>Checking with client open items, old ap bills to reconcile.</t>
  </si>
  <si>
    <t>client queries, update payroll and employee profile as per client instructions</t>
  </si>
  <si>
    <t>ap items, dext prep, batch prep, email queries</t>
  </si>
  <si>
    <t>ap items, invoices from procore.</t>
  </si>
  <si>
    <t>Wyzed</t>
  </si>
  <si>
    <t>PL to RD grant consultant, call with Zoe, email Fortescue invoice</t>
  </si>
  <si>
    <t>Load payables, AMEX payment and ATO paymetnt, email for approvals Email for change to reporitng cycle</t>
  </si>
  <si>
    <t>Ackad Family Trust file bank recon</t>
  </si>
  <si>
    <t>Assist Mary with budget report - budget not displaying</t>
  </si>
  <si>
    <t>Call with Nicole, follow up with Ann / Mary/  review NAB etc.</t>
  </si>
  <si>
    <t>Meeting with Marianne and Tyson re using Xero for supplier bills</t>
  </si>
  <si>
    <t>CIN7 configuration meeting</t>
  </si>
  <si>
    <t>Teams message re report automation</t>
  </si>
  <si>
    <t>Teams messages, emails</t>
  </si>
  <si>
    <t xml:space="preserve">chat with Nick </t>
  </si>
  <si>
    <t>Re set up Tyson payment, call with Tyson and Julian</t>
  </si>
  <si>
    <t>Review payroll</t>
  </si>
  <si>
    <t>Chase approvals, call Andrew / Ronnie and messages</t>
  </si>
  <si>
    <t>Load payrolls to bank and send email to client for approvals</t>
  </si>
  <si>
    <t>Finalise payruns and send for approval</t>
  </si>
  <si>
    <t xml:space="preserve">Check employment types, review payroll Check backpay for Logan, leave for Micaylah and Iziaha etc. </t>
  </si>
  <si>
    <t>Attending to queries and modify asana</t>
  </si>
  <si>
    <t>Attending to queries and set up Asana</t>
  </si>
  <si>
    <t>Attending to Sheryl's queries as she is new to Xero. We digging variances of 3K</t>
  </si>
  <si>
    <t>Attending to Queries and checking data</t>
  </si>
  <si>
    <t>Meeting with Sheryl and fixing XPM</t>
  </si>
  <si>
    <t>Assisting Princess regarding refund payment</t>
  </si>
  <si>
    <t>Email, chat with Bern, chat with Gen and read some teams and other adhocs</t>
  </si>
  <si>
    <t>Nonbillable - resolving XPM error and checking of ATO portal</t>
  </si>
  <si>
    <t>A. S. White Global Pty Ltd</t>
  </si>
  <si>
    <t xml:space="preserve">Others </t>
  </si>
  <si>
    <t>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t>
  </si>
  <si>
    <t xml:space="preserve">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t>
  </si>
  <si>
    <t>recon</t>
  </si>
  <si>
    <t>Clean up email, asana</t>
  </si>
  <si>
    <t>handover / compliance payment / emails</t>
  </si>
  <si>
    <t>handover / month-end</t>
  </si>
  <si>
    <t xml:space="preserve">Process payment to CBA  Bills raise to xero postscript transactions Approving postscript transactions to a2x Reconciled postscript transactions </t>
  </si>
  <si>
    <t>Email Managemnet Bills raise to xero Approving bills in draft that is in direct debit Bank reconciliation BM and LOC Inc Approving sales to a2x Prepared payment summary report for approval</t>
  </si>
  <si>
    <t>IT Support &amp; Security</t>
  </si>
  <si>
    <t>Status of payment on Dherick latest billing. Coordinate via messenger for him to give feedback. Update Ms Con to verify the status.</t>
  </si>
  <si>
    <t>Call with Gen re: ATO PAYG Installment on Dexterous Holdings Pty Ltd</t>
  </si>
  <si>
    <t>Communication with Dherick/Ms Con and email Nick for the status of refund. Payment via XE was not successful.</t>
  </si>
  <si>
    <t>Respond to Shalini's request of all invoices needed by Ben. MDF invoice update as requested by Wayne.Prepare additional invoices based on Asana tasks (ADFLMF invoices and Employee Protection)</t>
  </si>
  <si>
    <t>Process bills for ATO payment. MJ the February 2024 IAS. Inform Nick for the deadline and details of payment.</t>
  </si>
  <si>
    <t>Process bills. Catch up emails. Reach out to Shalini and Carly for Supply Crew invoice. Coordinate various queries to resolve/escalate from Accounts emails. Process further bank recs.</t>
  </si>
  <si>
    <t>Payroll Processing on Wyzed</t>
  </si>
  <si>
    <t>Process HDMF Feb 2024 contribution lists with updates on new EE ER share.via HDMF portal</t>
  </si>
  <si>
    <t xml:space="preserve">🟨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t>
  </si>
  <si>
    <t>preparing AP list</t>
  </si>
  <si>
    <t>Uploading payments</t>
  </si>
  <si>
    <t xml:space="preserve">preparing payroll and uploading </t>
  </si>
  <si>
    <t>Internal emails Review of tasks for month end</t>
  </si>
  <si>
    <t>Payroll for march</t>
  </si>
  <si>
    <t>AP, allow</t>
  </si>
  <si>
    <t>allowance rate, email, search</t>
  </si>
  <si>
    <t>AR report</t>
  </si>
  <si>
    <t>BR, email</t>
  </si>
  <si>
    <t>with srac team</t>
  </si>
  <si>
    <t>MDF Handover</t>
  </si>
  <si>
    <t>MDF shadow</t>
  </si>
  <si>
    <t>Finance meeting</t>
  </si>
  <si>
    <t>1:1 Sarah WIP dashboard continuation creation FTE analysis</t>
  </si>
  <si>
    <t xml:space="preserve">FTE analysis building Cap planning Govt remittances training handover </t>
  </si>
  <si>
    <t>Check Trupanion Managers payable and funding</t>
  </si>
  <si>
    <t>List all weekly tasks for weekly hotels Create a master file for account coding guide</t>
  </si>
  <si>
    <t>Enter weekly spreadsheet and recon cash on hand</t>
  </si>
  <si>
    <t>Export IAS reports for Pelan and Shebeling Enter BAS journals for LON, COM, SWH,WPK with Gerardo</t>
  </si>
  <si>
    <t>Morning emails</t>
  </si>
  <si>
    <t>Answer survey for 3x training session</t>
  </si>
  <si>
    <t>Emails throughout the day Teams messages (assist on questions, etc)</t>
  </si>
  <si>
    <t>Action payroll email, assist Dominic P with Xero access problems</t>
  </si>
  <si>
    <t>Payroll review and discussion with Lindz why there are 2 unfinalised payruns</t>
  </si>
  <si>
    <t>Query from Craig re super</t>
  </si>
  <si>
    <t>Update LastPass password and enable Microsoft authenticator as per Craig</t>
  </si>
  <si>
    <t>Setup new employees in Xero</t>
  </si>
  <si>
    <t>Review cashflow AP and bank rec review Export requested reports</t>
  </si>
  <si>
    <t>Meeting with Ralph</t>
  </si>
  <si>
    <t>Process payroll  Handover with Ef</t>
  </si>
  <si>
    <t>Calculate pay rise and backpay Introduction and walkthrough with Cess</t>
  </si>
  <si>
    <t>Process payroll Walkthrough with Cess</t>
  </si>
  <si>
    <t>Payroll review and discussion with Jim</t>
  </si>
  <si>
    <t>Run P&amp;L for FY 2023 and BS as at 30.06.2023 and send to John, as requested.</t>
  </si>
  <si>
    <t>Send copy of lodged IAS for Feb 2024 to David for payment</t>
  </si>
  <si>
    <t>Various emails to Alan and Catherine re queries, supplier payment run, NAB access. Test NAB access, not working</t>
  </si>
  <si>
    <t>Monthly meeting with SRAC team for Feb queries, payroll query, upload aba file and email</t>
  </si>
  <si>
    <t>Review accounts for Feb, clear rounding, correctly allocate Paid Parental Leave processed in Sep 2023. Monthly meeting with Kerry. Send action items to Ef</t>
  </si>
  <si>
    <t>Attend to email from Ben re SMSF invoices, liaise with Gen/Con. BAS/IAS task setup for new clients, coordinate with LM, IAS follow up, handover of clients for Sarah etc</t>
  </si>
  <si>
    <t>Feb 2024 BAS review and lodgement</t>
  </si>
  <si>
    <t>Cashflow, Month End BS recon</t>
  </si>
  <si>
    <t>create payments in bank BELCR</t>
  </si>
  <si>
    <t>BLM - 3E queries + GST queries</t>
  </si>
  <si>
    <t>OMS-V25 - convert invoices to Xero, liaise with Nick and Ederm</t>
  </si>
  <si>
    <t>Review Bellinger Credit BS rec + corrections</t>
  </si>
  <si>
    <t>Jamie / Rachele re access to accounts email</t>
  </si>
  <si>
    <t>liaise with team</t>
  </si>
  <si>
    <t>Catch up Stephen</t>
  </si>
  <si>
    <t>Review BS rec, corrections</t>
  </si>
  <si>
    <t>Calculation Greg's salary in AUD - timing payroll April, liaise team</t>
  </si>
  <si>
    <t>Bank Reconciliation and Email/Inbox Management</t>
  </si>
  <si>
    <t>Email and Set up default Purchase Account of Contacts</t>
  </si>
  <si>
    <t>Create Process Document</t>
  </si>
  <si>
    <t>Admin emails</t>
  </si>
  <si>
    <t>Update team huddle file</t>
  </si>
  <si>
    <t>Quickbooks Training</t>
  </si>
  <si>
    <t>Wyzed Training</t>
  </si>
  <si>
    <t>Salary review handover</t>
  </si>
  <si>
    <t>HR operating model Call with FD Call with Finance Manager</t>
  </si>
  <si>
    <t>Interview guide</t>
  </si>
  <si>
    <t>PIP Update re. people issues Advertising role</t>
  </si>
  <si>
    <t>Correspondence re. sales training Phone screens Disciplinary letter</t>
  </si>
  <si>
    <t>internal meeting</t>
  </si>
  <si>
    <t>chats, emails, message for Con</t>
  </si>
  <si>
    <t>chats, emails, attend to concerns/queries</t>
  </si>
  <si>
    <t>Asana, Sprout, chats, emails, etc</t>
  </si>
  <si>
    <t>fortnightly catchup with seniors</t>
  </si>
  <si>
    <t>**lost license application appointment</t>
  </si>
  <si>
    <t>screen through existing processes to filter through what to keep and delete  start of video and manual edits</t>
  </si>
  <si>
    <t>Posting of pending invoices</t>
  </si>
  <si>
    <t>Create committed cost for review of James</t>
  </si>
  <si>
    <t>Debugging known errors and still thinking for a workaround on this VM  Cannot bring the target application in foreground because the Windows session is locked.</t>
  </si>
  <si>
    <t>The Trustee for Spectrum REIT 40 Trust - Lismore Dawson</t>
  </si>
  <si>
    <t>Run four Alliance automations + AP automation;</t>
  </si>
  <si>
    <t>Generation and re-generation of February Alliance Dashboard Report. Checking of concerns.</t>
  </si>
  <si>
    <t>checking bills were approved and paid</t>
  </si>
  <si>
    <t>Loading bills from HubDoc, bank recon</t>
  </si>
  <si>
    <t>Emails, loading bills, bank recon, creating invoice, weekly report</t>
  </si>
  <si>
    <t>Call with Kate re payroll shared drive access</t>
  </si>
  <si>
    <t>checking to make sure updates are correct</t>
  </si>
  <si>
    <t>Payroll updates as per client's advise</t>
  </si>
  <si>
    <t>Reserves and transactions re-classification work (Trust Deed compliance project) Follow up on emails + requests + send updates</t>
  </si>
  <si>
    <t>Reserves and transactions re-classification work (other side of TGSF review project) Schach donation rec + reporting for Lynn Investigate coding of Hunter Loan + Franking credits + request further work/post adjustments</t>
  </si>
  <si>
    <t>inbox/ emails/ queries</t>
  </si>
  <si>
    <t>training survey/ queries</t>
  </si>
  <si>
    <t>review Feb 2024 financials</t>
  </si>
  <si>
    <t>seniors catch-up</t>
  </si>
  <si>
    <t>inbox management/ email settings/ set-up/ calendar/ queries</t>
  </si>
  <si>
    <t>- ASIC - ATO - Follow up on Travel Agents for Company Outing - Newsletter - Nick's email management - Gathering docs. for Dexterous RO requirements.</t>
  </si>
  <si>
    <t>bank recon inbox</t>
  </si>
  <si>
    <t>bank recon checking unreconciled items report email Client</t>
  </si>
  <si>
    <t>Recording of invoices, bank recs, clearing inbox</t>
  </si>
  <si>
    <t>Weekly catch-up with the team</t>
  </si>
  <si>
    <t xml:space="preserve">Checking emails,. asana, fixing calendar </t>
  </si>
  <si>
    <t>Seniors catch-up with Ann</t>
  </si>
  <si>
    <t>Finalizing payroll</t>
  </si>
  <si>
    <t>call client to follow up and review xero file</t>
  </si>
  <si>
    <t>paid break</t>
  </si>
  <si>
    <t>process flows record video</t>
  </si>
  <si>
    <t>.check emails asana xpm chat with Jim aboout spaceful email Mark assist for VPN setup</t>
  </si>
  <si>
    <t>fix VPN starleaton and lodge fortnightly PAYE</t>
  </si>
  <si>
    <t>xpm wip with ralph</t>
  </si>
  <si>
    <t>assist Jim re annual leave loading</t>
  </si>
  <si>
    <t>Assist client Re Payroll Query</t>
  </si>
  <si>
    <t xml:space="preserve">Final handover mtgs Record-keeping - email archiving, uploads to SharePoint, OneDrive clean up etc HR Daily admin mtg </t>
  </si>
  <si>
    <t>AP Items sent in Dext prepare</t>
  </si>
  <si>
    <t>dext, ap, bank recon</t>
  </si>
  <si>
    <t>Check BS Rec for Feb, ap items, bank recon</t>
  </si>
  <si>
    <t>ap items, bank recon,</t>
  </si>
  <si>
    <t>AP Emails, query on 2nd email regarding projects and updated bank payments of subcontractor, checking on client query regarding final pay</t>
  </si>
  <si>
    <t xml:space="preserve">Run: LOC Run: PrimeBuild Payroll Processing Report Run: TB Reports from Dec 2023 to February 2024 Dev: Pinnacle Oporto Automation </t>
  </si>
  <si>
    <t>Review WA workers comp plicy, get quotes, email to Zoe</t>
  </si>
  <si>
    <t>Set up REIT 40 file and accounts, email client Check issues log and draft bills</t>
  </si>
  <si>
    <t>Schweppes invoices to Xero</t>
  </si>
  <si>
    <t>Update Schweppes invoices and rerun reports Email to client</t>
  </si>
  <si>
    <t>Review travel again, find contractor agreements and resend email Respond to Anna email re insurance, including turnover estimate</t>
  </si>
  <si>
    <t xml:space="preserve">Review EMDG information, subscribe to newsletter Add client to ATO portal as Tax Agent Register for PAYG withholding from 1 Jan File STP for Jan and Feb payruns Add BAS journals to Xero and GIC to reconcile ICA </t>
  </si>
  <si>
    <t>Catch up with Ef re Payroll Group, check payroll (non billable as part of handover)</t>
  </si>
  <si>
    <t>Review project and prep for meeting Review email inbox Client meeting</t>
  </si>
  <si>
    <t>Teams and email</t>
  </si>
  <si>
    <t>Teams and emails</t>
  </si>
  <si>
    <t>Emails and teams</t>
  </si>
  <si>
    <t>Email redundancy calcs to team</t>
  </si>
  <si>
    <t>Load payroll for termination to bank, reset Amex payment, email to Lucia</t>
  </si>
  <si>
    <t>Alex Ma Separation certificate completion and email to employee</t>
  </si>
  <si>
    <t>Payroll processing for March including update of reconciliation for Frank Calculation of leave balances and unpaid leave entry for Rinka Reconciliation of superannuation Entry of opening balances for leave types x 2 and all YTD figures. Email to Angie</t>
  </si>
  <si>
    <t>Review and prepare redundancy payment</t>
  </si>
  <si>
    <t>Annual GST Preparation &amp; Lodgement</t>
  </si>
  <si>
    <t>Updating ASANA due to duplicate from BAS annual moved by Sylvie and corrected the project task</t>
  </si>
  <si>
    <t>Daniel Scheuch</t>
  </si>
  <si>
    <t>Email and updating ASANA</t>
  </si>
  <si>
    <t>Kate O'Connor</t>
  </si>
  <si>
    <t>PAYGI and attending to queries</t>
  </si>
  <si>
    <t>Team chats</t>
  </si>
  <si>
    <t>Luke Franks</t>
  </si>
  <si>
    <t xml:space="preserve">PAYGI and updates, </t>
  </si>
  <si>
    <t>C.T.A.L. Investment Trust</t>
  </si>
  <si>
    <t>PAYG and updates ASANA</t>
  </si>
  <si>
    <t>Assisting Cess on ITR queries</t>
  </si>
  <si>
    <t>Helping Sheryl as she new for the process and also updating the wps due to other adjustments</t>
  </si>
  <si>
    <t xml:space="preserve">Teams and call with Sherly. James made adjustment and we need to find the variance.  </t>
  </si>
  <si>
    <t>AFTERNOON Break: 15 mins coffee breaks as paid per Labor Code of the Philippines, Article 85.</t>
  </si>
  <si>
    <t>IAS/BAS Preparation &amp; Lodgement - Dec</t>
  </si>
  <si>
    <t>PAYGI</t>
  </si>
  <si>
    <t>NonBillabble - reupdate and rework WPS</t>
  </si>
  <si>
    <t xml:space="preserve">BAS </t>
  </si>
  <si>
    <t>IAS/BAS Preparation &amp; Lodgement - Oct</t>
  </si>
  <si>
    <t>Sensear Holdings Pty Ltd</t>
  </si>
  <si>
    <t>PAYGI update and ASANA</t>
  </si>
  <si>
    <t>Teaching and helping Sherryl regarding outlook and other wps materials</t>
  </si>
  <si>
    <t>Wyzed training - Company Tax return ( Cont )</t>
  </si>
  <si>
    <t>Responding to Aileen</t>
  </si>
  <si>
    <t>Prime Build handover meeting with Jess and Ali</t>
  </si>
  <si>
    <t>Complete letters for global team for variation to termination clause in contracts - assistance for Z.  Send invitations out for new HRBP and Team members to meet on 2nd April.</t>
  </si>
  <si>
    <t>1:1 with Ralph</t>
  </si>
  <si>
    <t>Recon unispace client</t>
  </si>
  <si>
    <t>review debtors list</t>
  </si>
  <si>
    <t xml:space="preserve">emails / reimbursements </t>
  </si>
  <si>
    <t>Weekly bookkeeping</t>
  </si>
  <si>
    <t>Prepared working papers for clearing accounts Clearing Paypal Domestic Clearing Afterpay domestic Clearing Shopify domestic Clearing Klarna domestic Bills raise to xero for postscript transactions</t>
  </si>
  <si>
    <t xml:space="preserve">Email management Bills raise to xero Check and approved sales in a2x Bank Reconciliation BM and LoC Inc Import Paypal and reconciled </t>
  </si>
  <si>
    <t>Support and Security</t>
  </si>
  <si>
    <t>Coordinate with Gen/Nick re: Dherick's payout.  Catchup emails and response. Update bank recs Coordinate with Angel re: Starleaton</t>
  </si>
  <si>
    <t>Reconciliation of Fleetwood Group. Coordination with Nick re: Fleetwood. Process bills for Branch.</t>
  </si>
  <si>
    <t>Process bank recs. Prepare payables and request to Nick. Checking of emails and other request from RMN Accounting Office.  (with 30 mins power interruption)</t>
  </si>
  <si>
    <t xml:space="preserve">Compliance invoicing update Tracking of Fleetwood Group - recon with Nick and put status of invoices Various concerns and catchup emails.  Respond to queries and Carly for the clarification of invoicing. Coordinate with Angel/RJ re: vaccine </t>
  </si>
  <si>
    <t>✅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t>
  </si>
  <si>
    <t>Bank reco, AP and payslips and STP</t>
  </si>
  <si>
    <t>month end</t>
  </si>
  <si>
    <t>review of payroll</t>
  </si>
  <si>
    <t>emails month end</t>
  </si>
  <si>
    <t xml:space="preserve">emails, cleaning contacts, </t>
  </si>
  <si>
    <t>emails, files, Awaiting approval</t>
  </si>
  <si>
    <t>BS recs</t>
  </si>
  <si>
    <t xml:space="preserve">emails, BR, </t>
  </si>
  <si>
    <t>Added accts in OMS V25  Bank recs - send the list of pending to Carly</t>
  </si>
  <si>
    <t>AP review + emails</t>
  </si>
  <si>
    <t>Staff travel computation ytd - adjustment of dept in AC</t>
  </si>
  <si>
    <t>AP review Admin - office reqs AdHoc tasks update and follow ups HR queries WIP queries Invoicing report</t>
  </si>
  <si>
    <t>AU payroll handover with Con AdHoc handover with Con Remaining items discussion from Con</t>
  </si>
  <si>
    <t>Emails and teams messages throughout the day</t>
  </si>
  <si>
    <t>List all tasks for handover</t>
  </si>
  <si>
    <t>Query from Jim re casual loading, search about it and respond</t>
  </si>
  <si>
    <t>Enigma Marketing Pty Ltd</t>
  </si>
  <si>
    <t>Feb IAS</t>
  </si>
  <si>
    <t>Call with Jeric re redundancy pay template and calcs</t>
  </si>
  <si>
    <t>Review redundancy calcs - Hannah G</t>
  </si>
  <si>
    <t>Follow up payroll from HR, send to James for final review incl. final TS and payroll figures</t>
  </si>
  <si>
    <t>Finalise payroll, export reports, email for approval</t>
  </si>
  <si>
    <t>Look into error in Eliza's pay, found that account name has special character, communicate with Lindsay</t>
  </si>
  <si>
    <t>Adjustments from James, confirm Mark J - Heyday, teams messages with Ting and James, update payroll</t>
  </si>
  <si>
    <t>Payroll processing, peer review, send to HR review</t>
  </si>
  <si>
    <t>Dividend statements Call with Sylvie re bookkeeping and GIC remission Send div stat to Syvlie to double check Send div stat to SK</t>
  </si>
  <si>
    <t>Raise invoices for MSN2630</t>
  </si>
  <si>
    <t>Post IAS journal and bill</t>
  </si>
  <si>
    <t>Update cashflow file AP run Review transactions</t>
  </si>
  <si>
    <t>Inbox mgmt Adhoc reconciliations AP and AR</t>
  </si>
  <si>
    <t>Export ABA and reports Meeting with Wayne</t>
  </si>
  <si>
    <t>Research and discuss annual leave loading of an employee with Jim</t>
  </si>
  <si>
    <t>Weekly SRAC meeting, upload payroll and email Katherine/Shalisa</t>
  </si>
  <si>
    <t>Going through MYOB and folders to get better understanding of how PO works, reading procedures etc</t>
  </si>
  <si>
    <t>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t>
  </si>
  <si>
    <t>Update Dexterous client referral worksheet and share with RJ. Email finance team to manage going forward</t>
  </si>
  <si>
    <t>Various internal emails/messages, James re Shipley, LM's leave application, Angela/debtors, Ezidebit dishonour payment for Simpson etc</t>
  </si>
  <si>
    <t>Final review of Feb BAS</t>
  </si>
  <si>
    <t>Feb 2024 BAS and PAYGI review and lodgement</t>
  </si>
  <si>
    <t>Cashflow, Month End Recs</t>
  </si>
  <si>
    <t>3E GST queries - BLM</t>
  </si>
  <si>
    <t>OMS - convert sales invoice, liaise Nick for account numbers, email process for Sarah and Rachele</t>
  </si>
  <si>
    <t>Nica, Josh, Mark - access server for Nica</t>
  </si>
  <si>
    <t>Amanda / Shalini re BAS (ARC / Dext)- F/up meeting with Carly</t>
  </si>
  <si>
    <t>Liaise with Sam on tax rec, dividend statements and GIC</t>
  </si>
  <si>
    <t>Jury duty - apply for short trial</t>
  </si>
  <si>
    <t>update Asana before leave, finalise time-sheet, check all outstanding emails, general emails &amp; teams</t>
  </si>
  <si>
    <t>Review March payroll</t>
  </si>
  <si>
    <t>Update bill/invoices dates prior January 2024</t>
  </si>
  <si>
    <t>Enter bills in Xero and Process batch payment</t>
  </si>
  <si>
    <t>Process batch payment</t>
  </si>
  <si>
    <t>Merge duplicate contacts</t>
  </si>
  <si>
    <t>Cyber Security Training</t>
  </si>
  <si>
    <t>Data review for employee pulse check Correspondence re. performance reviews</t>
  </si>
  <si>
    <t>Call with manager re. people issues</t>
  </si>
  <si>
    <t xml:space="preserve">Phone screens for Sales Rep role Correspondence with staff member re. resourcing </t>
  </si>
  <si>
    <t>emails, note interest to be withheld for this month per Lea-Anne, check interest payment schedule with Tim, update contact details</t>
  </si>
  <si>
    <t>chats re staff concerns, Asana, etc</t>
  </si>
  <si>
    <t>Leave reports and balances</t>
  </si>
  <si>
    <t>Processing of reimbursement to be included in the EFT weekly lists</t>
  </si>
  <si>
    <t>Posting of invoices</t>
  </si>
  <si>
    <t>Email Management</t>
  </si>
  <si>
    <t>Amend James' comments for committed cost</t>
  </si>
  <si>
    <t>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t>
  </si>
  <si>
    <t>Fourdaught Pty Ltd</t>
  </si>
  <si>
    <t>Kilcran Family Trust</t>
  </si>
  <si>
    <t>Kilcran, Rebecca</t>
  </si>
  <si>
    <t>Kilcran, Stephen</t>
  </si>
  <si>
    <t>The Fourdaught Trust</t>
  </si>
  <si>
    <t>Checking and troubleshooting of concerns for the generated Alliance Dashboard report.</t>
  </si>
  <si>
    <t>checking bill payment and bank recon</t>
  </si>
  <si>
    <t>Loading bills, bank recon, AP payment</t>
  </si>
  <si>
    <t>Pay code creation</t>
  </si>
  <si>
    <t>The Trustee For Ackad Family Trust</t>
  </si>
  <si>
    <t>Checking bills for Nica's query</t>
  </si>
  <si>
    <t>Checking process for reimbursement journal and super</t>
  </si>
  <si>
    <t>payroll updates, expense disbursements journal, super processing</t>
  </si>
  <si>
    <t>inbox/ queries/ farewell card for Con</t>
  </si>
  <si>
    <t>CM/GST/Financials review</t>
  </si>
  <si>
    <t>call w/ Con</t>
  </si>
  <si>
    <t>process handover w/ Rose and Rejie</t>
  </si>
  <si>
    <t xml:space="preserve">- ASIC - ATO - Update Zoho clients details - Nick's email management - Newsletter </t>
  </si>
  <si>
    <t xml:space="preserve">bank recon </t>
  </si>
  <si>
    <t>amex payment</t>
  </si>
  <si>
    <t>bank transaciton</t>
  </si>
  <si>
    <t>ap batch report</t>
  </si>
  <si>
    <t>Checking payments received, drafting email</t>
  </si>
  <si>
    <t xml:space="preserve">Updating the handover form </t>
  </si>
  <si>
    <t>Checking emails, asana,</t>
  </si>
  <si>
    <t>Checking emails, saving reports, PAYG Rec</t>
  </si>
  <si>
    <t>Checking employee payroll</t>
  </si>
  <si>
    <t>respond to email</t>
  </si>
  <si>
    <t>chat with Kate, chat with JIm for assistance</t>
  </si>
  <si>
    <t>emails, asana, xpm, read emails</t>
  </si>
  <si>
    <t>chat with Kate - re spectrum chat with Rose re LoC  chat with Jim on Spaceful</t>
  </si>
  <si>
    <t>client engagement meeting</t>
  </si>
  <si>
    <t>Payroll 15th</t>
  </si>
  <si>
    <t>Payroll 15th. Emails and Queries</t>
  </si>
  <si>
    <t>AP items, bank recon</t>
  </si>
  <si>
    <t>Client query on employee final pay</t>
  </si>
  <si>
    <t>AP items, attending to client queries</t>
  </si>
  <si>
    <t>Team Weekly Catch-up</t>
  </si>
  <si>
    <t>Import early bank transactions and reconcile to balance bank account</t>
  </si>
  <si>
    <t>Remove ABA file, check payables etc.</t>
  </si>
  <si>
    <t>Intercompany loan reconciliation across group</t>
  </si>
  <si>
    <t>Follow up invoices Spectrum and Prime</t>
  </si>
  <si>
    <t>Add ABN to file Invite Eric to Hubdoc Update Hubdoc email address Email to Eric</t>
  </si>
  <si>
    <t>Pricing tool add projects W/comp policy and reconcile , amortise insurance  Process for adding to pricing tool</t>
  </si>
  <si>
    <t>Town Hall meeting</t>
  </si>
  <si>
    <t>Catch up with Ali, Carly, meet Waf, general emails Follow up CJs Nowra BAS signatures Josh Eaton authorise contacts on Trust for portal Check LM portal access</t>
  </si>
  <si>
    <t xml:space="preserve">Client Engagement team meeting and catch up wtih Nica re Spectrum loans </t>
  </si>
  <si>
    <t>Email and checking of refund</t>
  </si>
  <si>
    <t>XPM</t>
  </si>
  <si>
    <t xml:space="preserve"> MORNING Break: 15 mins coffee breaks as paid per Labor Code of the Philippines, Article 85.</t>
  </si>
  <si>
    <t>Afternoon Break: 15 mins coffee breaks as paid per Labor Code of the Philippines, Article 85.</t>
  </si>
  <si>
    <t>lost internet connection and had a power interruption. While waiting for everything to get back, I just cleaned my computer desk and read offline emails.</t>
  </si>
  <si>
    <t>Further digging of variance</t>
  </si>
  <si>
    <t>Further review of total wages from July to December as per Shalini advised</t>
  </si>
  <si>
    <t>Refreshing/Learning ATO portal and reading emails</t>
  </si>
  <si>
    <t>Teams catch up with Sherly BAS concern</t>
  </si>
  <si>
    <t>update to tax rec</t>
  </si>
  <si>
    <t>email clean up</t>
  </si>
  <si>
    <t>review of debtor's list</t>
  </si>
  <si>
    <t>bi-weekly report</t>
  </si>
  <si>
    <t xml:space="preserve">last day :( </t>
  </si>
  <si>
    <t>Continuation of Paypal International clearing Check and approved sales in a2x postscript transactions</t>
  </si>
  <si>
    <t xml:space="preserve">Revised the intercompany loan reconciliation. Clearing Account International -Afterpay -Shopify -Klarna Bills raise to xero, postscript transactions Clearing Account International-Paypal </t>
  </si>
  <si>
    <t xml:space="preserve">Email Management Bills raise to xero Bank Reconciliaiton BM and LOC INC Prepared  queries for Corporate Cards  Check and approve sales to a2x Import CBA 7334 and reconciled </t>
  </si>
  <si>
    <t>Huddle</t>
  </si>
  <si>
    <t>Email Management Bills Processing Bank Recon AP Pay Run AR - Invoice processing Project Recon</t>
  </si>
  <si>
    <t>email management asana task clean up catching up from sick leave</t>
  </si>
  <si>
    <t>VL</t>
  </si>
  <si>
    <t>✅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t>
  </si>
  <si>
    <t>Processing supplier bills</t>
  </si>
  <si>
    <t>HR emails /chat and sprout issue with Z</t>
  </si>
  <si>
    <t>Advisor´s Assembly (Fathom)</t>
  </si>
  <si>
    <t>BS recs bond</t>
  </si>
  <si>
    <t>AR process doc update</t>
  </si>
  <si>
    <t>BR, emails</t>
  </si>
  <si>
    <t>Files/AP</t>
  </si>
  <si>
    <t>BS recs Jan</t>
  </si>
  <si>
    <t>Wyzed - payroll tax</t>
  </si>
  <si>
    <t>MDF shadow/handover</t>
  </si>
  <si>
    <t xml:space="preserve">OMS V25  Bank Recs Checked setup of OMS V25 </t>
  </si>
  <si>
    <t>Team huddle XPM set up request BDO request Admin requests Invoice reporting building</t>
  </si>
  <si>
    <t>AU payroll Accounts inbox maintenance BIR Adhoc  Coaching with Lindsay Final finance handover</t>
  </si>
  <si>
    <t>Average Payable and Receivable days FY 2023 vs 2024</t>
  </si>
  <si>
    <t>Weekly Huddle</t>
  </si>
  <si>
    <t>Add notes to bank statement for Gerardo to enter</t>
  </si>
  <si>
    <t>Add notes to bank statement for Gerardo to enter, queries from Gerardo</t>
  </si>
  <si>
    <t>Team Catch up and farewell for Con</t>
  </si>
  <si>
    <t>Create a list of tasks for handover Process docs for handover</t>
  </si>
  <si>
    <t>Call with Gerardo re his query on bank recon Pelan Team huddle Update asana and emails</t>
  </si>
  <si>
    <t>Load ABA file, message Shalini re ATO ICA nil balance</t>
  </si>
  <si>
    <t>Update lastpass password and authenticator</t>
  </si>
  <si>
    <t>Discussion with Guia re payroll inbox management queries</t>
  </si>
  <si>
    <t>Report request from Adrienne - hours of worked report CY21-22</t>
  </si>
  <si>
    <t>Handover with Xavi and Rej</t>
  </si>
  <si>
    <t>Check query from Logika and Sylvie re reconciling tax accounts Enter journal at 1 July 2023 to reconcile tax accounts and email to Sylvie and Logika my reasoning</t>
  </si>
  <si>
    <t>Trying to reconcile opening balance of proivision for income tax at 1/7/2020</t>
  </si>
  <si>
    <t>AP and bank rec review</t>
  </si>
  <si>
    <t>Import bank transactions and reconcile Review accounts</t>
  </si>
  <si>
    <t>Prepare employee expense reports</t>
  </si>
  <si>
    <t>Send out payslip and file STP</t>
  </si>
  <si>
    <t>Gross wage and AL balance reconciliation STP reconciliation and filing Sent out payslip Walkthrough with Cess</t>
  </si>
  <si>
    <t>Respond to queries from team</t>
  </si>
  <si>
    <t>Various emails to Cee/Shalisa re payment, setup payee, upload same etc</t>
  </si>
  <si>
    <t>Phone call with Lewie re ATO nomination. Liaise with Sam re same. Send email to Lewie</t>
  </si>
  <si>
    <t>Process monthly payroll for March 2024. STP filing, email payslips.</t>
  </si>
  <si>
    <t>Update budget in Xero, update budget WPS for wages. Send email to Kerry re meeting time for March meeting</t>
  </si>
  <si>
    <t xml:space="preserve">Upload payments and email Alan/Catherine. Bank rec for March 2024. Supplier statement reconciliation as at 29.02.2024. </t>
  </si>
  <si>
    <t>BAS/IAS workflow, chase LM/team. Gen re Energy Vault call, etc</t>
  </si>
  <si>
    <t>Referral agreement for Arc Tax. Meeting with Jordan re template. Send draft to Nick for review, send out to James</t>
  </si>
  <si>
    <t>Review of BAS for 3rd tie. Send draft for client review</t>
  </si>
  <si>
    <t>Attend to email from James re BAS refund</t>
  </si>
  <si>
    <t>CET meeting</t>
  </si>
  <si>
    <t>Cash flow, Month end Dashboard, Meeting with AP</t>
  </si>
  <si>
    <t>Bank Reconciliation and Expense Claims</t>
  </si>
  <si>
    <t>AP and Expense Claims</t>
  </si>
  <si>
    <t>Check Hunter Premium Loan with Ms. Ann and Mary Ann</t>
  </si>
  <si>
    <t>BAS - Feb 2024</t>
  </si>
  <si>
    <t>Process Payroll and Set up new employee in Xero</t>
  </si>
  <si>
    <t>Calls with managers re. conduct issue Coordinating drug/alcohol testing</t>
  </si>
  <si>
    <t>email Elena</t>
  </si>
  <si>
    <t>call with Aileen and Mary re Hunter Loan</t>
  </si>
  <si>
    <t>emails, assist with investigation on query re client</t>
  </si>
  <si>
    <t>Review TS, Asana, Sprout, check attendance for March 1-15 and follow up with team on missing logs, chats, emails, etc</t>
  </si>
  <si>
    <t>Discuss new process request by Kate  begin video/Manual editing / syncing</t>
  </si>
  <si>
    <t>Weekly Payrun</t>
  </si>
  <si>
    <t>March 18 XeroDownloadReportsAutomation - Added use browser and refresh browser activities for Google sheet - Updated Uncoded Statement Lines Sequence - The bot can run in the VM unattended but produces blank Excel output per checking the email it sends. Will clarify this with Mark</t>
  </si>
  <si>
    <t>Run Marsill Automation; Run four Alliance automations + AP automation;  Added 4 supplier to Alliance Automation Statements/Credit Adjustments</t>
  </si>
  <si>
    <t>Data Matrix Automation Development</t>
  </si>
  <si>
    <t>creating invoice for customer</t>
  </si>
  <si>
    <t>checking</t>
  </si>
  <si>
    <t>Checking, reading the procedures for month end</t>
  </si>
  <si>
    <t>Checking account for payroll and other issues</t>
  </si>
  <si>
    <t>Pushing bills from HubDoc, bank recon, BAS journals, BS recs, month end tasks</t>
  </si>
  <si>
    <t>BIMAH project reconciliation and accounting for special reserve (align financials + reporting) Follow up on outstanding internal transfers Raise intercompany invoice</t>
  </si>
  <si>
    <t>Respond to queries TGS/TGSF Loan account rec Check on invoices + follow up with Lynn</t>
  </si>
  <si>
    <t>ptax audit findings</t>
  </si>
  <si>
    <t>emails/ Sprout/ TS/ APE sched/ queries</t>
  </si>
  <si>
    <t>queries/ emails/ contacts</t>
  </si>
  <si>
    <t xml:space="preserve">- ASIC - Nick's Inbox management - Employee Details Update - Air BnB for the month of April - Travel Agent Follow-up - Zoho update </t>
  </si>
  <si>
    <t>approved ap invoices emails</t>
  </si>
  <si>
    <t>bank transaction cash clearing IAS</t>
  </si>
  <si>
    <t>AP Invoices</t>
  </si>
  <si>
    <t xml:space="preserve">Checking emails, following-up client, exporting IAS </t>
  </si>
  <si>
    <t>Updating hand over form</t>
  </si>
  <si>
    <t>Bank recs queries, bank recs</t>
  </si>
  <si>
    <t>Recording of invoices, bank recs</t>
  </si>
  <si>
    <t>Handover to Neeti</t>
  </si>
  <si>
    <t>Checking emails, timesheet, asana</t>
  </si>
  <si>
    <t>review updated loan balances</t>
  </si>
  <si>
    <t>emails, teams chat, xpm asana</t>
  </si>
  <si>
    <t xml:space="preserve">check emails, chat with mark - access for romance was born, follow up yachtlife, </t>
  </si>
  <si>
    <t>march paye fortnightly lodgement</t>
  </si>
  <si>
    <t>trainings, prepare training videos</t>
  </si>
  <si>
    <t>assessment for increase in pay</t>
  </si>
  <si>
    <t>AP Payments loaded to Payment Logic &amp; Items for reconciliation sent to client, bookes to accounts.</t>
  </si>
  <si>
    <t>bank recon, ap items book, invisalign invoices</t>
  </si>
  <si>
    <t>AP Items from mail, Dext Prepare items, bank recon, Payroll fortnight, ap bills sent for approval, email queries</t>
  </si>
  <si>
    <t>Bank recon, sent items to client for AP, entered all bills to Xero</t>
  </si>
  <si>
    <t>Upload CSV items for CC reconcile &amp; sent to client. Update Jan24 profit as per client.</t>
  </si>
  <si>
    <t>Surefire Automation</t>
  </si>
  <si>
    <t>Run: Lack of Color Dev: Pinnacle Oporto Automation</t>
  </si>
  <si>
    <t>Finalise AP sheet, email to Zoe</t>
  </si>
  <si>
    <t>Respond to anna email re salary increases Email to Ef re amortisation of income</t>
  </si>
  <si>
    <t>Call with real estate Call to Fortescue Update AP sheet and queries sheet - save to shared drive</t>
  </si>
  <si>
    <t>Reonciliation, update queries sheet, Create bill for additional GST Prepare AP sheet</t>
  </si>
  <si>
    <t>Emails, Teams - check Proda access for Donor, review Asana tasks.</t>
  </si>
  <si>
    <t>Call with Carly re Ang / super Review Booke.ai and book demo</t>
  </si>
  <si>
    <t>Process for funding</t>
  </si>
  <si>
    <t>Update leave request for Rinka to compassionate leave - check and rerun reports.  Email to Angie</t>
  </si>
  <si>
    <t>Cehck email, update team with Rachele Follow up invoices Check PAYG status on ATO portal</t>
  </si>
  <si>
    <t>Finance team meeting and update budget sheet</t>
  </si>
  <si>
    <t>Team chat and client channel</t>
  </si>
  <si>
    <t>Meeting with Lindsay</t>
  </si>
  <si>
    <t>Attending to queries and helping Rose about nomination</t>
  </si>
  <si>
    <t>Attending to queries, updating files, checking portal, send an email</t>
  </si>
  <si>
    <t>Meeting with Rose, RE access ATO code and email compose</t>
  </si>
  <si>
    <t>&gt;call with jeric and helping him about the February 2024 payroll tax exemption. &gt;Read and refresh some territory WA website &gt;Suggestion and propose solution  &gt;Sent an email and copied Shalini &gt;Pasted some WA information link so Jeric might use in future reference.</t>
  </si>
  <si>
    <t>Chat with Mel</t>
  </si>
  <si>
    <t>Refreshing Payroll tax - WA rules</t>
  </si>
  <si>
    <t>Email, Team chat, compose message and Asana updates</t>
  </si>
  <si>
    <t>FY2017</t>
  </si>
  <si>
    <t>Updating ASANA</t>
  </si>
  <si>
    <t>Initial Check, wrong reports</t>
  </si>
  <si>
    <t>catch up with RJ</t>
  </si>
  <si>
    <t>Meeting with MD to discuss redundancy process for employee.  Meeting with MD and employee to discuss redundancy and commencement of consultation process.  Follow up email to employee and MD.  Follow up email to MD and AH re feedback and next steps.</t>
  </si>
  <si>
    <t>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t>
  </si>
  <si>
    <t>email clean up, asana,</t>
  </si>
  <si>
    <t>Shopify Installament Clearing  Check and responds email Approving postscript transactions to a2x</t>
  </si>
  <si>
    <t>Email Management Bills raise to Xero  Bank reconiciliation BM Check and approving sales to a2x Bank Reconciliation LOC Inc</t>
  </si>
  <si>
    <t>Quickbooks training</t>
  </si>
  <si>
    <t xml:space="preserve">Email Management Bills Processing AR - Invoice Processing Bank and Credit Card Recon Sending of Unreconciled Credit Card Items to Michell and Nicole </t>
  </si>
  <si>
    <t xml:space="preserve">TGS - Meeting with Ann and Aileen RE: Investigation of Hunter Premium Loan </t>
  </si>
  <si>
    <t>Team Ann weekly Huddle</t>
  </si>
  <si>
    <t>Catch up emails (partial). Coordinate Timesheets.  Write off some invoice as per Nick/Shalini</t>
  </si>
  <si>
    <t xml:space="preserve">Catch up emails for Au accounts. Process bills and update bank recs. Setup repeating template updates Quick catch up with RJ Coordination with Shalini re: Earjobs NZ (MS Teams) </t>
  </si>
  <si>
    <t>Update Ezidebit payments and coordinate with Shalini the code(s)</t>
  </si>
  <si>
    <t>Process bank recs - for the remaining items with queries to check/verify with.</t>
  </si>
  <si>
    <t>Weekly invoicing - sending to CM for all TS and invoices for the week/fortnightly schedules</t>
  </si>
  <si>
    <t>2307 preparation for rental payments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</si>
  <si>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</si>
  <si>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processing supplier bills</t>
  </si>
  <si>
    <t>Connected Culture Handover meeting</t>
  </si>
  <si>
    <t>Emails Review of sales proposal and new contact</t>
  </si>
  <si>
    <t>Follow up on tasks and adding steps if needed</t>
  </si>
  <si>
    <t>Emails, teams, Asana Invoice review Change of settings for OneFocus Teams</t>
  </si>
  <si>
    <t>updating AP proc doc</t>
  </si>
  <si>
    <t>email BS Recs query</t>
  </si>
  <si>
    <t>email, BR, Sale of MV,  research, files</t>
  </si>
  <si>
    <t>OMS V25 fup Andrew for the sales coding</t>
  </si>
  <si>
    <t>OMS V25 Sales Invocie</t>
  </si>
  <si>
    <t xml:space="preserve">Moved OMS V25  transactions to USD Xero </t>
  </si>
  <si>
    <t>Moved OMS transaction to the new one</t>
  </si>
  <si>
    <t>Staff travel adj posted</t>
  </si>
  <si>
    <t>WIP Dashboard Clien referral meeting Catch-up Rose Catch-up Mel Adhoc and admin Capacity file review</t>
  </si>
  <si>
    <t>Weekly billable reporting XPM timesheet review Refund processing WIP dashboard</t>
  </si>
  <si>
    <t>EFT list review</t>
  </si>
  <si>
    <t>Assist Gerardo in bills entering</t>
  </si>
  <si>
    <t>Shadow Gerardo ng Cash on hand and cash clearing entering and recon</t>
  </si>
  <si>
    <t>Email Dominic re Harmony Build authorisation to AS 006</t>
  </si>
  <si>
    <t>Emails and teams messages</t>
  </si>
  <si>
    <t>Organise tasks for handover</t>
  </si>
  <si>
    <t>Catch up with Ralph re client comms for handover and who will take over small clients</t>
  </si>
  <si>
    <t xml:space="preserve">Call with LM re Harmony Build ATO portal access </t>
  </si>
  <si>
    <t>Discussion with Sherly re Andrew's refund</t>
  </si>
  <si>
    <t>Handover with Rach - Unapproved/unallocated timesheet report</t>
  </si>
  <si>
    <t>Action payroll inbox Fix managers access - Donna Harrison</t>
  </si>
  <si>
    <t>Action payroll emails  Send Feb24 super to Clarissa for approval LSL claims - Tyler Update query sheet for allowance/pay rate updates</t>
  </si>
  <si>
    <t>Expor reports requested by Sijmon</t>
  </si>
  <si>
    <t>Review accounts transactions Update cashflow file</t>
  </si>
  <si>
    <t>Download and import bank/cc transactions to Xero</t>
  </si>
  <si>
    <t>Cashflow update Prepare payables AP and bank rec review</t>
  </si>
  <si>
    <t>Inbox mgmt Prepare AP run Bank rec AR/AP</t>
  </si>
  <si>
    <t>Check on ATO portal re ATO payment plan. Send email to Gen to call ATO re updated payment plan</t>
  </si>
  <si>
    <t>Liaise with Sarah re AMEX balance, ATO payment plan etc. Attend to email from Ish.</t>
  </si>
  <si>
    <t>Review PAYG Withholding Tax for FY 2023 and FY 2024 and email Tom re large PAYG Withholding Payer</t>
  </si>
  <si>
    <t>Super rec as at 31.03.2024. Lodge same via SBSCH. Send to David for payment. Follow up on TFN and DOB to finalise Xero file setup</t>
  </si>
  <si>
    <t>Review Tax folders for the clean up, add comments and respond to Mark's email. Seek further confirmation from Nick re cleaning up the files</t>
  </si>
  <si>
    <t>Weekly invoicing, Mark for IT issues, teams messages, Nick catchup</t>
  </si>
  <si>
    <t>Feb 2024 BAS review &amp; lodgement</t>
  </si>
  <si>
    <t>Feb 2024 BAS review &amp; lodgement. Attend to email re BAS refund, suggest ADP paying less as per credit held</t>
  </si>
  <si>
    <t>Review payroll for FY 2023, prepare summary and send to James and team re payroll tax for FY 2023, not required as under the threshold but should review for FY 2024</t>
  </si>
  <si>
    <t>Cashflow, Budget Variance, WIP Analysis, BAS, EBITDA, AP payment shadowing with Charm</t>
  </si>
  <si>
    <t>Merge contact in Xero</t>
  </si>
  <si>
    <t>Update bills/invoices date prior January 2024</t>
  </si>
  <si>
    <t>Call with Ops Manager Call with P &amp; C Coordinator Call with MD re. redundancy Review of  Update termination letter and develop redundancy script</t>
  </si>
  <si>
    <t>Draft bonus letter</t>
  </si>
  <si>
    <t>Recruitment - Service Technician (PD and advertisement) Call with MD Review of candidate for Assembly/Warehouse role</t>
  </si>
  <si>
    <t>Review of candidates for Spareparts/Aftermarket role Draft Aftermarket Operations Manager PD</t>
  </si>
  <si>
    <t>Draft script re. conduct issue</t>
  </si>
  <si>
    <t>call with Ge re query/concern</t>
  </si>
  <si>
    <t>call with Rej re staff concern</t>
  </si>
  <si>
    <t>chats re staff issue</t>
  </si>
  <si>
    <t>call with Sherly re Alliance</t>
  </si>
  <si>
    <t>capacity, Asana, emails, chats, etc</t>
  </si>
  <si>
    <t>office sched, follow ups, chats re staff concern</t>
  </si>
  <si>
    <t>chats and call re staff concern</t>
  </si>
  <si>
    <t>review and update capacity, chats with staff, follow up on client movements, check office sched/attendance, departmental updates, etc</t>
  </si>
  <si>
    <t>monthly catchup with Cess</t>
  </si>
  <si>
    <t>capacity planning</t>
  </si>
  <si>
    <t>staff concern</t>
  </si>
  <si>
    <t>call with Z re staff issue</t>
  </si>
  <si>
    <t>Meeting with Jordan regarding Alliance AP// Update progress Report  Continue video/Manual editing /syncing</t>
  </si>
  <si>
    <t>Statement checking</t>
  </si>
  <si>
    <t>Batch payment, to finalize payrun</t>
  </si>
  <si>
    <t>March 19 XeroDownloadReportsAutomation - Updated Google sheet account - Migrated updates from yesterday and today to VM - Sent email to Junior Accountants for preferred Xero Reports to be added - Awaiting for Mark's update regarding VM (bot is running but without output)</t>
  </si>
  <si>
    <t>Re-watched hand over videos</t>
  </si>
  <si>
    <t>Loading bills from Dext, bank recon, AP payment</t>
  </si>
  <si>
    <t>Email management, loading bills</t>
  </si>
  <si>
    <t>reviewing Dadtronica sale</t>
  </si>
  <si>
    <t>financials/ BS rec review</t>
  </si>
  <si>
    <t>team activiry</t>
  </si>
  <si>
    <t>check progress on supported idea on Xero</t>
  </si>
  <si>
    <t>requests, updates</t>
  </si>
  <si>
    <t>answer emails for diff clients</t>
  </si>
  <si>
    <t>emails/ newsletter/ reminders</t>
  </si>
  <si>
    <t>financials review</t>
  </si>
  <si>
    <t>MS teams settings</t>
  </si>
  <si>
    <t>check inbox</t>
  </si>
  <si>
    <t>bank transaction imports/ IRD# queries</t>
  </si>
  <si>
    <t>- ASIC - Nick's Inbox management - Birthday posters - Called ATO    - Romance Was Born Pty Ltd - Checked Air BnB for the staff - Newsletter</t>
  </si>
  <si>
    <t>ap report email</t>
  </si>
  <si>
    <t xml:space="preserve">bank recon ap invoices from inbox. email regarding BAS and IAS </t>
  </si>
  <si>
    <t>bank recon ap invoices statement</t>
  </si>
  <si>
    <t>Bank recs, checking accounts</t>
  </si>
  <si>
    <t>Updating process docs, asana tasks</t>
  </si>
  <si>
    <t>Updating process docs</t>
  </si>
  <si>
    <t>Checking emails, asana, answering training survey</t>
  </si>
  <si>
    <t>review Xero file, call Sam from Yachtlife, follow up emails</t>
  </si>
  <si>
    <t>review of bank accounts in the dashboard, review transactions in cheque account before starting to reconcile</t>
  </si>
  <si>
    <t>bank reconciliation Main account 150+ Stripe 80 AMEX 10 For continuation</t>
  </si>
  <si>
    <t xml:space="preserve">emails - check on onboarding checklist </t>
  </si>
  <si>
    <t>emails, asana, XPM, chats,review onboarding checklist for yachtlife</t>
  </si>
  <si>
    <t>chat with bern about process flows</t>
  </si>
  <si>
    <t>assist Rac with payroll queries</t>
  </si>
  <si>
    <t>with Ralph</t>
  </si>
  <si>
    <t>AP items bank recon</t>
  </si>
  <si>
    <t>Catch-up | FTE review test</t>
  </si>
  <si>
    <t>Run: Lack of Color Dev: Pinnacle Oporto Automation Dev: Holdsworth Automation Update</t>
  </si>
  <si>
    <t>AP processing - create batch file and email to Zoe with report.</t>
  </si>
  <si>
    <t>Email forms to Lily, communicate with Ef</t>
  </si>
  <si>
    <t>Process payroll - access to Gmail account, update Kate G hours in payroll, email with super details Email payslips from previous week Call with Matt</t>
  </si>
  <si>
    <t>Email RJ with list of clients / CM updates Pinnacle Newtown invoice and correspondence with Mel</t>
  </si>
  <si>
    <t>Angie - re super and call with Carly chat with Nick</t>
  </si>
  <si>
    <t>Email to Ef re insurance</t>
  </si>
  <si>
    <t>Respond to email re GST on purhcases list in BAS (and review) and ASIC updates</t>
  </si>
  <si>
    <t>Email and teams</t>
  </si>
  <si>
    <t>Nick re client advisory</t>
  </si>
  <si>
    <t>Emails, invoicing</t>
  </si>
  <si>
    <t>Nick re Spectrum / Pinnacle / starleaton</t>
  </si>
  <si>
    <t>BAS review and payroll reports, send to LM</t>
  </si>
  <si>
    <t>Review info and respond to Rose query re excess lease payment</t>
  </si>
  <si>
    <t>Email payslips, bonus processing for Frank, AL liability</t>
  </si>
  <si>
    <t>Review Milenko and rules</t>
  </si>
  <si>
    <t>Assist Rose with backpay / novated lease query</t>
  </si>
  <si>
    <t xml:space="preserve">Payroll reviews Follow up expenses for Ronan / Ross final pay Check HG payment to be processed </t>
  </si>
  <si>
    <t>Attending queries and doing OTS as her requested</t>
  </si>
  <si>
    <t>Attending to queries ( FBT and Entertainment )</t>
  </si>
  <si>
    <t>Attending to queries. error in XPM and client email</t>
  </si>
  <si>
    <t>Meeting with Sherly</t>
  </si>
  <si>
    <t>Email, Asana for Quarterly preparation all clients, Reading notes and Asana inbox</t>
  </si>
  <si>
    <t>sprout</t>
  </si>
  <si>
    <t>Refreshening FBT and Entertainment learning</t>
  </si>
  <si>
    <t>Wzyed training</t>
  </si>
  <si>
    <t>Wzyed training - Payroll tax and others</t>
  </si>
  <si>
    <t>Recruitment for Finance Manager.  Reviewing resumes, contacting shortlisted applicants, booking in interviews.</t>
  </si>
  <si>
    <t>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t>
  </si>
  <si>
    <t>Extension of working hours</t>
  </si>
  <si>
    <t>Email Management Bills raise to xero Check and approved sales to a2x Bank Reconciliaiton LOC INC and Black Montana account</t>
  </si>
  <si>
    <t>Filing of Feb IAS in Bank Email Eli and Lynn for approval</t>
  </si>
  <si>
    <t>Download IAS and sending of to Tien for Payment</t>
  </si>
  <si>
    <t xml:space="preserve">Email Management Bills Processing Bank / Credit Card Recon </t>
  </si>
  <si>
    <t>Meeting with Aileen re: Transferring of Asana Task (Tasman Agri)</t>
  </si>
  <si>
    <t>Email Management Asana Task clean Up</t>
  </si>
  <si>
    <t>Attend to various emails and respond to Angela, Shalini, Kate and Samuel.</t>
  </si>
  <si>
    <t>Process bills. Coordinate to Z/RJ/Jordan re: Jobstreet Catch up my various emails Check timeline for the month-end closing activities</t>
  </si>
  <si>
    <t>Fixed invoices and coordinate with Mark/Nica for the XPM timesheet Additional invoicing based on Asana tasks Email Kate for the updated invoicing.</t>
  </si>
  <si>
    <t>Attend to all queries from Nick. Coordinate invoice from Jordan. Coordinate Jennica for the JPE Trust. Update bank recs/reconcile properly. Catch up some request and emails.</t>
  </si>
  <si>
    <t>Call with LM re: FBT and Entertainment (clarification on this topic)</t>
  </si>
  <si>
    <t>Update Government ORs. Coordination re: Payroll TS status</t>
  </si>
  <si>
    <t>✅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t>
  </si>
  <si>
    <t>Connected culture inbox set up with Mark</t>
  </si>
  <si>
    <t>Introduction to Stephen</t>
  </si>
  <si>
    <t>Meeting with Carly on Fathom report</t>
  </si>
  <si>
    <t>Procedure for Customer Analysis + Improvement of model</t>
  </si>
  <si>
    <t>Call with Nick Emails, teams, Asana</t>
  </si>
  <si>
    <t>email AP</t>
  </si>
  <si>
    <t>BR and follow up unreconciled</t>
  </si>
  <si>
    <t>Drafts</t>
  </si>
  <si>
    <t>emails, AP</t>
  </si>
  <si>
    <t>AP proc doc update</t>
  </si>
  <si>
    <t>AP, files, BR</t>
  </si>
  <si>
    <t>AP, Aged payables review, update due date contact settings, prepare queries for follow up and catch up tomorrow with Adriana</t>
  </si>
  <si>
    <t>update rto sched</t>
  </si>
  <si>
    <t>monthly catch up with ANn</t>
  </si>
  <si>
    <t>OMs V25</t>
  </si>
  <si>
    <t>Handover with Rose</t>
  </si>
  <si>
    <t>WIP updates Capacity planning Cashflow Accounts channel updating Bookkeeping assistance to Mel WA PTX querries</t>
  </si>
  <si>
    <t xml:space="preserve">Capacity call with Ali CM Call with Sherly Payroll review start Bilable hours query study - capacity vs need of additional resource against billable report Admin tasks </t>
  </si>
  <si>
    <t xml:space="preserve">Virtual Activity </t>
  </si>
  <si>
    <t>Handover file for Alliance</t>
  </si>
  <si>
    <t>Arrange for handover to Sherly Teams messages Sprout leave filed</t>
  </si>
  <si>
    <t>Check timesheets Unapproved/unallocated TS report Payroll emails</t>
  </si>
  <si>
    <t>Individual Tax Returns</t>
  </si>
  <si>
    <t>Add group to portal and email Stephen</t>
  </si>
  <si>
    <t>Add company to Dexterous client list and email Stephen re other entities and individuals.</t>
  </si>
  <si>
    <t>Transactions review Cashflow update</t>
  </si>
  <si>
    <t>AP run Inbox mgmt Bank rec Set up payroll payments/forex deals</t>
  </si>
  <si>
    <t>Upload payroll AP run Upload payments Inbox mgmt</t>
  </si>
  <si>
    <t>Upload payables, email Katherine/Shalisa</t>
  </si>
  <si>
    <t>Coordinate with Ish and Sarah re plan for IAS and AMEX</t>
  </si>
  <si>
    <t xml:space="preserve">Onsite: AP processing, enter PO's, enter supplier invoices, match PO, delivery dockets, filing for bank and credit card reconciliation. Supplier payment folder, catch-up with Catherine re queries. </t>
  </si>
  <si>
    <t>Attending to messages from Mel, RJ etc</t>
  </si>
  <si>
    <t>Cashflow, EBITDA  reports, AR Catch up, Virtual meeting, Client Onboarding</t>
  </si>
  <si>
    <t>Ralph -meeting about payroll and handover Ann- meeting about Charm and AP concerns</t>
  </si>
  <si>
    <t>Email and Manual Journal</t>
  </si>
  <si>
    <t>Clear AP inbox and Submit bill for approval in Xero</t>
  </si>
  <si>
    <t>Meetings with MD to discuss redundancy Redundancy outcome discussion Salary review discussion Daily meeting with P &amp; C Coordinator Correspondence with employee post redundancy discussion Correspondence re. 2024 salary reviews Coordinate salary review meetings</t>
  </si>
  <si>
    <t>Call with Finance Director re. people issues Distribute bonus letter Draft flexible working arrangement agreement  Correspondence re. salary reviews Correspondence re. pulse survey</t>
  </si>
  <si>
    <t>Interview - Solution Sales Manager Liaise with candidates re. references Review/correspondence re. applicants for Service Technician role</t>
  </si>
  <si>
    <t>Calls re. people issues in QLD Correspondence re. sales training</t>
  </si>
  <si>
    <t>call with Mary re payroll, check email re payroll adjustment</t>
  </si>
  <si>
    <t>emails, chats, Sprout</t>
  </si>
  <si>
    <t>chats re staff concern, check TS of Charm, etc</t>
  </si>
  <si>
    <t>chats, emails, meeting with Charm, etc</t>
  </si>
  <si>
    <t>chats, follow ups, compile data for departmental updates and email to Gen, fix holidays sched requirements, call with Xavi re concerns, etc</t>
  </si>
  <si>
    <t>research about car parking salary package and FBT</t>
  </si>
  <si>
    <t>-Meeting with Alliance AP Team (end-users) to discuss automation status  - prepare Alliance AP progress report   - Continue video/Manual editing / syncing</t>
  </si>
  <si>
    <t>Leave report</t>
  </si>
  <si>
    <t>Marking paid in Simpro</t>
  </si>
  <si>
    <t>PowerAutomateDataExtract - Updated sequence of activities, added workarounds for error encountered</t>
  </si>
  <si>
    <t>XeroDownloadReportsAutomation - Added aged receivables summary sequence</t>
  </si>
  <si>
    <t>Run four Alliance automations + AP automation;  Added 6 supplier to Alliance Automation Tax Invoice/Credit Adjustments</t>
  </si>
  <si>
    <t>Reconciling wages payable, bank recon</t>
  </si>
  <si>
    <t>Checking emails, updating month end file</t>
  </si>
  <si>
    <t>Checking emails, loading bills, creating invoices, bank recon, weekly report</t>
  </si>
  <si>
    <t>Account recon for BAS</t>
  </si>
  <si>
    <t>Re-watching payroll process recordings and shadow training with Sarah</t>
  </si>
  <si>
    <t>FN payroll, adding new employee</t>
  </si>
  <si>
    <t>Sort out invoicing (Lynn sending out error) + expense claims Review + approve Hunter Loan correction (investigation done by Ann)</t>
  </si>
  <si>
    <t>Commbiz auto bank feeds</t>
  </si>
  <si>
    <t>Dadtronica sale</t>
  </si>
  <si>
    <t>review of Dadtronica sale</t>
  </si>
  <si>
    <t>engagement activity idea</t>
  </si>
  <si>
    <t>leave calendar /holiday schedule</t>
  </si>
  <si>
    <t>emails/ queries/ inbox</t>
  </si>
  <si>
    <t>Teams queries</t>
  </si>
  <si>
    <t>call w/ Ann</t>
  </si>
  <si>
    <t>call w/ Sherly</t>
  </si>
  <si>
    <t>changeover</t>
  </si>
  <si>
    <t>non billable rechecking of processed invoice from inbox</t>
  </si>
  <si>
    <t>export ABA</t>
  </si>
  <si>
    <t>AP batch report</t>
  </si>
  <si>
    <t>bank recs approve ap invoices ap invoices from inbox</t>
  </si>
  <si>
    <t xml:space="preserve">checking of shopify report. sales report as per client request. bank recs </t>
  </si>
  <si>
    <t>approve ap invoices Bank recs ap invoices from inbox</t>
  </si>
  <si>
    <t>checking of process docs</t>
  </si>
  <si>
    <t>Sending email to client re IAS</t>
  </si>
  <si>
    <t>Answering queries, checking AR,</t>
  </si>
  <si>
    <t>Finalizing and exporting ABA files</t>
  </si>
  <si>
    <t xml:space="preserve">check with Sarah RH capital requests - ITR copies </t>
  </si>
  <si>
    <t>bank rec and email client</t>
  </si>
  <si>
    <t>chat with Maan about payroll process for recording, chat with Sarah about RH capital ITR</t>
  </si>
  <si>
    <t>emails, asana, xpm, chat</t>
  </si>
  <si>
    <t>linkedin videos review to upload in wyzed</t>
  </si>
  <si>
    <t>reminder email sent</t>
  </si>
  <si>
    <t>assist Rac payroll questions</t>
  </si>
  <si>
    <t>Feb 24 payroll tax</t>
  </si>
  <si>
    <t>call regarding RH capital for adhoc task</t>
  </si>
  <si>
    <t>Call with Sarah to ask for advice on the client queries and some items for recon</t>
  </si>
  <si>
    <t>client queries, ap items, bank recon dext prepare items.</t>
  </si>
  <si>
    <t>ap items, invoices from procore &amp; hubdoc, EH items, ap email queries</t>
  </si>
  <si>
    <t>Run: Lack of Color Run: AR Ageing Automation Dev: Pinnacle Oporto Automation</t>
  </si>
  <si>
    <t>Filing from downloads folder Emails</t>
  </si>
  <si>
    <t>Meeting with Zoe Meeting with Kim and Zoe</t>
  </si>
  <si>
    <t>Password update check teams</t>
  </si>
  <si>
    <t>Nick re tax etc</t>
  </si>
  <si>
    <t>Check payroll and load to bank, send to Ef</t>
  </si>
  <si>
    <t>REview NSW</t>
  </si>
  <si>
    <t>Call with Andrew re budget spreadsheet</t>
  </si>
  <si>
    <t>H Gallagher redudancy review payment</t>
  </si>
  <si>
    <t xml:space="preserve">Review payruns E Aydin w/comp Update for public holiday in VIC </t>
  </si>
  <si>
    <t>Attending to Sheryl's queries</t>
  </si>
  <si>
    <t>Attending to Rose queries</t>
  </si>
  <si>
    <t xml:space="preserve">attending to queries </t>
  </si>
  <si>
    <t>Meeting with Jimwell</t>
  </si>
  <si>
    <t>Updating outlook calendar</t>
  </si>
  <si>
    <t>Sprout and leave</t>
  </si>
  <si>
    <t>Engagement activity suggestion and reading link from Ali</t>
  </si>
  <si>
    <t>Creation of template and updating ASANA</t>
  </si>
  <si>
    <t>Fixing XPM error and activity</t>
  </si>
  <si>
    <t>Checking of FY2023 BAS lodgement and validating export sales</t>
  </si>
  <si>
    <t>Checking of FY2023 as per client request ( export sales )</t>
  </si>
  <si>
    <t>FY2017 cont.</t>
  </si>
  <si>
    <t>XPM and report error</t>
  </si>
  <si>
    <t>IAS/BAS Preparation &amp; Lodgement - Jan-Mar</t>
  </si>
  <si>
    <t>PAYGI creation and updates</t>
  </si>
  <si>
    <t>Xero and XPM updates</t>
  </si>
  <si>
    <t>Reupdating due to adjustment</t>
  </si>
  <si>
    <t>Wzed training</t>
  </si>
  <si>
    <t>Catch up with Stepanie Energin regarding combined activity</t>
  </si>
  <si>
    <t>Interview candidate for Finance Manager role and type up notes.</t>
  </si>
  <si>
    <t xml:space="preserve">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t>
  </si>
  <si>
    <t>checked for |Super variance</t>
  </si>
  <si>
    <t>Assisted Jim with queries</t>
  </si>
  <si>
    <t>Extended to cover for AP posting</t>
  </si>
  <si>
    <t>Extended to cover for AP</t>
  </si>
  <si>
    <t>Profit Share</t>
  </si>
  <si>
    <t>Email Management Bills raise to xero bank reconciliation BM and LOC Inc Make plan date and prepared payment summary report for approval for payment check approve sales to a2x</t>
  </si>
  <si>
    <t xml:space="preserve">Quick books training </t>
  </si>
  <si>
    <t>Email Management Revising Cash Flow Report</t>
  </si>
  <si>
    <t xml:space="preserve">Email Management Bills Processing Bank Recon </t>
  </si>
  <si>
    <t>Email Management AR Invoice processing Bills Processing Bank/Credit Card Recon</t>
  </si>
  <si>
    <t>Reviewing process docs for Tasman Month End</t>
  </si>
  <si>
    <t>Catch up with Ann  Re: Revising of Donor's Cash Flow Reports</t>
  </si>
  <si>
    <t>ABA file and sending RA Coordination with Emily re: INV-390 (late received)</t>
  </si>
  <si>
    <t>Catch up emails. Process bills and request for payment. Update bank recs. Send out invoice for Ramp.</t>
  </si>
  <si>
    <t>Update Cash Flow</t>
  </si>
  <si>
    <t>Payroll request to Nick. Coordination with Ms Shirley/RJ re: documents needed for processing new Brgy. Clearance.</t>
  </si>
  <si>
    <t xml:space="preserve">Call with RJ re: Payroll Processing  </t>
  </si>
  <si>
    <t>BDO payroll processing and call with RJ Coordination re: salary that needs to withhold Update payroll documents</t>
  </si>
  <si>
    <t>Continue payroll processing and other documentation</t>
  </si>
  <si>
    <t>Rerun and reprocess payroll and other documents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</si>
  <si>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</si>
  <si>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AP list preparation</t>
  </si>
  <si>
    <t>FN Payroll</t>
  </si>
  <si>
    <t>Follow up on payment and meeting</t>
  </si>
  <si>
    <t>Meeting with Jenny and Scott on month end report</t>
  </si>
  <si>
    <t>Emails, Teams, Asana</t>
  </si>
  <si>
    <t>emails, AR</t>
  </si>
  <si>
    <t>Files, BR</t>
  </si>
  <si>
    <t>catch up with Adriana, awaiting approval</t>
  </si>
  <si>
    <t>asana</t>
  </si>
  <si>
    <t xml:space="preserve">chat confirm leave </t>
  </si>
  <si>
    <t>OMS V25</t>
  </si>
  <si>
    <t>Rose handover tasks</t>
  </si>
  <si>
    <t>RPA XPM resource matrix task assigned PH payroll review handover update of Rose coordination of Cons emails and remaining tasks Call with BDO branch for update</t>
  </si>
  <si>
    <t xml:space="preserve">XPM CM roster update PH payroll shadowing with Mel Admin - pto approvals timesheet checking Call with Con </t>
  </si>
  <si>
    <t>Back up plan for Friday leave Message individuals who will back up</t>
  </si>
  <si>
    <t>Update handover file and schedule Emails Teams messages etc Asana updates</t>
  </si>
  <si>
    <t>Discussions re handover of review clients</t>
  </si>
  <si>
    <t>Email client updated BAS and follow up Feb24 IAS</t>
  </si>
  <si>
    <t>Call with Rach re salary packaging</t>
  </si>
  <si>
    <t>Overview of review clients with Shirley</t>
  </si>
  <si>
    <t>Update Michael D's final pay</t>
  </si>
  <si>
    <t>Load payment in the bank, Sherly as shadow</t>
  </si>
  <si>
    <t>Review redundancy pay for Alisa</t>
  </si>
  <si>
    <t>Payroll updates</t>
  </si>
  <si>
    <t xml:space="preserve">Handover to Rach Unapproved/Unallocated/Non-C timesheets reporting WK/FN payroll processing (NSW WK/FN, VIC FN, SVS FN, QLD WK) Payroll journals automation Hours worked report </t>
  </si>
  <si>
    <t>Look into how to refund credit note for Andrew's novated lease</t>
  </si>
  <si>
    <t>Review previous agent tax returns and portal records Compile list of informationi required Call with Stephen re penalties, interest debt and info required</t>
  </si>
  <si>
    <t>Call with Max re FBT and email to Max summarising our discussion</t>
  </si>
  <si>
    <t>Bank rec Accounts review Email client about BAS</t>
  </si>
  <si>
    <t>Update cashflow file Review transactions Upload payments</t>
  </si>
  <si>
    <t>Inbox mgmt Bank rec Set up payroll payment to CT</t>
  </si>
  <si>
    <t>AP/AR Inbox mgmt Bank rec Check bank payments</t>
  </si>
  <si>
    <t>Review and export reports requested by SIjmon</t>
  </si>
  <si>
    <t>Payroll review with Jim</t>
  </si>
  <si>
    <t>Attend to emails from Kerry</t>
  </si>
  <si>
    <t>Coordinate re BAS lodgement, PAYG Instalment Tax notice for March 2024 with LM, liaise with Mel re fees etc</t>
  </si>
  <si>
    <t>On the call with ATO re payment plan, cannot update as o/s returns for FY 2023. Email Nexia re timeframe for lodgement, email Sarah for an update. Various emails to Sarah to coordinate AMEX and IAS payment</t>
  </si>
  <si>
    <t>Attend to queries from John re insurance renewal, provide turnover figures, review export sales for FY 2023 and respond accordingly.</t>
  </si>
  <si>
    <t>Call with ATO for updated payment plan. Advise team re the outcome</t>
  </si>
  <si>
    <t xml:space="preserve">Update bank and credit card reconciliation for March 2024. Attach invoices in MYOB. Review payroll process, timesheet for March. Look at STP setup. Call ATO, advise Alan re nomination for payroll purpose. Follow up with Alan re payment for IAS. </t>
  </si>
  <si>
    <t>BAS/IAS workflow, follow up with team, LM etc</t>
  </si>
  <si>
    <t>Respond to Energy Vault's email re fee for payroll tax registration, liaise with Nica re same for availability, liaise with Logika re on leave and plan, with Angela re debtors, etc</t>
  </si>
  <si>
    <t>Review updated BAS, lodge same</t>
  </si>
  <si>
    <t>Cashflow , AP Invoice, Client Onboarding, Follow up BAS, Meeting with Rej and Lynds</t>
  </si>
  <si>
    <t>Handover with Rose, Meeting with Xavi, Ann and Rose</t>
  </si>
  <si>
    <t>Email and Update supplier bank details in Xero</t>
  </si>
  <si>
    <t>Correspondence re. salary reviews Salary review meetings with managers Draft message re. redundancy Draft script for conduct discussion</t>
  </si>
  <si>
    <t>Coordinate drug and alcohol testing Weekly call with Senior VP HR</t>
  </si>
  <si>
    <t>Salary review</t>
  </si>
  <si>
    <t>Disciplinary meeting Salary review Correspondence with Sales candidates</t>
  </si>
  <si>
    <t>-finalize AP Automation progress report// meeting with Jordan and Nikhil to discuss status  - short intro for Newsletter -Email to Dex company-wide to update on QMS -Continue Video/Manual edit</t>
  </si>
  <si>
    <t>March 21 XeroDownloadReportsAutomation - Added filters for aged receivables summary sequence - added security for users with access to the entity and its reports. Still working on how to make the user with Advisor status have the only rights to download reports</t>
  </si>
  <si>
    <t>Email payslips, file payrun</t>
  </si>
  <si>
    <t>checking, research about new contacts</t>
  </si>
  <si>
    <t>Setting up new employee, adding an unscheduled payrun</t>
  </si>
  <si>
    <t>Emails, loading bills, BAS journal, bank recon, payables list</t>
  </si>
  <si>
    <t>Emails, loading bills, bank recon, weekly report, AP payment</t>
  </si>
  <si>
    <t>emails/ queries</t>
  </si>
  <si>
    <t>APE ff up</t>
  </si>
  <si>
    <t>emails/ inbox/ teams/ queries</t>
  </si>
  <si>
    <t>review/ adjustments</t>
  </si>
  <si>
    <t>processing/ stand down time query</t>
  </si>
  <si>
    <t>- Nick's Inbox management - Travel Agent follow-up - Air BnB for April 2024 - Newsletter - ATO</t>
  </si>
  <si>
    <t>bank recon ap invoice</t>
  </si>
  <si>
    <t>checking if all IAS and bas were paid</t>
  </si>
  <si>
    <t>entering of sales transaction inbox/emails training</t>
  </si>
  <si>
    <t>approve ap invoices. emails</t>
  </si>
  <si>
    <t>entering of sales transactions</t>
  </si>
  <si>
    <t>bank transactions inbox</t>
  </si>
  <si>
    <t>non billable.  checking of previous sales report. emails</t>
  </si>
  <si>
    <t>entering of sales transactions training</t>
  </si>
  <si>
    <t>Checking accounts</t>
  </si>
  <si>
    <t xml:space="preserve">Answering questions for handover </t>
  </si>
  <si>
    <t>Bank recs, recording of invoices, checking inbox</t>
  </si>
  <si>
    <t>Asking around to get an answer for the client's query and responding to their email</t>
  </si>
  <si>
    <t>Bank recs, recording of invoices, clearing of inbox</t>
  </si>
  <si>
    <t>Catch-up with Shalini</t>
  </si>
  <si>
    <t>Checking payroll inbox</t>
  </si>
  <si>
    <t xml:space="preserve">Updating payroll file - added meal allowances </t>
  </si>
  <si>
    <t>payroll tax email client about registration</t>
  </si>
  <si>
    <t>bank recs - summary of unreconciled transactions</t>
  </si>
  <si>
    <t>clean asana, chat with Jim about Too Nice feb reports</t>
  </si>
  <si>
    <t>emails, asana, xpm chat with Rac - holdsworth budget chat with Shalini - energy vault payroll tax check with Ef- Pinnacle outstanding items</t>
  </si>
  <si>
    <t>stp finalisation training draft</t>
  </si>
  <si>
    <t>review linkedin trainings upload in wyzed</t>
  </si>
  <si>
    <t>put in Wyzed training modules</t>
  </si>
  <si>
    <t>Catch up - Ralph</t>
  </si>
  <si>
    <t>Catchp up - Rachele</t>
  </si>
  <si>
    <t>Ap items and sent bills to client for batch payment</t>
  </si>
  <si>
    <t>ap items, bank recon, invisalign invoices ap emails</t>
  </si>
  <si>
    <t>AP Items, Dext Prepare items, AP email queries, ap batch prepare and sent to client for upload</t>
  </si>
  <si>
    <t xml:space="preserve">AP Items, invoices from procore &amp; hubdoc, new employee set-up, sync data to EH, sorting emails to project folders &amp; queries, checking of invoices correctly tagged on proj </t>
  </si>
  <si>
    <t>Monthly coaching | Jim-Ralph</t>
  </si>
  <si>
    <t xml:space="preserve">Run: Lack of Color Run: Primebuild Payroll Processing Report Automation Dev: Pinnacle Oporto Automation </t>
  </si>
  <si>
    <t>Import visa transactions, check for BAS signature, check wages paid</t>
  </si>
  <si>
    <t>Load BAS payment Email re nine - check figures Email Lucia re Nine, BAS, Asic Impor visa transactions</t>
  </si>
  <si>
    <t>Intercompany loan reconcilation</t>
  </si>
  <si>
    <t>Chat with Carly around Angie super and other things</t>
  </si>
  <si>
    <t>Agent portal linking LM, liaise with Sahlini on this and BAS OportoUlladulla adhoc payrun</t>
  </si>
  <si>
    <t>Meeting with Shalini to request BAS deferral for Queste, email to client re contact - attempt to call Michael (VM)</t>
  </si>
  <si>
    <t>Email Anna re wage increases</t>
  </si>
  <si>
    <t>Redo spreadsheet of transactions and email to Zoe</t>
  </si>
  <si>
    <t>Review superstream requirements for WPN holders</t>
  </si>
  <si>
    <t>Catch up with Tyson re expenses, loans and rec / bill payment Review reconciliation sheet</t>
  </si>
  <si>
    <t>Finalise payrun, load ABA to bank, message to Matt re payroll and funds</t>
  </si>
  <si>
    <t>Assist Rose with Lump sum E and tax</t>
  </si>
  <si>
    <t>Ronnie / Andrew re budgets. Notes on workers comp and novated lease processing Review emails and HR benchmarking report</t>
  </si>
  <si>
    <t>Email response, tax return, Annual, ATO checked, intercompany, initial review, and attending to Neet queries</t>
  </si>
  <si>
    <t>Updating new client and responding to kate's request</t>
  </si>
  <si>
    <t>Updating the XPM, ASANA and ACN code</t>
  </si>
  <si>
    <t>Email and attending to queries. Updates XPM and ASANA</t>
  </si>
  <si>
    <t>Attending to Shery'l queries</t>
  </si>
  <si>
    <t>xpm</t>
  </si>
  <si>
    <t>&gt;Email, Training, responding to queries, and team chats</t>
  </si>
  <si>
    <t xml:space="preserve">clean up files </t>
  </si>
  <si>
    <t>PAYGI process, XPM, and fixing error</t>
  </si>
  <si>
    <t>NonBillable - XPM and Xero activities</t>
  </si>
  <si>
    <t>BAS process and further digging of 56K variance.</t>
  </si>
  <si>
    <t>Interviews with 3 x candidates for Finance Manager role, type up interview notes. Phone interview further candidates and shortlist for video chats.  Review candidates from Linked In sent by Z to HR folder, and send emails as follow up.  Meet with AH for HR monthly catchup.</t>
  </si>
  <si>
    <t>Clearing Account Domestic Afterpay Shopify klarna Paypal Postscript Bills raise to xero Clearing Account international Afterpay</t>
  </si>
  <si>
    <t xml:space="preserve">Email Management Bills raise to xero bank Reconciliation BM and LOC Inc Payment Loading to Combizz Check and approved sales to a2x Import paypal currencies and reconciled </t>
  </si>
  <si>
    <t xml:space="preserve">Email Management Bills processing Bank and Credit Card Recon </t>
  </si>
  <si>
    <t xml:space="preserve">Email Management AR Invoice processing Bills Processing Bank Recon Supplier's Batch Payment </t>
  </si>
  <si>
    <t>Asana Task Clean Up</t>
  </si>
  <si>
    <t xml:space="preserve">Emailing of Employees Pay slips Filing Payroll </t>
  </si>
  <si>
    <t>TS for MKP - Job Activity for Libby Coordination of payroll concerns with Z and RJ</t>
  </si>
  <si>
    <t>Email Mizpah for the OR copy of SEC payment. Coordination with Burn re: payroll dispute</t>
  </si>
  <si>
    <t>TS for MKP as requested by Libby (01 Jul 2022 - 30 Jun 2023)</t>
  </si>
  <si>
    <t>Call with RJ and Shalini re: Referral Update tracker Update Asana tasks based on the meeting</t>
  </si>
  <si>
    <t>Payroll BDO reuploading tutorial with RJ Catch up emails Process bills and coordinate the correct information Coordinate needed invoices to Jordan Payment inquiry with Z</t>
  </si>
  <si>
    <t>Process bills and checking of details. Endorsed to Nick for approval. Update bank recs. Catch up emails and respond. Process invoice for Ramp - checking of details for CFO Services.</t>
  </si>
  <si>
    <t>BIR Alphalist for version 2 data entry for RO</t>
  </si>
  <si>
    <t>Payroll approval and announcement. Concerns from employees re: Loans and others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</si>
  <si>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</si>
  <si>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DD meeting with Shalini for Fathom handover</t>
  </si>
  <si>
    <t>Question for Knowledge Shop on MtM</t>
  </si>
  <si>
    <t xml:space="preserve">chat checking re meal rates </t>
  </si>
  <si>
    <t>emails, BR</t>
  </si>
  <si>
    <t>AP, recs,email</t>
  </si>
  <si>
    <t>AP and update Supplier recs and follow up requested invoices</t>
  </si>
  <si>
    <t>weekly catch up</t>
  </si>
  <si>
    <t xml:space="preserve">Shadowed with Rose </t>
  </si>
  <si>
    <t xml:space="preserve">BDO upload Holiday capacity plan Admin-emails adhoc BIR BDO notarization </t>
  </si>
  <si>
    <t>Referral incentive meeting with Shalini Coaching sessions and catch-up - Jeric, Jim and Lindsay Resource matrix table plan Non billable analysis</t>
  </si>
  <si>
    <t>Shadow Gerardo-  Bank transaction entering Bank recon Entering of spreadsheet COH recon Cash clearing recon Create an instruction tab for Gerardo to follow</t>
  </si>
  <si>
    <t xml:space="preserve">Rach shadow -  Saving and emailing below reports: Payroll journals Hours worked report </t>
  </si>
  <si>
    <t>Amendments from James</t>
  </si>
  <si>
    <t>Payroll processing Updates from HR</t>
  </si>
  <si>
    <t xml:space="preserve">Amendments from James Call to discuss Nick D SL Check previous payslips for SL balances for Nick D Message Xavi to ask for payslips for Feb for checking Respond to James and finalise payroll Export reports Message from James re ACT LSL, respond to his queries </t>
  </si>
  <si>
    <t>Review prior year returns for the group Prepare list of informaiton required to prepare 22 and 23 ITRs and email to Stephen</t>
  </si>
  <si>
    <t>Catch-up with Carly re KPI's</t>
  </si>
  <si>
    <t>Catch-up with Neeti to handover Fathom reporting</t>
  </si>
  <si>
    <t>Resolve issue of branch 006. Remove client and advise Dominic to nominate again. Add client. Liaise with LM for XPM task</t>
  </si>
  <si>
    <t xml:space="preserve">Respond to Kerry's email re tax on unscheduled payrun. Send detailed email in relation to correct tax to be withheld in total and the PAYG adjustment done to ensure correct PAYG tax has been paid for the fortnight. </t>
  </si>
  <si>
    <t>Weekly teams meeting</t>
  </si>
  <si>
    <t xml:space="preserve">Supplier payment run dated 21/03/2024. Upload payables and email Alan/Catherine for approval. Update leave approval forms and email staff for clarification. </t>
  </si>
  <si>
    <t>Fee review and email to Lyndcote Family Trust, add in additional billings, go through Asana tasks and delegate, comment, general queries from team, etc</t>
  </si>
  <si>
    <t>Jun 2017 quarter BAS review and lodgement</t>
  </si>
  <si>
    <t>Mar 2017 quarter BAS review and lodgement</t>
  </si>
  <si>
    <t>Sep 2016 quarter BAS review and lodgement</t>
  </si>
  <si>
    <t>Dec 2016 quarter BAS review and lodgement</t>
  </si>
  <si>
    <t>Dec 2023 quarter PAYGI notice review and lodgement</t>
  </si>
  <si>
    <t>Catchup with Mel and RJ re referral program</t>
  </si>
  <si>
    <t>Study procedures</t>
  </si>
  <si>
    <t>Email to client about Rose' transition.</t>
  </si>
  <si>
    <t>- interview 2 candidates for Senior Accountant role - resume browsing - send out message to LinkedIn for SA role</t>
  </si>
  <si>
    <t>Send reports to client</t>
  </si>
  <si>
    <t>AR and Emails</t>
  </si>
  <si>
    <t>Merge duplicate contacts in Xero</t>
  </si>
  <si>
    <t>Salary reviews - meetings with managers Meeting with P &amp; C coordinator Discussion with MD  Discussion re. on/offboarding process/staff</t>
  </si>
  <si>
    <t>Correspondence re. salary reviews</t>
  </si>
  <si>
    <t>Reference checks Remuneration review Goal setting guidance Draft contract</t>
  </si>
  <si>
    <t>Salary review information</t>
  </si>
  <si>
    <t>Salary review Coordinate follow up meeting from disciplinary EAP information</t>
  </si>
  <si>
    <t>equity review/recs</t>
  </si>
  <si>
    <t>call with Charm, call with Z, chats, etc</t>
  </si>
  <si>
    <t>break, chats re tasks</t>
  </si>
  <si>
    <t>chats with staff re leave, check staff Asana, etc</t>
  </si>
  <si>
    <t>Asana, check article re people leader and respond to email, chats re staff concerns, etc</t>
  </si>
  <si>
    <t>chats, emails, Asana, Sprout, call with Z re staff concerns, check handover file, etc</t>
  </si>
  <si>
    <t>Social Committee Meeting  Timetable &amp; Presentation prep for QMS Launch (1st week of April)  Continue Video/Manual edits</t>
  </si>
  <si>
    <t>Norah sick</t>
  </si>
  <si>
    <t>March 22 XeroDownloadReportsAutomation - Updated sequence for security for users with access to the entity and its reports</t>
  </si>
  <si>
    <t>Data Matrix Table Part 2 Development</t>
  </si>
  <si>
    <t>Need to travel back home early</t>
  </si>
  <si>
    <t>Emails, loading bills</t>
  </si>
  <si>
    <t>Adding new employee</t>
  </si>
  <si>
    <t>queries and email to Shalini re: Dadworld sale</t>
  </si>
  <si>
    <t>inbox/ queries/ teams</t>
  </si>
  <si>
    <t>Wyzed - Management Reporting</t>
  </si>
  <si>
    <t>leg cramps</t>
  </si>
  <si>
    <t>Received raw invoices.</t>
  </si>
  <si>
    <t>- ATO - Retrieval of Equipments from:   - Con Carlos   - Charm Dequito - Dispatch of Equipments to:    - RJ Renia - Nick's Inbox management - Newsletter</t>
  </si>
  <si>
    <t>IAS emails</t>
  </si>
  <si>
    <t>ap invoices inbox/emails</t>
  </si>
  <si>
    <t>bank recon email update supplier contact and bank details ap payment</t>
  </si>
  <si>
    <t>ap report approve invoices</t>
  </si>
  <si>
    <t xml:space="preserve">Export aba files emails </t>
  </si>
  <si>
    <t>checking of ways to importing files for the system Reckon</t>
  </si>
  <si>
    <t>Checking contacts</t>
  </si>
  <si>
    <t>Bank recs, recording of invoices, drafting tasks &amp; responsibilities requested by the client for the handover to Neeti</t>
  </si>
  <si>
    <t>Bank recs, recording of invoices, cleaning up of contacts</t>
  </si>
  <si>
    <t>Checking the action items in Keypay</t>
  </si>
  <si>
    <t>Clearing inbox, answering queries, updating live files, PAYG Rec</t>
  </si>
  <si>
    <t>hubdoc and bank rec</t>
  </si>
  <si>
    <t>record bills from hubdoc to Xero - 40bills and bank recs</t>
  </si>
  <si>
    <t>emails, chat with Alison, chat with Kate -pinnacle and spectrum</t>
  </si>
  <si>
    <t>add notes to stp finalisation training</t>
  </si>
  <si>
    <t>clean up files</t>
  </si>
  <si>
    <t>continue doing script for video training</t>
  </si>
  <si>
    <t>ap items, dext prep, ap emails query to check an update on old invoices, bank recon</t>
  </si>
  <si>
    <t>Emails sort, wyzed, asana</t>
  </si>
  <si>
    <t>Accomplishing FTE analysis file sent by Sir RJ</t>
  </si>
  <si>
    <t>Wyzed LSL</t>
  </si>
  <si>
    <t>Journal to account for interest on HP Ford Ranger paid to end of March 2024 in preparation for vehicle sale</t>
  </si>
  <si>
    <t>Ackad reconcilation for BAS</t>
  </si>
  <si>
    <t>Reconcilation of loans with Pinnacle entities</t>
  </si>
  <si>
    <t>Message to Mel re invoicing for Queste</t>
  </si>
  <si>
    <t>Teams messages - CJs nowra invoicing, employee set up SRD</t>
  </si>
  <si>
    <t>ATO check portal add financial institution details for refund.  Add BAS journals to Xero</t>
  </si>
  <si>
    <t>Email access for Mary - email to Matt</t>
  </si>
  <si>
    <t xml:space="preserve">prepartion of email for Tom at HK and summary of queries </t>
  </si>
  <si>
    <t>Emiail and liaise with Mayday</t>
  </si>
  <si>
    <t>Booke.ai demo and follow up email to team</t>
  </si>
  <si>
    <t>Reports for Ali for salary reviews / contract offers</t>
  </si>
  <si>
    <t>Oncost journals for two weeks</t>
  </si>
  <si>
    <t>Updating, checking, and modify</t>
  </si>
  <si>
    <t>Meeting with Mel and Jordan</t>
  </si>
  <si>
    <t>Cleaning of ASANA, message, inactive task and others</t>
  </si>
  <si>
    <t>Asana</t>
  </si>
  <si>
    <t>XPM. Asana. Birthday search to alison, catch up with Mel and other adhoc</t>
  </si>
  <si>
    <t>BAS proces, export, xpm, and others</t>
  </si>
  <si>
    <t xml:space="preserve">Company tax return training cont. </t>
  </si>
  <si>
    <t>Catch up with Zerra</t>
  </si>
  <si>
    <t>Social Activity meeting</t>
  </si>
  <si>
    <t>extended to cover for Ap</t>
  </si>
  <si>
    <t>Comparison of current ageing and recorded aging</t>
  </si>
  <si>
    <t>Cross checking debtors list versus current invoices</t>
  </si>
  <si>
    <t>Aranas</t>
  </si>
  <si>
    <t>Weekly Bookkeeping</t>
  </si>
  <si>
    <t>Check and approving sales in a2x Clearing Account international Paypal Shopify Installment Shopify Klarna Afterpay</t>
  </si>
  <si>
    <t>Continuation of Clearing Account Paypal and Afterpay approving postscript sales in a2x</t>
  </si>
  <si>
    <t>Check accounts inbox and action as necessary Email Management Bills raise to xero Bank Reconciliation Bm  Imported transactions from CBA and reconciled bank reconciliation LOC Inc Check and approving sales from a2x</t>
  </si>
  <si>
    <t>Annual leave</t>
  </si>
  <si>
    <t xml:space="preserve">Email Management Bills Processing  Bank Recon </t>
  </si>
  <si>
    <t xml:space="preserve">Email Management Bank Recon Reviewing Project Recon </t>
  </si>
  <si>
    <t>Team Ann Wekkly Huddle</t>
  </si>
  <si>
    <t xml:space="preserve">Invoice sending for BAS lodgement </t>
  </si>
  <si>
    <t>Update bank recs for PH Branch</t>
  </si>
  <si>
    <t>Assist invoices requested. Checking of unsent invoices. Update bills and entry setup for Seek.</t>
  </si>
  <si>
    <t>Fixed all 2307 and prepare emails for 2307 and remittance advice for local payments. Catch up emails for AP Manila.</t>
  </si>
  <si>
    <t>Coordination with Kate re: Queste invoice Checking with Anie and informing her about the needed documents for BIR requirements. Compliance invoicing updating and sending out invoices.</t>
  </si>
  <si>
    <t>Process bank recs and bills. Catch up emails on AU accounts.</t>
  </si>
  <si>
    <t>Continuous BIR Alphalist for version 2 data entry for RO</t>
  </si>
  <si>
    <t>BIR Alphalist for version 2 data entry for RO Assist Gen on HDMF enrollment</t>
  </si>
  <si>
    <t>Update Asana tasks and check pending tasks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</si>
  <si>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t>
  </si>
  <si>
    <t>email from Supplier recs and update</t>
  </si>
  <si>
    <t>Proc docs</t>
  </si>
  <si>
    <t>catch up with Adriana, chasing Credits</t>
  </si>
  <si>
    <t>BS Recs and update procdoc</t>
  </si>
  <si>
    <t>Reviewed Feb super</t>
  </si>
  <si>
    <t>Brooke final pay</t>
  </si>
  <si>
    <t xml:space="preserve">Finance adhoc Timesheets review - sprout Resource matrix table start  </t>
  </si>
  <si>
    <t>Call with Jordan Resource allocation matrix Study FCT Arranging Dex files and documents, logistics</t>
  </si>
  <si>
    <t>Catchup with Ali</t>
  </si>
  <si>
    <t xml:space="preserve">Review bank balance as at 22.03.2024. Upload payables, email Zoe for approval noting bank balance </t>
  </si>
  <si>
    <t>Provide commentary on cashflow for BOQ overdraft. Send comments to Sarah</t>
  </si>
  <si>
    <t>Meeting with John &amp; Gary re R&amp;D claim for FY 2023</t>
  </si>
  <si>
    <t>Asana clean up of tasks, Mel queries, Angela, look further at training topics</t>
  </si>
  <si>
    <t>Cleaning up tax client folders</t>
  </si>
  <si>
    <t>Feb BAS review and lodgement</t>
  </si>
  <si>
    <t>Training videos with Carly</t>
  </si>
  <si>
    <t>JD update</t>
  </si>
  <si>
    <t>Preparing for payroll training and new hire assistance</t>
  </si>
  <si>
    <t>Leave Request/Balance report/NSW RDO update</t>
  </si>
  <si>
    <t>AP Catch up</t>
  </si>
  <si>
    <t>Catch up Meeting with Carly</t>
  </si>
  <si>
    <t>Formatting financial report</t>
  </si>
  <si>
    <t>Sunday</t>
  </si>
  <si>
    <t>Reconcile balances to Hall Chadwick</t>
  </si>
  <si>
    <t>Report formating</t>
  </si>
  <si>
    <t>Add Xero trial ledger Create comparaiteve figures for 20 and 21 from Hall Chadwick</t>
  </si>
  <si>
    <t>Enter Hall Chadwick data into Xero ledger 20 and 21</t>
  </si>
  <si>
    <t>Bank Reconciliation and Email</t>
  </si>
  <si>
    <t>AP and Email</t>
  </si>
  <si>
    <t>Respond to CM's comments and Update Process Document</t>
  </si>
  <si>
    <t>Team Meeting</t>
  </si>
  <si>
    <t>Correspondence re. IT flexible working arrangements</t>
  </si>
  <si>
    <t>Drug and alcohol testing Recruitment &amp; onboarding - Solution Sales</t>
  </si>
  <si>
    <t>Drug and alcohol testing and follow up Draft letter for employee</t>
  </si>
  <si>
    <t>Employment agreement Coaching re. people management Drug and alcohol testing and follow up</t>
  </si>
  <si>
    <t>chats, announcements, etc.</t>
  </si>
  <si>
    <t>review backup plan</t>
  </si>
  <si>
    <t>break, chats, emails</t>
  </si>
  <si>
    <t>emails, chats, Sprout, Asana, timesheets, etc</t>
  </si>
  <si>
    <t>concerns, emails, timesheets, etc</t>
  </si>
  <si>
    <t>Call with team re Charm's termination and other concerns</t>
  </si>
  <si>
    <t>March 25 XeroDownloadReportsAutomation - updated filter for aged payables summary sequence - updated the for each logic for each entity for security for users with access to the entity and its reports due to errors and different scenarios encountered</t>
  </si>
  <si>
    <t>Met with Rejie and Jordan to discuss Alliance Automations, Conducted some screen recordings to capture automations; Run four Alliance automations + AP automation; Run Marsill Automation</t>
  </si>
  <si>
    <t>Matrix Data Table Part 2 Development</t>
  </si>
  <si>
    <t>My kid's educational trip</t>
  </si>
  <si>
    <t>Various work</t>
  </si>
  <si>
    <t>review TS and approve invoice</t>
  </si>
  <si>
    <t>free webinar</t>
  </si>
  <si>
    <t>inbox/ emails</t>
  </si>
  <si>
    <t>employee set-up review</t>
  </si>
  <si>
    <t xml:space="preserve">- ASIC - ATO - Communication History - Air BnB check - Travel Agent check for the Outing - Nick's Inbox management - Birthday poster for Mel  </t>
  </si>
  <si>
    <t>Checking asana tasks, adding tasks and reassigning</t>
  </si>
  <si>
    <t>Checking asana tasks, updating &amp; reassigning</t>
  </si>
  <si>
    <t>Bank recs,</t>
  </si>
  <si>
    <t>Checking receivables, payments</t>
  </si>
  <si>
    <t>Recording of invoices, AP processing, AR update</t>
  </si>
  <si>
    <t>Short discussion with Rose re access</t>
  </si>
  <si>
    <t>Wyzed training</t>
  </si>
  <si>
    <t>Clearing payroll inbox</t>
  </si>
  <si>
    <t>Collating timesheets and leave reports for Keypay clean-up</t>
  </si>
  <si>
    <t>Payroll - entered in Xero, Payroll Rec</t>
  </si>
  <si>
    <t>Clearing inbox</t>
  </si>
  <si>
    <t>Checking timesheets, action items, leaves</t>
  </si>
  <si>
    <t>Sort files in client drive</t>
  </si>
  <si>
    <t xml:space="preserve">Weekly payroll &amp; Redundancy calculation </t>
  </si>
  <si>
    <t>AP list, bank recon, email query</t>
  </si>
  <si>
    <t>ap items, check invisalign invoices, bank recon</t>
  </si>
  <si>
    <t>Created folder and saved payroll reports for FY23</t>
  </si>
  <si>
    <t>AP items, bank recon, upload payroll reports into client folder current FY</t>
  </si>
  <si>
    <t>ap items, sent ap list to clients, bank recon</t>
  </si>
  <si>
    <t>Run: LOC Dev: Holdsworth Update Automation</t>
  </si>
  <si>
    <t>Hubdoc and bank rec, journal for reimbursements</t>
  </si>
  <si>
    <t>Hubdoc and bank rec</t>
  </si>
  <si>
    <t>HubDoc and bank reconciliation</t>
  </si>
  <si>
    <t>Email rec queries etc</t>
  </si>
  <si>
    <t>Review Asana tasks and push bills from HubDoc, bank reconciliation</t>
  </si>
  <si>
    <t>AP, check bills, setup Amex payment, draft email</t>
  </si>
  <si>
    <t>Hub Doc and bank rec Recode office expenses from oporto (tech fees)</t>
  </si>
  <si>
    <t>Review suspense transactions to FY2023 for tax</t>
  </si>
  <si>
    <t>Including reconciliation of Summertime Chicken and Oporto statements</t>
  </si>
  <si>
    <t>Follow up file for tax, send to Sam</t>
  </si>
  <si>
    <t>Coordination of queries and emaill to cient</t>
  </si>
  <si>
    <t>Teams</t>
  </si>
  <si>
    <t>Emails, Teams messages, asana Check all Asana Projects Filing from downloads folder</t>
  </si>
  <si>
    <t>Sydney meeting and calendar updates</t>
  </si>
  <si>
    <t xml:space="preserve">Attempt to call ATO re PAYG - no response </t>
  </si>
  <si>
    <t>Weekly Team meeting</t>
  </si>
  <si>
    <t xml:space="preserve">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t>
  </si>
  <si>
    <t xml:space="preserve">Bank reconciliation LOC INc Postscript bills raise to xero Checking again the shopify installment clearing account Checked the statement of Corporate traveller </t>
  </si>
  <si>
    <t>Email Management Bills raise to xero bank reconciliation BM  Check and approve sales to a2x</t>
  </si>
  <si>
    <t>Check Employee list Vs Xero Prepared payroll employee summary report and check and make a note to the variance.  Sent the draft payslip and payroll report for approval Payroll payment upload to combizz Sent payslip and filed to ATO</t>
  </si>
  <si>
    <t>Support Create account and configure for new Staff</t>
  </si>
  <si>
    <t xml:space="preserve">Email Management Bills Processing  Invoice Processing </t>
  </si>
  <si>
    <t xml:space="preserve">Email Management Bills processing  Bank Recon </t>
  </si>
  <si>
    <t xml:space="preserve">Important meeting with Team Ann </t>
  </si>
  <si>
    <t xml:space="preserve">checking  inbox </t>
  </si>
  <si>
    <t>Checking of summary of all expenses for the company outing needed by Gen.</t>
  </si>
  <si>
    <t>Call with RJ for the pending/other tasks before AL</t>
  </si>
  <si>
    <t>Timesheet checking and coordination for the unsubmitted TS.</t>
  </si>
  <si>
    <t>Respond to emails and other approved emails from Nick.  Attached to bills in Xero.</t>
  </si>
  <si>
    <t>Check bills and laptop inquiry (Sharry) and enter bills. Request Nick's approval.</t>
  </si>
  <si>
    <t>Process bills for Elena and Angela Farrell. Checking of details and TS. Coordinate to Carly approval of bill for Elena also.</t>
  </si>
  <si>
    <t>Invoice preparation and sending for Daniel Scheuch. Setup of contact details.</t>
  </si>
  <si>
    <t>Process bank recs and check the Xero invoice on clients access (Billing Accounts)</t>
  </si>
  <si>
    <t>Process and check bills for payment. Catch up email and respond.</t>
  </si>
  <si>
    <t>Timesheet review and invoice update for various CMs.</t>
  </si>
  <si>
    <t>📌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t>
  </si>
  <si>
    <t>Follow up on Asana tasks</t>
  </si>
  <si>
    <t>Follow up on new scope and payment</t>
  </si>
  <si>
    <t>Meeting with Carly</t>
  </si>
  <si>
    <t>Meeting with Stuart on MtM and month end prep</t>
  </si>
  <si>
    <t>Prep for meeting Procedure for Customer Analysis + Improvement of model</t>
  </si>
  <si>
    <t>BR. prepare Feb Account transactions. email</t>
  </si>
  <si>
    <t>Leave application and Leave recs vs. Deputy 01 Jan to 10 Mar</t>
  </si>
  <si>
    <t>payroll &amp; leave recs 01Jan to 10Mar</t>
  </si>
  <si>
    <t>Catchup[ with Sylvie</t>
  </si>
  <si>
    <t>AL leave provision for BELCR</t>
  </si>
  <si>
    <t>Bellinger Asset Management - add AL and LSL liability journal</t>
  </si>
  <si>
    <t xml:space="preserve">Sending BIR requirements to Shirley Study FCT Cash flow Client referral update </t>
  </si>
  <si>
    <t>Weekly billable reporting Holiday team arrangements Weekly billable-updating per new calcs Handover monitoring Rose Onboarding prep for new hires</t>
  </si>
  <si>
    <t xml:space="preserve">Handover file update schedule </t>
  </si>
  <si>
    <t>Updating handover list, teams messages with Maan</t>
  </si>
  <si>
    <t>Introduction to Sherly to clients Updating handover list</t>
  </si>
  <si>
    <t>Update handover and introduce Sherly to CRI/VGS</t>
  </si>
  <si>
    <t xml:space="preserve">Handover with Sherly- TSM The Service Manager ChronicleHQ Harmony Build Pty Ltd  Request access from BIT </t>
  </si>
  <si>
    <t>Payroll review, handover to Sherly</t>
  </si>
  <si>
    <t>Payroll inbox, call with Guia to show how to give managers access in payroll</t>
  </si>
  <si>
    <t>Call with Sherly - leave request and leave balances report</t>
  </si>
  <si>
    <t>Format financial report</t>
  </si>
  <si>
    <t>Inbox mgmt AP/AR Bank rec Accounts review</t>
  </si>
  <si>
    <t>Setup a new payee, do EFT payment via OSKO. Emails to Katherine/Shalisa</t>
  </si>
  <si>
    <t>Attend to email from Xavi re sale of a supplier to 3rd party. Email Sam to get further assistance</t>
  </si>
  <si>
    <t xml:space="preserve">Attend to email from Ish re AMEX AccessLine. Investigate further re features and respond accordingly </t>
  </si>
  <si>
    <t>Run FAR from Xero for FY 2023. Compare with tax dep as per ITR. Email Sam to confirm</t>
  </si>
  <si>
    <t>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t>
  </si>
  <si>
    <t>Client onboarding assistance</t>
  </si>
  <si>
    <t xml:space="preserve"> Cashflow actual and forecast</t>
  </si>
  <si>
    <t>Catch up meeting with James</t>
  </si>
  <si>
    <t>Email to client about the staffing</t>
  </si>
  <si>
    <t>Jamie query - MBA</t>
  </si>
  <si>
    <t>lodge super BAM and BELCR</t>
  </si>
  <si>
    <t>Queries/review on Bk rec, AP, BELCR</t>
  </si>
  <si>
    <t>Finalise and send invoices Capspace and Bellinger</t>
  </si>
  <si>
    <t>liaise with Sam</t>
  </si>
  <si>
    <t>query on super refund</t>
  </si>
  <si>
    <t>query Tracey re phone allowance, email to SG fleet, employees contracts</t>
  </si>
  <si>
    <t>Catch up with Rachele- OMS, Payroll, time allocated to Bellinger</t>
  </si>
  <si>
    <t xml:space="preserve">Meeting Imogen Rae re Jeremy's contract + email to HR team </t>
  </si>
  <si>
    <t>catch up emails and teams received while on leave, Asana</t>
  </si>
  <si>
    <t xml:space="preserve">weekly catch up </t>
  </si>
  <si>
    <t>Confirm all invoices from AgriChain are in Xero</t>
  </si>
  <si>
    <t>Publish bills in Hubdoc</t>
  </si>
  <si>
    <t>Meeting with Ms. Ann</t>
  </si>
  <si>
    <t>Meeting with Ms. Ann and Mary Ann</t>
  </si>
  <si>
    <t>Call with Finance Director Call re. IT performance/salary review</t>
  </si>
  <si>
    <t>Recruitment - Solution Sales Manager Correspondence re. salary reviews</t>
  </si>
  <si>
    <t>Correspondence re. drug and alcohol testing Correspondence re. salary reviews Revised position description Correspondence re. performance reviews</t>
  </si>
  <si>
    <t>Finance meeting Calls with GM Letter re. secondment Correspondence re. drug and alcohol testing Discussion points for manager re. people issue Pulse check survey - additional staff member</t>
  </si>
  <si>
    <t>call with Aileen</t>
  </si>
  <si>
    <t>check emails and set up new investors in Xero</t>
  </si>
  <si>
    <t>check and update super details</t>
  </si>
  <si>
    <t>chats/emails re missing super, check EH, etc</t>
  </si>
  <si>
    <t>chats, call with Nicole, call with Mary and Aileen</t>
  </si>
  <si>
    <t>chats, emails, Asana, Sprout, etc</t>
  </si>
  <si>
    <t>check timesheets, Asana, etc</t>
  </si>
  <si>
    <t>research how to manually pay super via BEAM, check emails and concerns, etc</t>
  </si>
  <si>
    <t>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t>
  </si>
  <si>
    <t>Run four Alliance automations + AP automation;  Added 4 supplier to Alliance Automation Tax Invoice</t>
  </si>
  <si>
    <t>emails/ inbox/ teams</t>
  </si>
  <si>
    <t>nomination of agent</t>
  </si>
  <si>
    <t>1:1 w/ Ge</t>
  </si>
  <si>
    <t>inbox/ meetings calendar</t>
  </si>
  <si>
    <t>check awards and review employee pays and OT rates</t>
  </si>
  <si>
    <t>- Nick's Inbox management - Travel Agents for company outing - Newsletter - ATO - Poster for Aileen Birthday</t>
  </si>
  <si>
    <t>- Rollover to April 2024 Timesheet</t>
  </si>
  <si>
    <t>entering of bank transactions</t>
  </si>
  <si>
    <t>continuation of ap invoices</t>
  </si>
  <si>
    <t xml:space="preserve">bank recon process ap invoices </t>
  </si>
  <si>
    <t xml:space="preserve">ap invoices </t>
  </si>
  <si>
    <t>bank recon create ap report</t>
  </si>
  <si>
    <t xml:space="preserve">monthly 1:1 </t>
  </si>
  <si>
    <t>Checking of bank recs</t>
  </si>
  <si>
    <t>Checking of accounts and emails</t>
  </si>
  <si>
    <t>Checking emails, responding to Neeti for the handover</t>
  </si>
  <si>
    <t>Reconciling payments</t>
  </si>
  <si>
    <t>Checking of invoice payments &amp; recording (Mosman transactions)</t>
  </si>
  <si>
    <t xml:space="preserve">Checking of payments for debtors clean-up </t>
  </si>
  <si>
    <t>Updating asana tasks</t>
  </si>
  <si>
    <t>Training in wyzed</t>
  </si>
  <si>
    <t>Checking inbox and replying to emails</t>
  </si>
  <si>
    <t>Updating accesspay file</t>
  </si>
  <si>
    <t>Responding to emails</t>
  </si>
  <si>
    <t>ap queries, bank recon, dext prepare items</t>
  </si>
  <si>
    <t>Upload csv, bank recon items, dext prepare</t>
  </si>
  <si>
    <t>Client update (RJ, Linds, Ma Ann, Jim)</t>
  </si>
  <si>
    <t>Request asset and depreciation from previous accountant via email</t>
  </si>
  <si>
    <t>save bank statements</t>
  </si>
  <si>
    <t>Load payments to bank Follow up Charlie at Nine re invoices / amount owing. Email to Lucia re ASIC and form 362</t>
  </si>
  <si>
    <t>Inbox - bill entry</t>
  </si>
  <si>
    <t>Upload documents to Xero from Digify, recoding of GST where applicable. Email to Michael with outstanding queries Balance sheet reconciliaiton</t>
  </si>
  <si>
    <t xml:space="preserve">Review superstream exemptions </t>
  </si>
  <si>
    <t>Call to Anna P, Matt A re tax queries follow up Call to Deb P re next steps Asana task review Emails</t>
  </si>
  <si>
    <t>Chat with Nick re BookeAI and AI generally</t>
  </si>
  <si>
    <t>Bill separately - reconcilaitoin of fixed assets / depreciation schedules for tax return preparation</t>
  </si>
  <si>
    <t>Emails - set up for Rachele</t>
  </si>
  <si>
    <t>Call lease companies re terminations and info outstanding</t>
  </si>
  <si>
    <t xml:space="preserve">Interview for Finance Manager and write up notes. Review other resumes saved by Z today Send emails to other candidates on requesting selection criteria, salary expectations and experience. </t>
  </si>
  <si>
    <t>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t>
  </si>
  <si>
    <t>catch up with Nick</t>
  </si>
  <si>
    <t>Extended due to late confirmation</t>
  </si>
  <si>
    <t>Quick meeting about debtor's report</t>
  </si>
  <si>
    <t>Clearing Account Klarna International</t>
  </si>
  <si>
    <t>Clearing Account BM Domestic Klarna Afterpay Shopify Approve postscript transactions in a2x Postscript Bills raise to xero</t>
  </si>
  <si>
    <t xml:space="preserve">Email Management  Bills raise to xero Bank Reconciliation BM Prepared Queries for Corporate Cards Check and approved sales in A2x Bank Reconciliation LOC Inc </t>
  </si>
  <si>
    <t>Client Updates</t>
  </si>
  <si>
    <t>Client hand over (Emma)</t>
  </si>
  <si>
    <t>Monthly catch up with TL Ralp</t>
  </si>
  <si>
    <t xml:space="preserve">Support and Configurations </t>
  </si>
  <si>
    <t>Email Management Bills Processing Bank/Credit Card Recon</t>
  </si>
  <si>
    <t xml:space="preserve">learning how to process Tasman Monthend including the journal entries and extracting files </t>
  </si>
  <si>
    <t>meeting with Nicole re: Tasman Month End process</t>
  </si>
  <si>
    <t>Meeting with Ann and Aileen re: Tasman Agri</t>
  </si>
  <si>
    <t xml:space="preserve">checking  Airwallex fund Follow up email to Bethany re; her Super details </t>
  </si>
  <si>
    <t>BL</t>
  </si>
  <si>
    <t>setting up new employee</t>
  </si>
  <si>
    <t>Call with Ann on Asana tasks Follow up on Asana tasks Meeting with Mary Ann on month end</t>
  </si>
  <si>
    <t>, files</t>
  </si>
  <si>
    <t>checked issues with payroll and called Prashant</t>
  </si>
  <si>
    <t>Answering payroll concerns</t>
  </si>
  <si>
    <t>Rolling forecast Salary budget creation</t>
  </si>
  <si>
    <t>CF update Call with Nick re FCT Wyzed-Cashflow</t>
  </si>
  <si>
    <t>XE payments CF updating per Nick FCT start Admin TL - leave review and approval 1:1 Maan</t>
  </si>
  <si>
    <t>Unapproved/unallocated timesheets report with Rach Payroll inbox</t>
  </si>
  <si>
    <t>Setup new employee 1:1 with James</t>
  </si>
  <si>
    <t>Payroll processing Shadow Rach</t>
  </si>
  <si>
    <t>Prepare PAYG instalment notices (x8) and send out fors signature Email Stephen summary of PAYG instalments, interst and penalties</t>
  </si>
  <si>
    <t>Inbox mgmt AP run</t>
  </si>
  <si>
    <t>Inbox mgmt Import bank transactions to Xero Bank rec AP run</t>
  </si>
  <si>
    <t>Upload AccessPay payment and weekly supplier payment. Email Katherine/Shalisa.</t>
  </si>
  <si>
    <t>Attend to email from Amy, phone call with David re same.</t>
  </si>
  <si>
    <t xml:space="preserve">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t>
  </si>
  <si>
    <t>Top 10 Customer report</t>
  </si>
  <si>
    <t>Payroll upload and Assist Neeti for emails</t>
  </si>
  <si>
    <t>Payroll bank upload and assisting neeti on emails</t>
  </si>
  <si>
    <t>Cashflow, AP Invoicing</t>
  </si>
  <si>
    <t>Meeting with James</t>
  </si>
  <si>
    <t>AR Catch up</t>
  </si>
  <si>
    <t>Handover training with Rose</t>
  </si>
  <si>
    <t>MBA invoice</t>
  </si>
  <si>
    <t>BELCR monthly distributions &amp; fixed rates calc</t>
  </si>
  <si>
    <t>Bellinger Credit: Income tax estimate , start cashflow, review P&amp;L, change format</t>
  </si>
  <si>
    <t>review AP list, upload bk transactions, discuss distribution payments, bank transfers for currencies, AP emails, check queries with Sarah</t>
  </si>
  <si>
    <t xml:space="preserve">emails </t>
  </si>
  <si>
    <t>catch up with Rachele and Sarah, tasks for the week / payroll</t>
  </si>
  <si>
    <t xml:space="preserve">Review of February accounts with directors </t>
  </si>
  <si>
    <t>Catch up Stephen during day in office</t>
  </si>
  <si>
    <t>Recruitment - Financial Accountant Remuneration reviews/correspondence</t>
  </si>
  <si>
    <t>Correspondence re. salary review.</t>
  </si>
  <si>
    <t>Draft script for disciplinary meeting Discussions with manager re. D &amp; A issue Disciplinary meeting Discussions with D &amp; A provider Correspondence with employee</t>
  </si>
  <si>
    <t>Employment Agreement</t>
  </si>
  <si>
    <t>call with Sylvie</t>
  </si>
  <si>
    <t>break, emails, follow ups, capacity, etc</t>
  </si>
  <si>
    <t>chats, emails, Asana, capacity, CDP, set OOO and invite for VL, etc</t>
  </si>
  <si>
    <t>fortnightly seniors catchup</t>
  </si>
  <si>
    <t>this 2 hours client liaison and not billable</t>
  </si>
  <si>
    <t>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t>
  </si>
  <si>
    <t>bank recon, loading bills</t>
  </si>
  <si>
    <t>Emails, loading bills, creating invoices, bank recon, weekly report</t>
  </si>
  <si>
    <t>Watching hand over recordings, checking each employee details on PHG and 4 Oporto entities to ensure everything is correct</t>
  </si>
  <si>
    <t>inbox/ holiday reminders</t>
  </si>
  <si>
    <t>dadworld</t>
  </si>
  <si>
    <t>meeting w/ Shalini re: sale of Dadtronica</t>
  </si>
  <si>
    <t>adj entry dadtronica sale</t>
  </si>
  <si>
    <t>emails/ teams/ Sprout/ holiday sched</t>
  </si>
  <si>
    <t>seniors</t>
  </si>
  <si>
    <t>last pass extension</t>
  </si>
  <si>
    <t>last pass/ inbox</t>
  </si>
  <si>
    <t>queries/ review</t>
  </si>
  <si>
    <t xml:space="preserve">- Nick's Inbox management - ASIC - ATO - Retrieval of Equipment Report - Laptop Inventory Report </t>
  </si>
  <si>
    <t>bank transactions.</t>
  </si>
  <si>
    <t>bank recon checking of supplier bank details emails</t>
  </si>
  <si>
    <t>ap payment emails bank recon</t>
  </si>
  <si>
    <t>cash on hand training</t>
  </si>
  <si>
    <t>appoved ap invoices</t>
  </si>
  <si>
    <t>Answering questions (relating to hand over)</t>
  </si>
  <si>
    <t>Clean up of debtors payment</t>
  </si>
  <si>
    <t>Quick discussion with Shalini re Sale of a product line</t>
  </si>
  <si>
    <t>FN Catch-up with Ann and Xavi</t>
  </si>
  <si>
    <t>Publishing payslips, checking payroll reports</t>
  </si>
  <si>
    <t xml:space="preserve">Creating asana tasks for the adhoc pay run, </t>
  </si>
  <si>
    <t>Publishing payslips, submitting to ATO, and clearing inbox</t>
  </si>
  <si>
    <t>Payroll Tax for March 2024</t>
  </si>
  <si>
    <t>ap items, invoices from procore, hubdoc &amp; EH Items</t>
  </si>
  <si>
    <t>Weekly team huddle</t>
  </si>
  <si>
    <t>Teams message with Nicole re BS rec, log Dexter process</t>
  </si>
  <si>
    <t>Review unpaid bills and chase clients, meeting with Sylvie and Carly</t>
  </si>
  <si>
    <t>Queries to Ash / Eric re super / TFNs etc.</t>
  </si>
  <si>
    <t xml:space="preserve">Finalise and load payruns, review salary increase sheets and send email to Ali with queries. </t>
  </si>
  <si>
    <t>Employee setup including tax details and super funds</t>
  </si>
  <si>
    <t>Payroll review and email to client</t>
  </si>
  <si>
    <t>Interview x 2 candidates for Finance Manager role and write up notes - email non suitable candidates.  Respond to SD email on Space Industry enquiry re Superannuation for contractor</t>
  </si>
  <si>
    <t>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t>
  </si>
  <si>
    <t>Emergency Leave</t>
  </si>
  <si>
    <t>Amended the bank details of Dexler and process the payment.  Process the payment again for Meta Import Paypal currencies and reconciled Clearing Account International Klarna</t>
  </si>
  <si>
    <t>Payment Process to CBA</t>
  </si>
  <si>
    <t xml:space="preserve">Email Management Bills raise to Xero Bank reconciliation BM Make a plan date Prepared payable invoice summary report Bank Reconciliation LOC Inc   </t>
  </si>
  <si>
    <t xml:space="preserve">Team Huddle </t>
  </si>
  <si>
    <t>Shadow to Ms. Linds the payroll process</t>
  </si>
  <si>
    <t>Support &amp; Security</t>
  </si>
  <si>
    <t>Bank Recon</t>
  </si>
  <si>
    <t>EOFY - TGS (On Going)</t>
  </si>
  <si>
    <t>Email Management Bank Recon Bills Processing Invoice Processing Preparation of Cash Flow</t>
  </si>
  <si>
    <t xml:space="preserve">meeting with Jordan re: Skylife concerns  </t>
  </si>
  <si>
    <t>Fixing Food Rascal invoice payment application</t>
  </si>
  <si>
    <t>Fathom report</t>
  </si>
  <si>
    <t>Learning and using Tango to prepare procedures</t>
  </si>
  <si>
    <t>Meeting with Scott and Jenny</t>
  </si>
  <si>
    <t>Bill &amp; email</t>
  </si>
  <si>
    <t>email,AR</t>
  </si>
  <si>
    <t>files &amp; drafbills</t>
  </si>
  <si>
    <t>Dec - Jan2024 GST varaiance</t>
  </si>
  <si>
    <t xml:space="preserve">Feb BS Recs </t>
  </si>
  <si>
    <t>email, BS recs</t>
  </si>
  <si>
    <t>catch up with Adriana</t>
  </si>
  <si>
    <t>With finance meeting 1 hr</t>
  </si>
  <si>
    <t>payroll review</t>
  </si>
  <si>
    <t>BELCR</t>
  </si>
  <si>
    <t>Wages budget creation HR sprout payroll update as per Sprout Leave and holiday management - team PTX QLD registration AdHoc - BDO security deposit AdHoc - Aranas refund Team huddle</t>
  </si>
  <si>
    <t>Refresh IAS reporting with Ge Refresh payroll tax processing Reconcile cash clearing Shadow Ge with the recon</t>
  </si>
  <si>
    <t>Team huddle Introduce Sherly to clients</t>
  </si>
  <si>
    <t>Handover of tasks to Rac</t>
  </si>
  <si>
    <t>Review sale contracdt and clause re earnout agreement Video call with Shaliani to run through taxation of earn out agreements and deferred revenue</t>
  </si>
  <si>
    <t>Confirm for Stephen that div 293 notices are pid for 20 and 21 for SK and RK</t>
  </si>
  <si>
    <t>Check bank/cc transactions</t>
  </si>
  <si>
    <t>Inbox mgmt Upload payments for AP run and payroll</t>
  </si>
  <si>
    <t>Attend to emails from Zoe, update Fathom reports, provide commentary. Investigate increase in cost for freelancer and Tech Infrastructure. Send updated Fathom report to Zoe</t>
  </si>
  <si>
    <t>Attend to query re sale of inventory and rights, meeting with Sam to discuss same. Meting with Xavi/Irish to discuss same and the next steps</t>
  </si>
  <si>
    <t>Liaise with Sam re FAR, send both tax and book FAR to Gary. Answer further questions for insurance renewal, send consolidated AR to John. Update turnover estimate for FY 2023, 2024 and 202 based on head count across 3 states and send to John</t>
  </si>
  <si>
    <t xml:space="preserve">Phone correspondence with David re horse sales and Xero setup. Update closing stock worksheet and send to Nexia. </t>
  </si>
  <si>
    <t>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t>
  </si>
  <si>
    <t>Assisting new hire for the access</t>
  </si>
  <si>
    <t>Cashflow, Leave request and balance report, Fixing template</t>
  </si>
  <si>
    <t>AP Invoice, investigate invoice with issue</t>
  </si>
  <si>
    <t>Bellinger credit</t>
  </si>
  <si>
    <t>Review Units register Rec with Ann</t>
  </si>
  <si>
    <t>weekly payments, review, emails, create BELCR, currency transfers, new payees</t>
  </si>
  <si>
    <t>Chase HR team, email to Imogen re Jeremy's contract</t>
  </si>
  <si>
    <t>Interview candidate CM with Nick</t>
  </si>
  <si>
    <t>Review payroll BELCR and BAM</t>
  </si>
  <si>
    <t>Review / discuss payroll BAM and BELCR</t>
  </si>
  <si>
    <t>Remuneration reviews Recruitment</t>
  </si>
  <si>
    <t>Correspondence re. flexible working arrangements</t>
  </si>
  <si>
    <t>Correspondence and calls re. D &amp; A testing</t>
  </si>
  <si>
    <t xml:space="preserve">Call with GM Correspondence re. Storeperson role </t>
  </si>
  <si>
    <t>interest payment</t>
  </si>
  <si>
    <t>emails, chats, Asana, sprout, etc</t>
  </si>
  <si>
    <t>backup plan, chats re concerns, etc</t>
  </si>
  <si>
    <t>review all Asana tasks dated until Monday, including all directs', follow up with directs, check and remind about timesheets, etc</t>
  </si>
  <si>
    <t>Public Holiday - Leave</t>
  </si>
  <si>
    <t>PHILIPPINE HOLIDAY: Maundy Thursday</t>
  </si>
  <si>
    <t>Bank recon to check payables has been approved and paid</t>
  </si>
  <si>
    <t>loading bills, bank recon</t>
  </si>
  <si>
    <t>checking emails and calculations</t>
  </si>
  <si>
    <t>Soumya Viswanathan's final pay</t>
  </si>
  <si>
    <t>Phil holiday - Maundy Thursday</t>
  </si>
  <si>
    <t>ACNC info Check on Mar24 progress/results Follow up on outstanding actions from last week check if required bank transfers took place + re-request</t>
  </si>
  <si>
    <t xml:space="preserve">Email Eli re: annual budgets Check Mar24 results to date respond to emails + resend info </t>
  </si>
  <si>
    <t>emails/ inbox</t>
  </si>
  <si>
    <t>catch-up with James</t>
  </si>
  <si>
    <t>inbox/ teams/ Sprout</t>
  </si>
  <si>
    <t>queries/ holiday sched/ teams</t>
  </si>
  <si>
    <t>Jules Cameron pay and set-up review</t>
  </si>
  <si>
    <t>approve ap invoices. process ap invoice from inbox</t>
  </si>
  <si>
    <t>bank recon email</t>
  </si>
  <si>
    <t>ap payment</t>
  </si>
  <si>
    <t>Checking tasks and updating handover form</t>
  </si>
  <si>
    <t>Updating handover form and checking for notes</t>
  </si>
  <si>
    <t>Recording of invoices, bank recs, checking of accounts</t>
  </si>
  <si>
    <t>Handover with Neeti</t>
  </si>
  <si>
    <t>Checking emails, updating asana tasks</t>
  </si>
  <si>
    <t>Quick chat with Ef about a query</t>
  </si>
  <si>
    <t>Payroll journal</t>
  </si>
  <si>
    <t>Timesheets and leaves for cleanup</t>
  </si>
  <si>
    <t>PAYG Rec, updating payroll file</t>
  </si>
  <si>
    <t>Checking and updating manual journals</t>
  </si>
  <si>
    <t>PH Holiday</t>
  </si>
  <si>
    <t>Maundy Thursday</t>
  </si>
  <si>
    <t>Miller, Jolynn t/a Velvet Rope Events</t>
  </si>
  <si>
    <t>Review and post journal to realise bucket funds as revenue, email to Sarah.</t>
  </si>
  <si>
    <t>Report to Bill of loan transactions</t>
  </si>
  <si>
    <t>Termination letter HMcCann</t>
  </si>
  <si>
    <t>Travel transcations update for tax</t>
  </si>
  <si>
    <t>Bookkeeping - send AP list  Payroll processing and creation of ABA file Super set up AL liability Request PO for Fortescue travel Email to Zoe</t>
  </si>
  <si>
    <t>Chats to Ali re RSVP / Prime contracts</t>
  </si>
  <si>
    <t>Richbox survey, tax queries RWB from Emily Wyzed - person management Ef query on Onefocus</t>
  </si>
  <si>
    <t>Nephew brand updates to process docuemtns and email to client.</t>
  </si>
  <si>
    <t>Calls / emails with Zoe / James / Blair re tax and R&amp;D</t>
  </si>
  <si>
    <t xml:space="preserve">Emails - ASIC response, email to Alex Ma re final payslip / payment </t>
  </si>
  <si>
    <t>Asana and email prior to logging off</t>
  </si>
  <si>
    <t>REview Asana</t>
  </si>
  <si>
    <t>Wyzed training, downloads folder, Asana takss, emails</t>
  </si>
  <si>
    <t>Journal for sale of Audi - FY23 financial year.  Call with Bill re documents Email re Airwallex account (Upstage)</t>
  </si>
  <si>
    <t>Call with Ali  re salary reviews Check email Update live file for Angelique's move to PBC</t>
  </si>
  <si>
    <t>Finance Manager recruitment - send unsuccessful letters to applicants, contact more applicants via email, obtain referees for potential candidate and liaise via phone with referee, and send emails.</t>
  </si>
  <si>
    <t>Download reports from EC and send to Executive on AT Gap Analysis - send report in a.m. and one in p.m.</t>
  </si>
  <si>
    <t>Assisted with Daniel's queries and BAS emails</t>
  </si>
  <si>
    <t>Reviewing General Exemption List Sent Message to Nicole for queries</t>
  </si>
  <si>
    <t xml:space="preserve">Checked and Fixed General Exception List </t>
  </si>
  <si>
    <t>Email Management Bills Processing Preparation of Batch Payment</t>
  </si>
  <si>
    <t>Email Management Asana Task Clean up</t>
  </si>
  <si>
    <t>CC handover meeting with Irish</t>
  </si>
  <si>
    <t>YTD Balance update request YTD P&amp;L request</t>
  </si>
  <si>
    <t>Termination review and assigned to Ef Termination review and email</t>
  </si>
  <si>
    <t>Emails Problem with excel file</t>
  </si>
  <si>
    <t>Asana tasks Learning and using Tango to prepare procedures month end prep</t>
  </si>
  <si>
    <t>Called Jeric</t>
  </si>
  <si>
    <t>Bank rcs</t>
  </si>
  <si>
    <t>Catchup with Sylvie and Sarah, and did some bank recs with Sarah</t>
  </si>
  <si>
    <t xml:space="preserve">Adhocs payroll journal </t>
  </si>
  <si>
    <t>payroll journals</t>
  </si>
  <si>
    <t>Call with Ge re queries</t>
  </si>
  <si>
    <t>Handover to Sherly</t>
  </si>
  <si>
    <t>Handover with Sherly - the rest of the review clients Call with Gerardo re bank recon variance on payroll report</t>
  </si>
  <si>
    <t>Payroll overview for sherly</t>
  </si>
  <si>
    <t>Shadow Rach with tasks</t>
  </si>
  <si>
    <t>Submit lodgement deferral application Prepare dividend and franking credit figures for Sylvie to prepare dividend statements</t>
  </si>
  <si>
    <t>Inbox mgmt Bank rec Call Amex and Invisalign</t>
  </si>
  <si>
    <t>Inobx mgmt Import CC transactions Bank rec Attend to client queries</t>
  </si>
  <si>
    <t>Catch up with Sylvie and Rachele</t>
  </si>
  <si>
    <t>Export reports and ABA file Gross wage and AL balance reconciliaiton Send out payslips STP reconciliation and filing.</t>
  </si>
  <si>
    <t>SRAC weekly meeting</t>
  </si>
  <si>
    <t>Upload payments and email Zoe. Update Fathom again as more invoices received. Send report to Zoe</t>
  </si>
  <si>
    <t>Phone call with Camille from BOQ re OD facility application. Send queries to Ish and Sarah. Request for FS and tax return for Ish &amp; Michael Pty Ltd from Nexia. Send some info to Camille</t>
  </si>
  <si>
    <t>Weekly and EOM supplier payment run. Update bank rec for trading and VISA. Send queries to Alan/Catherine. IT issues with John. Enter supplier invoices, process receipts etc</t>
  </si>
  <si>
    <t>Email James re overdue invoices, RJ question, onboarding task, catch-up with Carly re new client etc</t>
  </si>
  <si>
    <t>payroll review and bank upload</t>
  </si>
  <si>
    <t>Payroll review and Bank upload</t>
  </si>
  <si>
    <t>Handover training payroll</t>
  </si>
  <si>
    <t>Cashflow , AP Invoicing, Investigate Invoices with Issue, Prepares BS Recon for March</t>
  </si>
  <si>
    <t xml:space="preserve">Handover Training Rose </t>
  </si>
  <si>
    <t>Review interest payment batches, upload payments, liaise with Tim and Ann</t>
  </si>
  <si>
    <t>Bellinger Credit cash flow</t>
  </si>
  <si>
    <t>F/up email novated lease</t>
  </si>
  <si>
    <t>f/up cancellation OMS subscription</t>
  </si>
  <si>
    <t>details and links re employee/contractors- email to Imogen Rea</t>
  </si>
  <si>
    <t>Emails, liaise with team</t>
  </si>
  <si>
    <t>Catch up Sarah and Rachele</t>
  </si>
  <si>
    <t>Timesheet, Asana, emails and Teams</t>
  </si>
  <si>
    <t>Call Nick re Starleaton</t>
  </si>
  <si>
    <t>Prepare dividend statements - liaise with Sam - check ASIC/ share issue to Greg / change of name</t>
  </si>
  <si>
    <t>AU &amp; PH Holiday - Good Friday</t>
  </si>
  <si>
    <t>Correspondence with Group HR and PT re. D &amp; A testing</t>
  </si>
  <si>
    <t>PHILIPPINE HOLIDAY:  Good Friday</t>
  </si>
  <si>
    <t>Au and Phil Holiday - Good Friday</t>
  </si>
  <si>
    <t>Good Friday</t>
  </si>
  <si>
    <t>Staff :</t>
  </si>
  <si>
    <t>Christine Chiu</t>
  </si>
  <si>
    <t xml:space="preserve">Pinnacle Cj's Warrawong Pty Ltd </t>
  </si>
  <si>
    <t>The Trustee for Spectrum REIT 23 Unit Trust</t>
  </si>
  <si>
    <t>The Trustee for Spectrum Reit 30 Trust</t>
  </si>
  <si>
    <t>Spectrum Solar Energy Pty Ltd</t>
  </si>
  <si>
    <t>The Trustee for Spectrum reit 38 Trust - Wallsend</t>
  </si>
  <si>
    <t>Alliance SI</t>
  </si>
  <si>
    <t>Dexterous Group Pty Ltd</t>
  </si>
  <si>
    <t>Affluens Group</t>
  </si>
  <si>
    <t>Prime Build</t>
  </si>
  <si>
    <t>Supply Crew</t>
  </si>
  <si>
    <t>Waterstone Pty Ltd</t>
  </si>
  <si>
    <t>Affluens Financial Group Pty Ltd</t>
  </si>
  <si>
    <t>Sum of [Time] Time (Totalled)</t>
  </si>
  <si>
    <t>Column Labels</t>
  </si>
  <si>
    <t>Row Labels</t>
  </si>
  <si>
    <t>(blank)</t>
  </si>
  <si>
    <t>Grand Total</t>
  </si>
  <si>
    <t>Len Mark Onanad,Shalini Sehgal</t>
  </si>
  <si>
    <t>Franz Xavier Cruz,Gerardo Macawile,Princess Halili</t>
  </si>
  <si>
    <t>Charm Dequito,Franz Xavier Cruz,Geneline Barongan,Kate Gow,Len Mark Onanad,Lindsay Casero,Ma Angela Ibanez,Maria Carlos,Rejie Montemor,Rosemarie Gaile Caliwag,Shalini Sehgal,Sherly Oro</t>
  </si>
  <si>
    <t>Franz Xavier Cruz,Neeti Gambhir</t>
  </si>
  <si>
    <t>Daniel Estoesta,Len Mark Onanad,Logika Sri-Rangarajan,Rachele Anne Nicdao,Samuel Hoare,Sarah Angelica Medrano,Shalini Sehgal,Sylvie Dardare</t>
  </si>
  <si>
    <t>Len Mark Onanad,Samuel Hoare,Sarah Angelica Medrano,Shalini Sehgal,Sylvie Dardare</t>
  </si>
  <si>
    <t>Marie Ann Ticzon,Rosemarie Gaile Caliwag</t>
  </si>
  <si>
    <t>Kate Gow,Mary Ann Carpio</t>
  </si>
  <si>
    <t>Aileen Fajardo,Len Mark Onanad,Shalini Sehgal</t>
  </si>
  <si>
    <t>Ann Morei Narag,Sylvie Dardare</t>
  </si>
  <si>
    <t>Len Mark Onanad,Neeti Gambhir,Rosemarie Gaile Caliwag,Sherly Oro</t>
  </si>
  <si>
    <t>Jeric Rivera,Nicole Guttmann,Rosemarie Gaile Caliwag</t>
  </si>
  <si>
    <t>Geneline Barongan,Jennica Felipe,Len Mark Onanad,Shalini Sehgal</t>
  </si>
  <si>
    <t>Len Mark Onanad,Neeti Gambhir,Samuel Hoare,Shalini Sehgal</t>
  </si>
  <si>
    <t>Aileen Fajardo,Rosemarie Gaile Caliwag</t>
  </si>
  <si>
    <t>Gerardo Macawile,Rosemarie Gaile Caliwag</t>
  </si>
  <si>
    <t>Franz Xavier Cruz,Irish Guia Medel,Len Mark Onanad,Neeti Gambhir,Shalini Sehgal</t>
  </si>
  <si>
    <t>Len Mark Onanad,Neeti Gambhir,Shalini Sehgal</t>
  </si>
  <si>
    <t>Ann Morei Narag,Gerardo Macawile,Len Mark Onanad,Ma Angela Ibanez,Melissa Bagsic</t>
  </si>
  <si>
    <t>Aileen Fajardo,Alison Sheer,Ann Morei Narag,Bernadette Feliciano,Carly Chant,Charm Dequito,Daniel Estoesta,Dherick Jay Paalam,Edward Jon Arquiza,Efleda Reyes,Franz Xavier Cruz,Geneline Barongan,Gerardo Macawile,Irish Guia Medel,Jennica Felipe,Jeric Rivera,Jessica Sinclair,Jimwelle Villon,Jonathan Yanga,Jordan Martinez,Jose Bien Contreras,Kate Gow,Len Mark Onanad,Libby Bruderlin,Lindsay Casero,Ma Angela Ibanez,Maria Carlos,Marie Ann Ticzon,Mark Barte,Mary Ann Carpio,Melissa Bagsic,Miguel Quizon,Neeti Gambhir,Nicole Guttmann,Princess Halili,Rachele Anne Nicdao,Ralph Jim Renia,Rejie Montemor,Rosemarie Gaile Caliwag,Samuel Hoare,Sarah Angelica Medrano,Shalini Sehgal,Sherly Oro,Sylvie Dardare,Zerradiene Egido</t>
  </si>
  <si>
    <t>Ann Morei Narag,Kate Gow,Mary Ann Carpio</t>
  </si>
  <si>
    <t>Franz Xavier Cruz,Irish Guia Medel,Len Mark Onanad,Samuel Hoare,Shalini Sehgal</t>
  </si>
  <si>
    <t>Ann Morei Narag,Gerardo Macawile,Len Mark Onanad,Lindsay Casero,Marie Ann Ticzon,Rosemarie Gaile Caliwag,Shalini Sehgal</t>
  </si>
  <si>
    <t>Jennica Felipe,Len Mark Onanad,Shalini Sehgal</t>
  </si>
  <si>
    <t>Len Mark Onanad,Rosemarie Gaile Caliwag,Shalini Sehgal</t>
  </si>
  <si>
    <t>Franz Xavier Cruz,Jimwelle Villon,Len Mark Onanad,Shalini Sehgal</t>
  </si>
  <si>
    <t>Dexterous Group,Samuel Hoare</t>
  </si>
  <si>
    <t>Franz Xavier Cruz,Irish Guia Medel,Kate Gow,Len Mark Onanad,Shalini Sehgal</t>
  </si>
  <si>
    <t>Jimwelle Villon,Len Mark Onanad,Lindsay Casero,Rosemarie Gaile Caliwag,Shalini Sehgal,Sherly Oro</t>
  </si>
  <si>
    <t>Jennica Felipe,Jeric Rivera,Jimwelle Villon,Rachele Anne Nicdao</t>
  </si>
  <si>
    <t>Jimwelle Villon,Len Mark Onanad,Sarah Angelica Medrano,Shalini Sehgal</t>
  </si>
  <si>
    <t>Dexterous Group,Jennica Felipe,Sylvie Dardare</t>
  </si>
  <si>
    <t>Aileen Fajardo,Franz Xavier Cruz</t>
  </si>
  <si>
    <t>Kate Gow,Len Mark Onanad</t>
  </si>
  <si>
    <t>Len Mark Onanad,Princess Halili,Shalini Sehgal</t>
  </si>
  <si>
    <t>Carly Chant,Len Mark Onanad,Sarah Angelica Medrano,Shalini Sehgal</t>
  </si>
  <si>
    <t>Aileen Fajardo,Libby Bruderlin,Neeti Gambhir</t>
  </si>
  <si>
    <t>Aileen Fajardo,Franz Xavier Cruz,Len Mark Onanad,Shalini Sehgal</t>
  </si>
  <si>
    <t>Efleda Reyes,Kate Gow,Nicole Guttmann</t>
  </si>
  <si>
    <t>Efleda Reyes,Jennica Felipe,Kate Gow,Len Mark Onanad,Shalini Sehgal</t>
  </si>
  <si>
    <t>Efleda Reyes,Jennica Felipe,Kate Gow,Len Mark Onanad,Sarah Angelica Medrano,Shalini Sehgal</t>
  </si>
  <si>
    <t>Dexterous Group,Efleda Reyes,Kate Gow,Sarah Angelica Medrano</t>
  </si>
  <si>
    <t>Efleda Reyes,Kate Gow,Len Mark Onanad,Sarah Angelica Medrano,Shalini Sehgal</t>
  </si>
  <si>
    <t>Alison Sheer,Irish Guia Medel,Jessica Sinclair,Kate Gow,Libby Bruderlin,Rachele Anne Nicdao,Rosemarie Gaile Caliwag</t>
  </si>
  <si>
    <t>Aileen Fajardo,Kate Gow</t>
  </si>
  <si>
    <t>Jennica Felipe,Jimwelle Villon,Len Mark Onanad,Sarah Angelica Medrano,Shalini Sehgal</t>
  </si>
  <si>
    <t>Franz Xavier Cruz,Kate Gow,Len Mark Onanad,Mary Ann Carpio,Shalini Sehgal</t>
  </si>
  <si>
    <t>Len Mark Onanad,Sarah Angelica Medrano</t>
  </si>
  <si>
    <t>Efleda Reyes,Franz Xavier Cruz,Kate Gow,Len Mark Onanad,Shalini Sehgal</t>
  </si>
  <si>
    <t>Jimwelle Villon,Len Mark Onanad,Shalini Sehgal,Sylvie Dardare</t>
  </si>
  <si>
    <t>Aileen Fajardo,Len Mark Onanad,Shalini Sehgal,Sylvie Dardare</t>
  </si>
  <si>
    <t>Jennica Felipe,Jimwelle Villon,Sarah Angelica Medrano</t>
  </si>
  <si>
    <t>Efleda Reyes,Jennica Felipe,Shalini Sehgal</t>
  </si>
  <si>
    <t>Jennica Felipe,Sylvie Dardare</t>
  </si>
  <si>
    <t>Lindsay Casero,Logika Sri-Rangarajan,Shalini Sehgal</t>
  </si>
  <si>
    <t>Ann Morei Narag,Irish Guia Medel,Len Mark Onanad,Princess Halili,Shalini Sehgal</t>
  </si>
  <si>
    <t>Aileen Fajardo,Ann Morei Narag,Dexterous Group,Kate Gow,Mary Ann Carpio,Nicole Guttmann</t>
  </si>
  <si>
    <t>Dexterous Group,Shalini Sehgal</t>
  </si>
  <si>
    <t>Aileen Fajardo,Ann Morei Narag,Elena Gildina,Len Mark Onanad,Mary Ann Carpio,Shalini Sehgal</t>
  </si>
  <si>
    <t>Efleda Reyes,Len Mark Onanad,Shalini Sehgal</t>
  </si>
  <si>
    <t>Efleda Reyes,Kate Gow,Len Mark Onanad</t>
  </si>
  <si>
    <t>Efleda Reyes,Franz Xavier Cruz,Len Mark Onanad</t>
  </si>
  <si>
    <t>Aileen Fajardo,Elena Gildina</t>
  </si>
  <si>
    <t>Dexterous Group,Jennica Felipe,Kate Gow</t>
  </si>
  <si>
    <t>Jimwelle Villon,Len Mark Onanad</t>
  </si>
  <si>
    <t>Jennica Felipe,Marie Ann Ticzon</t>
  </si>
  <si>
    <t>Len Mark Onanad,Lindsay Casero,Rosemarie Gaile Caliwag,Shalini Sehgal,Sherly Oro</t>
  </si>
  <si>
    <t>Jeric Rivera,Len Mark Onanad,Shalini Sehgal</t>
  </si>
  <si>
    <t>Aileen Fajardo,Jeric Rivera,Len Mark Onanad,Rachele Anne Nicdao</t>
  </si>
  <si>
    <t>Neeti Gambhir,Sherly Oro</t>
  </si>
  <si>
    <t>Irish Guia Medel,Len Mark Onanad</t>
  </si>
  <si>
    <t>Budget Total</t>
  </si>
  <si>
    <t>Actual Total</t>
  </si>
  <si>
    <t>Total</t>
  </si>
  <si>
    <t>Total Hours</t>
  </si>
  <si>
    <t>STARLEATON HOLDINGS PTY LTD</t>
  </si>
  <si>
    <t>RAMP HOLDINGS PTY LTD</t>
  </si>
  <si>
    <t>Prime Build Pty Ltd</t>
  </si>
  <si>
    <t>Pinnacle Group</t>
  </si>
  <si>
    <t>Client Name</t>
  </si>
  <si>
    <t>​Barrack Broking Pty Ltd</t>
  </si>
  <si>
    <t>3 Helps Pty Ltd</t>
  </si>
  <si>
    <t>A.G Ellis &amp; P Ellis</t>
  </si>
  <si>
    <t>A.S. White Global Pty Ltd</t>
  </si>
  <si>
    <t>ACI HR Solutions Pty Ltd</t>
  </si>
  <si>
    <t>ACN 078 081 893 PTY LIMITED</t>
  </si>
  <si>
    <t>Adam Wise</t>
  </si>
  <si>
    <t>Adams, Rachel</t>
  </si>
  <si>
    <t>ADSA Canceri Pty Ltd trading as MYSuperNOW</t>
  </si>
  <si>
    <t>Adviser Solutions Group Pty Ltd</t>
  </si>
  <si>
    <t>Aerologix Pty Ltd</t>
  </si>
  <si>
    <t>Affluens Property Group Pty Ltd</t>
  </si>
  <si>
    <t>Affluens360 Lending Pty Ltd</t>
  </si>
  <si>
    <t>Akkerman, Robert</t>
  </si>
  <si>
    <t>Alexander Associates Pty Ltd</t>
  </si>
  <si>
    <t>Alexander Ellis</t>
  </si>
  <si>
    <t>Alexander Gale</t>
  </si>
  <si>
    <t>Alexandria Holdings Pty Limited ATF The Alexandria Estate Trust</t>
  </si>
  <si>
    <t>Alison Flemming</t>
  </si>
  <si>
    <t>Allan, Jason</t>
  </si>
  <si>
    <t>Alyce Katherine Elder</t>
  </si>
  <si>
    <t>AME Mineral Economics Pty. Limited</t>
  </si>
  <si>
    <t>Amirbeaggi Investments Pty Ltd</t>
  </si>
  <si>
    <t>Angus Mullane</t>
  </si>
  <si>
    <t>Anisha Mistry</t>
  </si>
  <si>
    <t>Anita Burton</t>
  </si>
  <si>
    <t>Anne Sampson</t>
  </si>
  <si>
    <t>Antfarm Unit Trust</t>
  </si>
  <si>
    <t>Anthony David Fleetwood</t>
  </si>
  <si>
    <t>Antoine Jean Lang-Cavelier</t>
  </si>
  <si>
    <t>ANZ</t>
  </si>
  <si>
    <t>Apte, Sameer</t>
  </si>
  <si>
    <t>Aram Berlyn Gardner LLP</t>
  </si>
  <si>
    <t>Arki, Edith</t>
  </si>
  <si>
    <t>Arki, Victor</t>
  </si>
  <si>
    <t>Asha Long Pty Ltd</t>
  </si>
  <si>
    <t>Ashley Fallow</t>
  </si>
  <si>
    <t>Ashton Media Pty Ltd</t>
  </si>
  <si>
    <t>Asparq Accounting &amp; Advisory Pty Ltd</t>
  </si>
  <si>
    <t>Asylum Seekers Centre</t>
  </si>
  <si>
    <t>Atturra Limited</t>
  </si>
  <si>
    <t>Audrey Kaiser</t>
  </si>
  <si>
    <t>Auscrete Group Pty Ltd</t>
  </si>
  <si>
    <t>Aussie Lawyers Pty Ltd</t>
  </si>
  <si>
    <t>Ava System Co Pty Ltd</t>
  </si>
  <si>
    <t>Aw, Grace</t>
  </si>
  <si>
    <t>Balmarp Pty Ltd</t>
  </si>
  <si>
    <t>Bangor Public School P&amp;C Association</t>
  </si>
  <si>
    <t>Banjo Films Pty Ltd</t>
  </si>
  <si>
    <t>Barbara Young</t>
  </si>
  <si>
    <t>Bass, Matthew</t>
  </si>
  <si>
    <t>Begley, Raelene Ann</t>
  </si>
  <si>
    <t>Belcoo Capital Pty Ltd</t>
  </si>
  <si>
    <t>Bell, Julia</t>
  </si>
  <si>
    <t>Bell, Robin Hamilton</t>
  </si>
  <si>
    <t>Belshaw Investments Pty Ltd</t>
  </si>
  <si>
    <t>Belshaw, Haydn</t>
  </si>
  <si>
    <t>Belshaw, Kathryn</t>
  </si>
  <si>
    <t>Benjamin Eaton</t>
  </si>
  <si>
    <t>Berman, Ilana</t>
  </si>
  <si>
    <t>Berman, Michael</t>
  </si>
  <si>
    <t>Best Whisper Pty Ltd</t>
  </si>
  <si>
    <t>Better Reports Technologies Pty Ltd ATF The Gutel Family Trust</t>
  </si>
  <si>
    <t>Better Sets</t>
  </si>
  <si>
    <t>Better, Sets</t>
  </si>
  <si>
    <t>Beyond Nlp Pty Ltd</t>
  </si>
  <si>
    <t>Birchland Consulting Pty Ltd</t>
  </si>
  <si>
    <t>Blake, Matthew</t>
  </si>
  <si>
    <t>Blake-Kelly, Stella</t>
  </si>
  <si>
    <t>Bloxsome Advisory Pty Ltd</t>
  </si>
  <si>
    <t>Bond, Louise</t>
  </si>
  <si>
    <t>Borden, Carey</t>
  </si>
  <si>
    <t>Brad Spooner</t>
  </si>
  <si>
    <t>Brendan Hands</t>
  </si>
  <si>
    <t>Bridget Currie</t>
  </si>
  <si>
    <t>Bright Accountants Pty Ltd</t>
  </si>
  <si>
    <t>Browne Estate Holdings ATF Browne Super Fund</t>
  </si>
  <si>
    <t>Bryan Phillips</t>
  </si>
  <si>
    <t>Bryson, Mitchell</t>
  </si>
  <si>
    <t>Bull, Nathan</t>
  </si>
  <si>
    <t>Burton, Jonathan</t>
  </si>
  <si>
    <t>Bye, Timothy</t>
  </si>
  <si>
    <t>C.T.A.L Investment Trust</t>
  </si>
  <si>
    <t>Callan Turley</t>
  </si>
  <si>
    <t>Cameron McGrane</t>
  </si>
  <si>
    <t>Camp, David</t>
  </si>
  <si>
    <t>Camp, John</t>
  </si>
  <si>
    <t>Camp, Renae</t>
  </si>
  <si>
    <t>Campos Julio, Felix</t>
  </si>
  <si>
    <t>Canary Technology Solutions Pty Ltd</t>
  </si>
  <si>
    <t>Candice Somerville</t>
  </si>
  <si>
    <t>Cannon, Matthew</t>
  </si>
  <si>
    <t>Carbery, Catherine</t>
  </si>
  <si>
    <t>Carey Borden</t>
  </si>
  <si>
    <t>Carpenter, Peter</t>
  </si>
  <si>
    <t>Carrie Taylor</t>
  </si>
  <si>
    <t>Cartisan Group Pty Ltd</t>
  </si>
  <si>
    <t>Catabay, Jan</t>
  </si>
  <si>
    <t>Catabay, Krishia</t>
  </si>
  <si>
    <t>Cathro &amp; Partners Pty Limited</t>
  </si>
  <si>
    <t>Cawthorne, Belinda</t>
  </si>
  <si>
    <t>Cawthorne, Robert</t>
  </si>
  <si>
    <t>Chan, Andrew</t>
  </si>
  <si>
    <t>Charles Scott</t>
  </si>
  <si>
    <t>Chatswood Hotel</t>
  </si>
  <si>
    <t>Chelsea Hotel Pty Ltd</t>
  </si>
  <si>
    <t>Chris McClennan</t>
  </si>
  <si>
    <t>Chris Rummey</t>
  </si>
  <si>
    <t>Christopher Ellis</t>
  </si>
  <si>
    <t>Christopher Fleetwood</t>
  </si>
  <si>
    <t>Christopher McClellan</t>
  </si>
  <si>
    <t>Clement Gutel</t>
  </si>
  <si>
    <t>Cleret, Marie Pierre</t>
  </si>
  <si>
    <t>Clint Salter Pty Ltd</t>
  </si>
  <si>
    <t>Clova Kasayam Pty Ltd</t>
  </si>
  <si>
    <t>Cogent Development Group Limited</t>
  </si>
  <si>
    <t>Coho Property Pty Ltd</t>
  </si>
  <si>
    <t>Complii Fintech Solutions Ltd</t>
  </si>
  <si>
    <t>COMPLII LIMITED</t>
  </si>
  <si>
    <t>Complii Pty Limited</t>
  </si>
  <si>
    <t>Constain, Allison</t>
  </si>
  <si>
    <t>Constain, Nicolas</t>
  </si>
  <si>
    <t>Continuous Communications Pty. Limited</t>
  </si>
  <si>
    <t>Cooney, Erik</t>
  </si>
  <si>
    <t>Cooney, Louise Margaret</t>
  </si>
  <si>
    <t>Coulthard, Alison</t>
  </si>
  <si>
    <t>Coulthard, Matthew</t>
  </si>
  <si>
    <t>Cowdroy, Catherine</t>
  </si>
  <si>
    <t>Cowdroy, Scott David</t>
  </si>
  <si>
    <t>Cranbyrd Investments Pty Ltd</t>
  </si>
  <si>
    <t>Creighton, Fraser</t>
  </si>
  <si>
    <t>Cribb Industries Pty Ltd</t>
  </si>
  <si>
    <t>Cribb, Brodie</t>
  </si>
  <si>
    <t>Cribb, Brookie</t>
  </si>
  <si>
    <t>Crypto Mining WA Pty Ltd ATF The Mets Family Trust</t>
  </si>
  <si>
    <t>Cunningham, Richard</t>
  </si>
  <si>
    <t>Currie, Peter</t>
  </si>
  <si>
    <t>Customised Fitness Solutions</t>
  </si>
  <si>
    <t>Daneton Pty Ltd</t>
  </si>
  <si>
    <t>Daniel OBrien</t>
  </si>
  <si>
    <t>David Eldridge</t>
  </si>
  <si>
    <t>David John Iliffe</t>
  </si>
  <si>
    <t>David Lee</t>
  </si>
  <si>
    <t>Davis, Mackenzie</t>
  </si>
  <si>
    <t>Davis, Philip Mark</t>
  </si>
  <si>
    <t>Davis, Rachel Lucy</t>
  </si>
  <si>
    <t>Deep Wave Pty Ltd</t>
  </si>
  <si>
    <t>Del Prado, Aristotle</t>
  </si>
  <si>
    <t>Demyst Data Australia Pty Ltd</t>
  </si>
  <si>
    <t>Derk Zomer</t>
  </si>
  <si>
    <t>Developmental Medicine Consulting</t>
  </si>
  <si>
    <t>Dexterous Holdings Pty Ltd</t>
  </si>
  <si>
    <t>Ding, Zhao</t>
  </si>
  <si>
    <t>Diva Works Pty Ltd</t>
  </si>
  <si>
    <t>Don Rajadurai</t>
  </si>
  <si>
    <t>Dow, Anne</t>
  </si>
  <si>
    <t>Dow, Caitlin</t>
  </si>
  <si>
    <t>Dow, Christian</t>
  </si>
  <si>
    <t>Dow, Theodore</t>
  </si>
  <si>
    <t>Driftwood Joinery Pty Ltd</t>
  </si>
  <si>
    <t>Dutton, Katherine</t>
  </si>
  <si>
    <t>Duy Pty Ltd</t>
  </si>
  <si>
    <t>Duy Tran</t>
  </si>
  <si>
    <t>EAT DISPLAYS PTY LIMITED</t>
  </si>
  <si>
    <t>Eat Displays Pty Ltd</t>
  </si>
  <si>
    <t>Eaton, Benjamin</t>
  </si>
  <si>
    <t>Eaton, Ines</t>
  </si>
  <si>
    <t>Eaton, Joshua</t>
  </si>
  <si>
    <t>Eaton, Zoe</t>
  </si>
  <si>
    <t>Ecovise Pty Ltd</t>
  </si>
  <si>
    <t>Elder, Alyce Katherine</t>
  </si>
  <si>
    <t>Eldridge, David</t>
  </si>
  <si>
    <t>Ellis, Alexander</t>
  </si>
  <si>
    <t>Ellis, Christopher</t>
  </si>
  <si>
    <t>Ellis, Paul</t>
  </si>
  <si>
    <t>Ellis, Sarah Emily</t>
  </si>
  <si>
    <t>Ellivate Consulting Pty Ltd</t>
  </si>
  <si>
    <t>Elocin Legal Pty Ltd</t>
  </si>
  <si>
    <t>Employee Protection Solutions Pty Ltd</t>
  </si>
  <si>
    <t>Equalution Holdings Pty Ltd</t>
  </si>
  <si>
    <t>Equalution Pty Ltd</t>
  </si>
  <si>
    <t>Erica Davidson</t>
  </si>
  <si>
    <t>Erik Cooney</t>
  </si>
  <si>
    <t>Ethos Bytes Pty Ltd</t>
  </si>
  <si>
    <t>Eviston, Timothy</t>
  </si>
  <si>
    <t>Eway</t>
  </si>
  <si>
    <t>Eykman, Elizabeth</t>
  </si>
  <si>
    <t>Fagence, Alan</t>
  </si>
  <si>
    <t>Fallow, Ashley</t>
  </si>
  <si>
    <t>Farouk, Muhammed</t>
  </si>
  <si>
    <t>Ferguson, Gerald</t>
  </si>
  <si>
    <t>Fiona Jefferies</t>
  </si>
  <si>
    <t>Fleetwood Family Investments Pty Ltd</t>
  </si>
  <si>
    <t>Fleetwood Family Trust</t>
  </si>
  <si>
    <t>Fleetwood, Anthony David</t>
  </si>
  <si>
    <t>Fleetwood, Christopher</t>
  </si>
  <si>
    <t>Fleetwood, Holly Maree</t>
  </si>
  <si>
    <t>Fleetwood, Lisa Maree</t>
  </si>
  <si>
    <t>Fleetwood, Samuel Miles</t>
  </si>
  <si>
    <t>Fleetwood, Trudy-Anne</t>
  </si>
  <si>
    <t>Focus Care Australia</t>
  </si>
  <si>
    <t>Focus Care Australia Pty. Ltd.</t>
  </si>
  <si>
    <t>Fortiserve Group Pty Ltd</t>
  </si>
  <si>
    <t>Foxcomm Australia Pty Ltd</t>
  </si>
  <si>
    <t>Francis, Jennifer Jane</t>
  </si>
  <si>
    <t xml:space="preserve">Francis, Jennifer Jane </t>
  </si>
  <si>
    <t>Frankie Pty Ltd</t>
  </si>
  <si>
    <t>Franks, Luke</t>
  </si>
  <si>
    <t>Fraser Creighton</t>
  </si>
  <si>
    <t>Freelyn Solar Pty Ltd</t>
  </si>
  <si>
    <t>Fulton, Peter</t>
  </si>
  <si>
    <t>Fusion Accounting &amp; Advisory</t>
  </si>
  <si>
    <t>Fusion Holdings AAA Pty Ltd</t>
  </si>
  <si>
    <t>Future Digital Creative Pty Ltd</t>
  </si>
  <si>
    <t>Gale, Alexander</t>
  </si>
  <si>
    <t>Gale, Kelli</t>
  </si>
  <si>
    <t>Gecko Art and Design Superannuation Fund</t>
  </si>
  <si>
    <t>Gennaoui, Nicola</t>
  </si>
  <si>
    <t>Gennaoui, Philip</t>
  </si>
  <si>
    <t>Georgelin, Olivier</t>
  </si>
  <si>
    <t>Gforce Equestrian Services Pty Ltd</t>
  </si>
  <si>
    <t>GIS Solutions Australia Pty Ltd</t>
  </si>
  <si>
    <t>Go Llama Pty Ltd</t>
  </si>
  <si>
    <t>Go! Kidz Pty Limited</t>
  </si>
  <si>
    <t>Gordon Young</t>
  </si>
  <si>
    <t>Griffiths, Lisa Maree</t>
  </si>
  <si>
    <t>Growth Hacking Tribe Pty Ltd</t>
  </si>
  <si>
    <t>Gutel, Clement</t>
  </si>
  <si>
    <t>Habitat Digital Pty. Ltd.</t>
  </si>
  <si>
    <t>Halcombe John Caldwell</t>
  </si>
  <si>
    <t>Halo Medispa Pty Ltd</t>
  </si>
  <si>
    <t>Halse, Amanda</t>
  </si>
  <si>
    <t>Harbison Memorial Retirement Village</t>
  </si>
  <si>
    <t>Harrison, David</t>
  </si>
  <si>
    <t>Hawkins Sawyer Holdings Pty Ltd</t>
  </si>
  <si>
    <t>Haydn Belshaw</t>
  </si>
  <si>
    <t>Head and Neck Specialist Surgery</t>
  </si>
  <si>
    <t>Heidi Sundin</t>
  </si>
  <si>
    <t>Henlis Life Pty Ltd</t>
  </si>
  <si>
    <t>Heo, Ji Young</t>
  </si>
  <si>
    <t>Herself Health Pty Ltd</t>
  </si>
  <si>
    <t>Holly Maree Fleetwood</t>
  </si>
  <si>
    <t>Holly Maree Investment Trust</t>
  </si>
  <si>
    <t xml:space="preserve">Holly Maree Investment Trust </t>
  </si>
  <si>
    <t>Holly Maree Investments Pty Ltd</t>
  </si>
  <si>
    <t>Homaei, Maximilian</t>
  </si>
  <si>
    <t>Howard, Brendan</t>
  </si>
  <si>
    <t>Howe, Timothy</t>
  </si>
  <si>
    <t>Huan-Chen Zhang</t>
  </si>
  <si>
    <t>Hudson's Bay Company Pty Ltd</t>
  </si>
  <si>
    <t>Huynh, Minh</t>
  </si>
  <si>
    <t>Hype Moore Park Pty Ltd</t>
  </si>
  <si>
    <t>Hyper Karting Pty Ltd</t>
  </si>
  <si>
    <t>Iliffe, Chloe</t>
  </si>
  <si>
    <t>Iliffe, James</t>
  </si>
  <si>
    <t>Infusion 360 Advisory Pty Ltd</t>
  </si>
  <si>
    <t>InterApptive Pty Ltd</t>
  </si>
  <si>
    <t>INTERNATIONAL INNOVATIONS GROUP PTY LIMITED</t>
  </si>
  <si>
    <t>International Innovations Group Pty Ltd</t>
  </si>
  <si>
    <t>Intiger Asset Management Pty Ltd</t>
  </si>
  <si>
    <t>INTIGER ASSET MANAGEMENT PTY. LTD.</t>
  </si>
  <si>
    <t>Irving, Kelly</t>
  </si>
  <si>
    <t>James Iliffe</t>
  </si>
  <si>
    <t>James Nisbett</t>
  </si>
  <si>
    <t>James O'Flaherty</t>
  </si>
  <si>
    <t>Jan Catabay</t>
  </si>
  <si>
    <t>Janamact Family Trust</t>
  </si>
  <si>
    <t>Janamact Pty Ltd</t>
  </si>
  <si>
    <t>Jared Marks</t>
  </si>
  <si>
    <t xml:space="preserve">Jeanne Chalimah </t>
  </si>
  <si>
    <t>Jefferies, Fiona</t>
  </si>
  <si>
    <t>Joelle Nominees Pty Ltd</t>
  </si>
  <si>
    <t>John Camp</t>
  </si>
  <si>
    <t>John Hillam</t>
  </si>
  <si>
    <t>Jolynn Miller t/a Velvet Rope Events</t>
  </si>
  <si>
    <t>Jon Leven</t>
  </si>
  <si>
    <t>Jonathan Burton</t>
  </si>
  <si>
    <t>Jones, Timothy</t>
  </si>
  <si>
    <t>Josh Mets</t>
  </si>
  <si>
    <t>JOSHUA METS</t>
  </si>
  <si>
    <t>Julia O'Brien</t>
  </si>
  <si>
    <t>Just Plumb Plumbing Services Pty Ltd</t>
  </si>
  <si>
    <t>Kada Pty Limited</t>
  </si>
  <si>
    <t>Kaiser, Audrey</t>
  </si>
  <si>
    <t>Katharine Thomas</t>
  </si>
  <si>
    <t>Kelli Gale</t>
  </si>
  <si>
    <t>Kelly Irving</t>
  </si>
  <si>
    <t>Kelly Irving Pty Ltd</t>
  </si>
  <si>
    <t>Kennedy, Adam John</t>
  </si>
  <si>
    <t>Kennedy, Lois Suzanne</t>
  </si>
  <si>
    <t>Kerim- Michelle Family Trust</t>
  </si>
  <si>
    <t>Kerrie Brophy</t>
  </si>
  <si>
    <t>Kinala ATF Salmon Family Trust</t>
  </si>
  <si>
    <t>King River Capital Management Pty Ltd</t>
  </si>
  <si>
    <t>KJM Advisory</t>
  </si>
  <si>
    <t>Klonis, Edward</t>
  </si>
  <si>
    <t>Koob, Christopher</t>
  </si>
  <si>
    <t>KoWorks Pty Ltd</t>
  </si>
  <si>
    <t>Kristy Turnbull</t>
  </si>
  <si>
    <t>Kyrod ATF Salmon Family Trust 2</t>
  </si>
  <si>
    <t>La Zura Pty Ltd</t>
  </si>
  <si>
    <t>Lam, Chu Kuan</t>
  </si>
  <si>
    <t>Lang-Cavelier, Antoine Jean</t>
  </si>
  <si>
    <t>Laura O'Flaherty</t>
  </si>
  <si>
    <t>Leanne Sharman</t>
  </si>
  <si>
    <t>Lee, Ann Marie</t>
  </si>
  <si>
    <t>Lee, Hui Ching</t>
  </si>
  <si>
    <t>Leichhardt Bowling &amp; Recreation Club Ltd</t>
  </si>
  <si>
    <t>LetsAutomate Pty Ltd</t>
  </si>
  <si>
    <t>Leven, Maddy</t>
  </si>
  <si>
    <t>Levin, Daniel</t>
  </si>
  <si>
    <t>Levin, Natalie</t>
  </si>
  <si>
    <t>Lia Jackson</t>
  </si>
  <si>
    <t>Liao, Tien Wei Li</t>
  </si>
  <si>
    <t>Liao, Wells</t>
  </si>
  <si>
    <t>Lindale Investment Pty Limited</t>
  </si>
  <si>
    <t>Liron Rutovitz</t>
  </si>
  <si>
    <t>Lisa Maree Fleetwood</t>
  </si>
  <si>
    <t>Lisa Maree Griffiths</t>
  </si>
  <si>
    <t>Little Black Dress Advisory Pty Ltd</t>
  </si>
  <si>
    <t>Lock Stock Liquor Pty Ltd</t>
  </si>
  <si>
    <t>London Hotel</t>
  </si>
  <si>
    <t>Lorraine Trattles</t>
  </si>
  <si>
    <t>Louise Margaret Cooney</t>
  </si>
  <si>
    <t>Lucilius Family Trust</t>
  </si>
  <si>
    <t>Lucinda Mander-Jones</t>
  </si>
  <si>
    <t>Lyndcote Pty Limited</t>
  </si>
  <si>
    <t>Lyndcote Pty Ltd</t>
  </si>
  <si>
    <t>M &amp; L Sharman Family Trust</t>
  </si>
  <si>
    <t>M&amp;M Tiltman Family Trust</t>
  </si>
  <si>
    <t>Macleod Asset Management Pty Ltd</t>
  </si>
  <si>
    <t>Macleod Family Trust</t>
  </si>
  <si>
    <t>Macleod, Jeremy</t>
  </si>
  <si>
    <t>Maddy Leven</t>
  </si>
  <si>
    <t>Magic Inc</t>
  </si>
  <si>
    <t>Making Dogs Happy</t>
  </si>
  <si>
    <t>Mander-Jones, Lucinda</t>
  </si>
  <si>
    <t>Manly Warringah Baseball Association</t>
  </si>
  <si>
    <t>Mansfield, Danielle</t>
  </si>
  <si>
    <t>Mansfield, Paul</t>
  </si>
  <si>
    <t>Maria Perez</t>
  </si>
  <si>
    <t>Marie-Pierre Cleret Pty Ltd</t>
  </si>
  <si>
    <t>Marie-Pierre Cleret Pty. Limited</t>
  </si>
  <si>
    <t>Mark Sharman</t>
  </si>
  <si>
    <t>Mark Young</t>
  </si>
  <si>
    <t>Market Street Advisory Pty Ltd</t>
  </si>
  <si>
    <t>Marks, Jared</t>
  </si>
  <si>
    <t>Marks, Rikki Jade</t>
  </si>
  <si>
    <t xml:space="preserve">Marsill Pty Ltd </t>
  </si>
  <si>
    <t>Martin Wiedemann</t>
  </si>
  <si>
    <t>Matthew Cannon</t>
  </si>
  <si>
    <t>Matthew Coulthard</t>
  </si>
  <si>
    <t>Maven Data Group Pty Ltd</t>
  </si>
  <si>
    <t>Maximilian Homaei</t>
  </si>
  <si>
    <t>McClellan, Christopher</t>
  </si>
  <si>
    <t>McGrane, Cameron</t>
  </si>
  <si>
    <t>McKay, Thomas</t>
  </si>
  <si>
    <t>Mckenzie, Rebekah</t>
  </si>
  <si>
    <t>MDC Electrical Services</t>
  </si>
  <si>
    <t>MDF Group Pty Ltd</t>
  </si>
  <si>
    <t>Medina, Leticia</t>
  </si>
  <si>
    <t>Meril Australia Pty Ltd</t>
  </si>
  <si>
    <t>MIGD Family Investments Pty Ltd</t>
  </si>
  <si>
    <t>MILANAY TIMOTHY TEST</t>
  </si>
  <si>
    <t>MILLER,JOLYNN</t>
  </si>
  <si>
    <t>Minh Huynh</t>
  </si>
  <si>
    <t>Mistry Minds Pty Ltd</t>
  </si>
  <si>
    <t>Mitchell Bryson</t>
  </si>
  <si>
    <t>MJE Invest Pty Ltd ATF MJE Trust</t>
  </si>
  <si>
    <t>MKJT Holdings Pty Ltd</t>
  </si>
  <si>
    <t>MKP Employee Services Trust</t>
  </si>
  <si>
    <t>Moko Concepts &amp; Ventures Pty Ltd</t>
  </si>
  <si>
    <t>MSI Pty Ltd</t>
  </si>
  <si>
    <t>Mullane Family Trust</t>
  </si>
  <si>
    <t>Mullane Holdings Pty Ltd</t>
  </si>
  <si>
    <t>Murgatroyd, Sarah</t>
  </si>
  <si>
    <t>My Tran</t>
  </si>
  <si>
    <t>Nana Kawaura</t>
  </si>
  <si>
    <t>Narelle Rosevear Iliffe</t>
  </si>
  <si>
    <t>Natalie Wise</t>
  </si>
  <si>
    <t>National Trust of Australia</t>
  </si>
  <si>
    <t>Natural Therapy Pages Pty Ltd</t>
  </si>
  <si>
    <t>Natural Wellness Technologies Pty Ltd</t>
  </si>
  <si>
    <t>Neelam, Neil</t>
  </si>
  <si>
    <t>Nelrose Investments Pty Ltd</t>
  </si>
  <si>
    <t>Nelrose Trust</t>
  </si>
  <si>
    <t>Neutral Bay Oosh Incorporated</t>
  </si>
  <si>
    <t>Nicolas Constain</t>
  </si>
  <si>
    <t>Nicole Aghabi</t>
  </si>
  <si>
    <t>Nisbett, Eloise</t>
  </si>
  <si>
    <t>Nisbett, James</t>
  </si>
  <si>
    <t>Noel Brophy</t>
  </si>
  <si>
    <t>North Shore Swimming Pty Ltd</t>
  </si>
  <si>
    <t>North West Agricultural Services Pty Ltd</t>
  </si>
  <si>
    <t>NZ Pages Pty Ltd</t>
  </si>
  <si>
    <t>OBrien, Daniel</t>
  </si>
  <si>
    <t>O'Brien, Daniel</t>
  </si>
  <si>
    <t>O'Brien, Julia</t>
  </si>
  <si>
    <t>O'Connor, Kate</t>
  </si>
  <si>
    <t>Olary Gold Mines Limited</t>
  </si>
  <si>
    <t>Olary Holdings Limited</t>
  </si>
  <si>
    <t>Olivier Georgelin</t>
  </si>
  <si>
    <t>Oneworld Charters Pty Ltd</t>
  </si>
  <si>
    <t>Online EQ Pty Ltd</t>
  </si>
  <si>
    <t>Optimal Wealth Solutions Pty Ltd</t>
  </si>
  <si>
    <t>Oro Bello Jewellery Pty Ltd</t>
  </si>
  <si>
    <t>Other Side Of The Table Pty Ltd</t>
  </si>
  <si>
    <t>Pannila Photography</t>
  </si>
  <si>
    <t>Pathfinder Consulting Group Pty Ltd</t>
  </si>
  <si>
    <t>Patole Pty Ltd ATF Patole Trust Fund</t>
  </si>
  <si>
    <t>Patterson, Michael</t>
  </si>
  <si>
    <t>Patterson, Sabrina</t>
  </si>
  <si>
    <t>Paul Ellis</t>
  </si>
  <si>
    <t>Paula Kensington</t>
  </si>
  <si>
    <t>Pearce, Shane</t>
  </si>
  <si>
    <t>Perez, Maria</t>
  </si>
  <si>
    <t>Peter Carpenter</t>
  </si>
  <si>
    <t>Peter Currie</t>
  </si>
  <si>
    <t>Philip Lomax</t>
  </si>
  <si>
    <t>Philip Mark Davis</t>
  </si>
  <si>
    <t>Philippa Butt</t>
  </si>
  <si>
    <t>Phillips, Bryan</t>
  </si>
  <si>
    <t>PK Advisory Pty Ltd</t>
  </si>
  <si>
    <t>Planwise AU Pty Ltd</t>
  </si>
  <si>
    <t>Plateau Trees</t>
  </si>
  <si>
    <t>Plump and Spry Pty Ltd</t>
  </si>
  <si>
    <t>Plunkett, Anna Louise</t>
  </si>
  <si>
    <t>Podium Sports Management Pty Ltd</t>
  </si>
  <si>
    <t>Polydor Advisory Pty Ltd</t>
  </si>
  <si>
    <t>Polyvest Pty Ltd</t>
  </si>
  <si>
    <t>Post, Karile</t>
  </si>
  <si>
    <t>Powell, Trent Colin</t>
  </si>
  <si>
    <t>Precise Tax Solutions</t>
  </si>
  <si>
    <t>Priceless Creators Pty Ltd</t>
  </si>
  <si>
    <t>Priceless Productions Pty Ltd</t>
  </si>
  <si>
    <t>PrimaryMarkets Limited</t>
  </si>
  <si>
    <t>Prime Build Services</t>
  </si>
  <si>
    <t>PSF Services Ltd</t>
  </si>
  <si>
    <t>PsyQuation Pty Ltd</t>
  </si>
  <si>
    <t>Puleo Enterprises Pty Ltd as Trustee for Puleo Family Trust</t>
  </si>
  <si>
    <t>Puleo, David</t>
  </si>
  <si>
    <t>Pulse Talent Management Pty Ltd</t>
  </si>
  <si>
    <t>Q Consulting Group</t>
  </si>
  <si>
    <t>R Saunders Pty Ltd</t>
  </si>
  <si>
    <t>Rachel Lucy Davis</t>
  </si>
  <si>
    <t>Raelene Ann Begley</t>
  </si>
  <si>
    <t>Reay, Nathan</t>
  </si>
  <si>
    <t>Red Apple Education Pty Ltd</t>
  </si>
  <si>
    <t>Reg 360 Pty Limited</t>
  </si>
  <si>
    <t>RegCentric Pty Ltd</t>
  </si>
  <si>
    <t>Richard Cunningham</t>
  </si>
  <si>
    <t>Rikki Jade Marks</t>
  </si>
  <si>
    <t>Roberts, Lauren</t>
  </si>
  <si>
    <t>Robin Hamilton Bell</t>
  </si>
  <si>
    <t>Rolia Family Trust</t>
  </si>
  <si>
    <t>Rollingview Pty Limited</t>
  </si>
  <si>
    <t>Rosherville Investment Pty Ltd</t>
  </si>
  <si>
    <t>Rowan Leavold</t>
  </si>
  <si>
    <t>Rydalmere Tavern Pty Ltd</t>
  </si>
  <si>
    <t>S.R.D.R Pty Ltd</t>
  </si>
  <si>
    <t>Saaroni, Olivia</t>
  </si>
  <si>
    <t>Sack Me! Pty Ltd</t>
  </si>
  <si>
    <t>Safety Watch Australia Pty Ltd</t>
  </si>
  <si>
    <t>Sale of 4 Turnbull Avenue, Kemps Creek NSW 2178</t>
  </si>
  <si>
    <t>Sales, Luke</t>
  </si>
  <si>
    <t>Sam Trattles</t>
  </si>
  <si>
    <t>Sameer Apte</t>
  </si>
  <si>
    <t>Samuel Miles Fleetwood</t>
  </si>
  <si>
    <t>Samuel Miles Investment Pty Ltd</t>
  </si>
  <si>
    <t>Samuel Miles Investment Trust</t>
  </si>
  <si>
    <t>Sandra Chamberlin</t>
  </si>
  <si>
    <t>Sarah Emily Ellis</t>
  </si>
  <si>
    <t>Sasha Sherman</t>
  </si>
  <si>
    <t>Scale Messaging Pty Ltd</t>
  </si>
  <si>
    <t>Scheuch, Daniel</t>
  </si>
  <si>
    <t>Scocat Pty Ltd</t>
  </si>
  <si>
    <t>Scott, Charles</t>
  </si>
  <si>
    <t>Scott, Roger</t>
  </si>
  <si>
    <t>SCS Credit Services Pty Ltd</t>
  </si>
  <si>
    <t>SDS BIDCO Pty Ltd</t>
  </si>
  <si>
    <t>SDS Trust</t>
  </si>
  <si>
    <t>Sea Roses Pty Ltd</t>
  </si>
  <si>
    <t>Seaforth Football Club Incorporated</t>
  </si>
  <si>
    <t>See Jay Trust</t>
  </si>
  <si>
    <t>See Pilot Pty Ltd</t>
  </si>
  <si>
    <t>Sensear Pty Ltd</t>
  </si>
  <si>
    <t>Seow, Nicholas</t>
  </si>
  <si>
    <t>Sharman, Leanne</t>
  </si>
  <si>
    <t>Sharman, Mark</t>
  </si>
  <si>
    <t>Shillitto, Jeffrey</t>
  </si>
  <si>
    <t>Shipley Australasia Pty Ltd</t>
  </si>
  <si>
    <t>Shotstack Pty Ltd</t>
  </si>
  <si>
    <t>Shroogle Pty Ltd</t>
  </si>
  <si>
    <t>Shruti Sinha</t>
  </si>
  <si>
    <t>Silvana Wiedemann</t>
  </si>
  <si>
    <t>SimplyAi Pty Ltd</t>
  </si>
  <si>
    <t>Skylife</t>
  </si>
  <si>
    <t>Smith, Karina</t>
  </si>
  <si>
    <t>Smith, Micah</t>
  </si>
  <si>
    <t>Soma Medispa 1 Pty Ltd</t>
  </si>
  <si>
    <t>Soma One Pty Ltd</t>
  </si>
  <si>
    <t>Somerville, Candice</t>
  </si>
  <si>
    <t>Sova Pty Ltd</t>
  </si>
  <si>
    <t>Spectrum Retail Pty Ltd</t>
  </si>
  <si>
    <t>Spencer, Graeme</t>
  </si>
  <si>
    <t>Spencer, Stephanie</t>
  </si>
  <si>
    <t>Spooner, Brad</t>
  </si>
  <si>
    <t>Spooner, Melissa</t>
  </si>
  <si>
    <t>Sports Tips Pty Ltd</t>
  </si>
  <si>
    <t>SprintQuip Pty Ltd</t>
  </si>
  <si>
    <t>SprintQuip Singapore</t>
  </si>
  <si>
    <t>St George Freight Pty Ltd</t>
  </si>
  <si>
    <t>Stapleton, Angus</t>
  </si>
  <si>
    <t>State To State Traders Pty Ltd</t>
  </si>
  <si>
    <t>Stella Blake-Kelly</t>
  </si>
  <si>
    <t>Stephanie Young</t>
  </si>
  <si>
    <t>Stewart Shipwright Services</t>
  </si>
  <si>
    <t>Stewart, Adrian</t>
  </si>
  <si>
    <t>Strategic Data Central Group Pty Limited</t>
  </si>
  <si>
    <t>Strydom, Elzanne</t>
  </si>
  <si>
    <t>Studio Payne</t>
  </si>
  <si>
    <t>Suite 113 Carspot</t>
  </si>
  <si>
    <t>SUMB Test Client 1</t>
  </si>
  <si>
    <t>SUMB Test Client 2</t>
  </si>
  <si>
    <t>Sundin Family Trust</t>
  </si>
  <si>
    <t>Sundin, Heidi</t>
  </si>
  <si>
    <t>Suo, Linyuan</t>
  </si>
  <si>
    <t>Sure Civil Services Pty Ltd</t>
  </si>
  <si>
    <t>Susan Leavold</t>
  </si>
  <si>
    <t>Susan Urry</t>
  </si>
  <si>
    <t>Sven's Island Australia Pty. Ltd.</t>
  </si>
  <si>
    <t>T.W Liao &amp; W Liao T/A Boxhill Agricultural &amp; Property Management</t>
  </si>
  <si>
    <t>Tan Family Group</t>
  </si>
  <si>
    <t>Tan, Hwang Sin</t>
  </si>
  <si>
    <t>Team CFS Promotions (J Leven &amp; M.K Leven)</t>
  </si>
  <si>
    <t>Team CFS Promotions Pty Ltd</t>
  </si>
  <si>
    <t>The Abbey Trust</t>
  </si>
  <si>
    <t>The Agenda Agency Pty Ltd</t>
  </si>
  <si>
    <t>The Asoon Group Pty Ltd</t>
  </si>
  <si>
    <t>The Berman Family Trust</t>
  </si>
  <si>
    <t>The Cowdroy Investment Trust</t>
  </si>
  <si>
    <t>The Cowdroy Superannuation Fund</t>
  </si>
  <si>
    <t>The GNIE Property Unit Trust</t>
  </si>
  <si>
    <t>The Institute of Applied Psychology</t>
  </si>
  <si>
    <t>THE INSTITUTE OF APPLIED PSYCHOLOGY PTY LTD</t>
  </si>
  <si>
    <t>The Kiwiana Trust</t>
  </si>
  <si>
    <t>The Mets Family Trust</t>
  </si>
  <si>
    <t>The North End Family Trust</t>
  </si>
  <si>
    <t>The Perekond Trust</t>
  </si>
  <si>
    <t>The Sports Factory Miranda Pty Ltd</t>
  </si>
  <si>
    <t>The Taylor Family Trust</t>
  </si>
  <si>
    <t>The Triple Gem Discretionary Trust</t>
  </si>
  <si>
    <t>The Trustee for Amirbeaggi Property Trust</t>
  </si>
  <si>
    <t>The Trustee for Angel Baby Trust</t>
  </si>
  <si>
    <t>The Trustee for Beacon Trust</t>
  </si>
  <si>
    <t xml:space="preserve">The Trustee for Belcoo Capital Trust </t>
  </si>
  <si>
    <t>The Trustee for Belshaw Family Trust</t>
  </si>
  <si>
    <t>The Trustee for Capspace Private Debt Fund</t>
  </si>
  <si>
    <t>The Trustee for Chu Kuan Lam Super Fund</t>
  </si>
  <si>
    <t>The trustee for David Eldridge Superannuation Fund</t>
  </si>
  <si>
    <t>The trustee for Ecovise Trust</t>
  </si>
  <si>
    <t>The Trustee for Emlyn Trust</t>
  </si>
  <si>
    <t>The Trustee for Ennerdale Family Trust &amp; The Trustee for the Stewart Family Mint Trust &amp; The Trustee for The Stuart-Harris Corp. Family Trust</t>
  </si>
  <si>
    <t>The Trustee for Fleetwood Family Superannuation Fund</t>
  </si>
  <si>
    <t>The Trustee For Fortiserve Trust</t>
  </si>
  <si>
    <t>The Trustee for Gutel Family Trust</t>
  </si>
  <si>
    <t>The Trustee For Home Host Unit Trust</t>
  </si>
  <si>
    <t>The Trustee for J. Leven &amp; M. Leven Trust</t>
  </si>
  <si>
    <t>The Trustee for John Camp Investment Trust</t>
  </si>
  <si>
    <t>The Trustee for Jones Family Trust</t>
  </si>
  <si>
    <t>The Trustee for Kitchen Food Company Uniy Trust</t>
  </si>
  <si>
    <t>The Trustee for Port Stephens Development Trust</t>
  </si>
  <si>
    <t>The Trustee for S McMahon Super Fund</t>
  </si>
  <si>
    <t>The Trustee for Salmon Family Trust No 2</t>
  </si>
  <si>
    <t>The Trustee for Salmon Superannuation Fund</t>
  </si>
  <si>
    <t>The Trustee for the Cawthorne Investment Trust</t>
  </si>
  <si>
    <t>The Trustee for The Eviston Family Trust</t>
  </si>
  <si>
    <t>The Trustee for the Nelson Family Trust</t>
  </si>
  <si>
    <t>The Trustee for the Salmon Family Trust</t>
  </si>
  <si>
    <t>The Trustee for the Salmon Family Trust No 2</t>
  </si>
  <si>
    <t>The Trustee for the Van Stralendorff Investment Trust</t>
  </si>
  <si>
    <t>The Trustee for The Wise Family Trust</t>
  </si>
  <si>
    <t>The Trustee for Walkerlou Superannuation Fund</t>
  </si>
  <si>
    <t>The Trustee for Wonderment Trust</t>
  </si>
  <si>
    <t>The Trustee Kentucky Family Superannuation Fund</t>
  </si>
  <si>
    <t>ThinkCaddie Pty Ltd</t>
  </si>
  <si>
    <t>Thomas McKay</t>
  </si>
  <si>
    <t>Thomas, Katharine</t>
  </si>
  <si>
    <t>Thornton, Anthony</t>
  </si>
  <si>
    <t>Tiltman, Matthew</t>
  </si>
  <si>
    <t>Tiltman, Melissa</t>
  </si>
  <si>
    <t>Timber Time Toys Pty Ltd</t>
  </si>
  <si>
    <t>TimeTarget Pty Ltd</t>
  </si>
  <si>
    <t>Timothy Jones</t>
  </si>
  <si>
    <t>Torpey Associates Pty. Ltd.</t>
  </si>
  <si>
    <t>Totalcare Dentistry</t>
  </si>
  <si>
    <t>Transfab Reinforcement Australia</t>
  </si>
  <si>
    <t>TransformationWRX Pty Limited</t>
  </si>
  <si>
    <t>Trex Family Trust</t>
  </si>
  <si>
    <t>Trudy-Anne Fleetwood</t>
  </si>
  <si>
    <t>Tsakanov, Masiiwa</t>
  </si>
  <si>
    <t>TSE Ventures Unit Trust</t>
  </si>
  <si>
    <t>Turnaround Taskmaster Pty Limited</t>
  </si>
  <si>
    <t>Tynwald Group Pty Ltd</t>
  </si>
  <si>
    <t>Ubank Security</t>
  </si>
  <si>
    <t>Udata Pty Ltd</t>
  </si>
  <si>
    <t>UK Pages Pty Ltd</t>
  </si>
  <si>
    <t>Urry, Georgina</t>
  </si>
  <si>
    <t>Urry, John</t>
  </si>
  <si>
    <t>Urry, Nicholas</t>
  </si>
  <si>
    <t>Urry, Susan</t>
  </si>
  <si>
    <t>Van Stralendorff, Marvin</t>
  </si>
  <si>
    <t>Van Stralendorff, Samantha</t>
  </si>
  <si>
    <t>Van Stralendorff, Simone</t>
  </si>
  <si>
    <t>Vantage Interactive Pty. Limited</t>
  </si>
  <si>
    <t>Verlaet, Thomas</t>
  </si>
  <si>
    <t>Vigilant.IT Resources Pty Ltd</t>
  </si>
  <si>
    <t>Visic, John</t>
  </si>
  <si>
    <t>Vively Health Pty Ltd</t>
  </si>
  <si>
    <t>Vively Healthcare Pty Ltd</t>
  </si>
  <si>
    <t>Walker, John</t>
  </si>
  <si>
    <t>Wall, Matthew</t>
  </si>
  <si>
    <t>Warnock Family Trust</t>
  </si>
  <si>
    <t>Warnock, Scott</t>
  </si>
  <si>
    <t>Waterstone Pty Limited</t>
  </si>
  <si>
    <t>Wealleans, Catherine</t>
  </si>
  <si>
    <t>White Gardening Services Pty Ltd</t>
  </si>
  <si>
    <t>White, Alexander</t>
  </si>
  <si>
    <t>Wiedemann, Martin</t>
  </si>
  <si>
    <t>Wiedemann, Silvana</t>
  </si>
  <si>
    <t>Wilkes, Courtney Gail</t>
  </si>
  <si>
    <t>WILL &amp; BEN PTY LTD</t>
  </si>
  <si>
    <t>Wilson, John</t>
  </si>
  <si>
    <t>Wise Capital Holdings Pty Ltd</t>
  </si>
  <si>
    <t>Wise, Adam</t>
  </si>
  <si>
    <t>Wise, Natalie</t>
  </si>
  <si>
    <t>Wolfe Lighting Pty. Ltd.</t>
  </si>
  <si>
    <t>Wood, Kylie</t>
  </si>
  <si>
    <t>Wright, Kelly</t>
  </si>
  <si>
    <t>Wright, Mitchell</t>
  </si>
  <si>
    <t>Wright, Prince</t>
  </si>
  <si>
    <t>Wykes, James</t>
  </si>
  <si>
    <t>Wykes, Katherine</t>
  </si>
  <si>
    <t>Xiong, Jiaqi</t>
  </si>
  <si>
    <t>XT VP1 Pty Ltd</t>
  </si>
  <si>
    <t>Yellow House Picton Pty Ltd</t>
  </si>
  <si>
    <t>Yongsiri, Amy</t>
  </si>
  <si>
    <t>Young, Barbara</t>
  </si>
  <si>
    <t>Young, Gordon</t>
  </si>
  <si>
    <t>Z &amp; D Trading Pty Ltd</t>
  </si>
  <si>
    <t>Average Capacity</t>
  </si>
  <si>
    <t>Ma Angela Ibanez,Lindsay Casero</t>
  </si>
  <si>
    <t>Rachele Anne Nicdao,Sarah Angelica Medrano</t>
  </si>
  <si>
    <t>Franz Xavier Cruz,Jimwelle Villon</t>
  </si>
  <si>
    <t>Franz Xavier Cruz,Jimwelle Villon,Sarah Angelica Medrano</t>
  </si>
  <si>
    <t>Jeric Rivera,Jennica Felipe,Rachele Anne Nicdao,Jimwelle Villon</t>
  </si>
  <si>
    <t>Jimwelle Villon,Sarah Angelica Medrano</t>
  </si>
  <si>
    <t>Princess Halili,Sarah Angelica Medrano</t>
  </si>
  <si>
    <t>Gerardo Macawile,Sarah Angelica Medrano</t>
  </si>
  <si>
    <t>Jennica Felipe,Sarah Angelica Medrano</t>
  </si>
  <si>
    <t xml:space="preserve"> T - 0.25 , W - 0.25 , F - 1.25</t>
  </si>
  <si>
    <t xml:space="preserve"> F - 1</t>
  </si>
  <si>
    <t xml:space="preserve"> W - 4</t>
  </si>
  <si>
    <t xml:space="preserve"> T - 0.5 , W - 1.5 , TH - 0.5</t>
  </si>
  <si>
    <t xml:space="preserve"> T - 1 , W - 1 , TH - 0.5</t>
  </si>
  <si>
    <t xml:space="preserve"> T - 1</t>
  </si>
  <si>
    <t xml:space="preserve"> M - 1.5 , T - 1.5 , W - 2.5 , TH - 2.5 , F - 2.5</t>
  </si>
  <si>
    <t xml:space="preserve"> M - 1.5 , T - 1.5 , W - 1.5 , TH - 1.5 , F - 1.5</t>
  </si>
  <si>
    <t xml:space="preserve"> M - 1.5 , T - 1 , W - 1.5 , TH - 1.5 , F - 2</t>
  </si>
  <si>
    <t xml:space="preserve"> M - 3 , T - 2.8 , W - 3 , TH - 2.5 , F - 2.2</t>
  </si>
  <si>
    <t xml:space="preserve"> M - 2.5 , T - 2.5 , W - 3 , TH - 2.8 , F - 2.7</t>
  </si>
  <si>
    <t xml:space="preserve"> TH - 1</t>
  </si>
  <si>
    <t xml:space="preserve"> M - 1.1 , T - 1.1 , W - 1.1 , TH - 1.1 , F - 1.1</t>
  </si>
  <si>
    <t xml:space="preserve">F -8.01 </t>
  </si>
  <si>
    <t xml:space="preserve">M -8 ,T -8 ,W -8.02 ,TH -8.01 ,F -8.01 </t>
  </si>
  <si>
    <t xml:space="preserve">M -8.01 ,T -7.97 ,W -7.99 ,TH -8 ,F -8.01 </t>
  </si>
  <si>
    <t xml:space="preserve">M -7.99 ,T -8 ,W -7.99 ,TH -7.98 ,F -8.01 </t>
  </si>
  <si>
    <t xml:space="preserve">M -8.02 ,T -8.01 ,W -8 ,TH -8.01 ,F -8 </t>
  </si>
  <si>
    <t xml:space="preserve">F -1.84 </t>
  </si>
  <si>
    <t xml:space="preserve">M -3.33 ,T -1.75 ,W -2.25 ,TH -4.42 ,F -2.75 </t>
  </si>
  <si>
    <t xml:space="preserve">M -3.16 ,T -2.33 ,W -4.05 ,TH -8.08 ,F -2.09 </t>
  </si>
  <si>
    <t xml:space="preserve">M -7.5 ,T -5.16 ,W -6.67 ,TH -6.66 ,F -5.66 </t>
  </si>
  <si>
    <t xml:space="preserve">M -6.92 ,T -6.5 ,W -8.83 ,TH -7.83 ,F -1.25 </t>
  </si>
  <si>
    <t xml:space="preserve">F -8 </t>
  </si>
  <si>
    <t xml:space="preserve">M -8.05 ,T -8.13 ,W -8.1 ,TH -8.05 ,F -8.02 </t>
  </si>
  <si>
    <t xml:space="preserve">M -8.06 ,T -8.01 ,W -8.05 ,TH -7.99 ,F -8.02 </t>
  </si>
  <si>
    <t xml:space="preserve">M -8.06 ,T -8.04 ,W -8.3 ,TH -8 ,F -8 </t>
  </si>
  <si>
    <t xml:space="preserve">M -8.05 ,T -8.06 ,W -8.11 ,TH -8.03 ,F -8 </t>
  </si>
  <si>
    <t xml:space="preserve">F -9 </t>
  </si>
  <si>
    <t xml:space="preserve">M -8 ,T -8 ,W -8 ,TH -8 ,F -9 </t>
  </si>
  <si>
    <t xml:space="preserve">M -9 ,T -8 ,W -8 ,TH -8 ,F -8 </t>
  </si>
  <si>
    <t xml:space="preserve">M -25 ,T -24 ,W -24 ,TH -24 ,F -35 </t>
  </si>
  <si>
    <t xml:space="preserve">M -8 ,T -7 ,W -8 ,TH -8 ,F -8 </t>
  </si>
  <si>
    <t xml:space="preserve">M -8 ,T -7 ,W -8 ,TH -8 ,F -7 </t>
  </si>
  <si>
    <t xml:space="preserve">M -8 ,T -8 ,W -8 ,TH -7.5 ,F -7.5 </t>
  </si>
  <si>
    <t xml:space="preserve">F -8.13 </t>
  </si>
  <si>
    <t xml:space="preserve">M -9.15 ,T -8.56 ,W -9.29 ,TH -9.09 ,F -8.26 </t>
  </si>
  <si>
    <t xml:space="preserve">M -8.19 ,T -8.2 ,W -8.09 ,TH -8.75 ,F -8.27 </t>
  </si>
  <si>
    <t xml:space="preserve">M -8 ,T -8.25 ,W -5.5 ,TH -8 ,F -8 </t>
  </si>
  <si>
    <t xml:space="preserve">M -25.34 ,T -25.01 ,W -22.88 ,TH -25.84 ,F -32.66 </t>
  </si>
  <si>
    <t xml:space="preserve">F -11.63 </t>
  </si>
  <si>
    <t xml:space="preserve">M -11 ,T -8 ,W -8 ,TH -8 ,F -9 </t>
  </si>
  <si>
    <t xml:space="preserve">M -8 ,T -8 ,W -8 ,TH -8 ,F -8 </t>
  </si>
  <si>
    <t xml:space="preserve">F -0.04 </t>
  </si>
  <si>
    <t xml:space="preserve">M -0.02 ,TH -0.02 </t>
  </si>
  <si>
    <t xml:space="preserve">M -0.02 ,T -0.04 ,W -0.02 ,TH -0.02 ,F -0.1 </t>
  </si>
  <si>
    <t xml:space="preserve">M -0.04 ,T -0.04 ,W -0.02 ,TH -0.04 ,F -0.14 </t>
  </si>
  <si>
    <t xml:space="preserve">F -1.5 </t>
  </si>
  <si>
    <t xml:space="preserve">M -1.5 ,TH -4.5 ,F -6.5 </t>
  </si>
  <si>
    <t xml:space="preserve">M -1.5 ,T -4.5 ,W -3.5 ,TH -1.5 </t>
  </si>
  <si>
    <t xml:space="preserve">M -4.5 ,T -1.5 ,W -4 ,TH -1.5 </t>
  </si>
  <si>
    <t xml:space="preserve">M -4 ,T -3 </t>
  </si>
  <si>
    <t xml:space="preserve">F -9.25 </t>
  </si>
  <si>
    <t xml:space="preserve">M -9.17 ,T -9 ,W -9.18 ,TH -9.08 ,F -9.2 </t>
  </si>
  <si>
    <t xml:space="preserve">M -9.2 ,T -9.25 ,W -9.02 ,TH -9 ,F -9 </t>
  </si>
  <si>
    <t xml:space="preserve">M -9.22 ,T -9.27 ,W -9.08 ,TH -9.08 ,F -9.18 </t>
  </si>
  <si>
    <t xml:space="preserve">M -9.2 ,T -9.25 ,W -9.08 ,TH -9 ,F -9 </t>
  </si>
  <si>
    <t xml:space="preserve">M -8.01 ,T -8 ,W -7.99 ,TH -8 ,F -8 </t>
  </si>
  <si>
    <t xml:space="preserve">M -8 ,T -8.01 ,W -8 ,TH -7.99 ,F -8 </t>
  </si>
  <si>
    <t xml:space="preserve">M -8.01 ,T -8 ,W -7.99 ,TH -8 ,F -8.01 </t>
  </si>
  <si>
    <t xml:space="preserve">M -8 ,W -5.5 ,TH -4.5 </t>
  </si>
  <si>
    <t xml:space="preserve">M -4.5 ,T -0.5 ,TH -3 </t>
  </si>
  <si>
    <t xml:space="preserve">M -4.5 ,W -1 </t>
  </si>
  <si>
    <t xml:space="preserve">M -1 ,TH -1.5 </t>
  </si>
  <si>
    <t xml:space="preserve">M -18 ,T -0.5 ,W -6.5 ,TH -9 </t>
  </si>
  <si>
    <t xml:space="preserve">M -1 ,TH -0.5 </t>
  </si>
  <si>
    <t xml:space="preserve">T -1 ,W -0.5 </t>
  </si>
  <si>
    <t xml:space="preserve">M -1 ,T -1 ,W -0.5 ,TH -0.5 </t>
  </si>
  <si>
    <t xml:space="preserve">M -8.15 ,T -8 ,W -8.01 ,TH -8 ,F -8.02 </t>
  </si>
  <si>
    <t xml:space="preserve">M -8.01 ,T -7.99 ,W -8.01 ,TH -8.13 ,F -8 </t>
  </si>
  <si>
    <t xml:space="preserve">M -8 ,T -8.01 ,W -7.99 ,TH -8.01 ,F -8.01 </t>
  </si>
  <si>
    <t xml:space="preserve">M -8.01 ,T -8.01 ,W -7.97 ,TH -8.02 ,F -8 </t>
  </si>
  <si>
    <t xml:space="preserve">F -9.82 </t>
  </si>
  <si>
    <t xml:space="preserve">M -9 ,T -9.53 ,W -9.5 ,TH -9.43 ,F -9.3 </t>
  </si>
  <si>
    <t xml:space="preserve">M -8 ,T -9.78 ,W -9.72 ,TH -9.92 ,F -9.5 </t>
  </si>
  <si>
    <t xml:space="preserve">M -9.67 ,T -9.5 ,W -8 ,TH -9.5 ,F -9.5 </t>
  </si>
  <si>
    <t xml:space="preserve">M -9.62 ,T -9.83 ,W -9.92 ,TH -8 ,F -8 </t>
  </si>
  <si>
    <t xml:space="preserve">F -7.99 </t>
  </si>
  <si>
    <t xml:space="preserve">M -8 ,T -8.01 ,W -8 ,TH -8 ,F -7.99 </t>
  </si>
  <si>
    <t xml:space="preserve">M -8 ,T -8 ,W -8 ,TH -7.99 ,F -8 </t>
  </si>
  <si>
    <t xml:space="preserve">M -8 ,T -8 ,W -8 ,TH -8.01 ,F -7.99 </t>
  </si>
  <si>
    <t xml:space="preserve">M -8 ,T -7.99 ,W -8.01 ,TH -8.01 ,F -8 </t>
  </si>
  <si>
    <t xml:space="preserve">F -8.03 </t>
  </si>
  <si>
    <t xml:space="preserve">M -8.08 ,T -7.98 ,W -7.99 ,TH -8.37 ,F -8.64 </t>
  </si>
  <si>
    <t xml:space="preserve">M -8.37 ,T -8.09 ,W -8.58 ,TH -9.08 ,F -7.99 </t>
  </si>
  <si>
    <t xml:space="preserve">M -8.82 ,T -8.45 ,W -7.99 ,TH -8 ,F -8.6 </t>
  </si>
  <si>
    <t xml:space="preserve">M -9.14 ,T -8.87 ,W -8.66 ,TH -9.18 ,F -8 </t>
  </si>
  <si>
    <t xml:space="preserve">F -7.81 </t>
  </si>
  <si>
    <t xml:space="preserve">M -8 ,T -8.4 ,W -8.03 ,TH -8.27 ,F -8 </t>
  </si>
  <si>
    <t xml:space="preserve">M -8.01 ,T -8.33 ,W -8.04 ,TH -8.08 ,F -8.04 </t>
  </si>
  <si>
    <t xml:space="preserve">M -8.13 ,T -8.01 ,W -7.89 ,TH -8.28 ,F -7.82 </t>
  </si>
  <si>
    <t xml:space="preserve">M -8.14 ,T -8.02 ,W -7.96 ,TH -8.08 ,F -7.99 </t>
  </si>
  <si>
    <t xml:space="preserve">M -8 ,T -8.15 ,W -8.07 ,TH -7.91 ,F -8.05 </t>
  </si>
  <si>
    <t xml:space="preserve">M -8.11 ,T -8.04 ,W -8.07 ,TH -7.9 ,F -8.15 </t>
  </si>
  <si>
    <t xml:space="preserve">M -8.07 ,T -7.98 ,W -8.06 ,TH -8.01 ,F -8 </t>
  </si>
  <si>
    <t xml:space="preserve">F -1.07 </t>
  </si>
  <si>
    <t xml:space="preserve">M -7.35 ,T -9.33 ,W -7.17 ,TH -7.62 </t>
  </si>
  <si>
    <t xml:space="preserve">T -7.5 ,W -8 ,TH -8 </t>
  </si>
  <si>
    <t xml:space="preserve">M -7.35 ,T -16.83 ,W -15.17 ,TH -15.62 ,F -1.07 </t>
  </si>
  <si>
    <t xml:space="preserve">M -8.32 ,T -8.73 ,W -8.27 ,TH -8.01 ,F -8.03 </t>
  </si>
  <si>
    <t xml:space="preserve">M -8 ,T -8.09 ,W -7.99 ,TH -8 ,F -8 </t>
  </si>
  <si>
    <t xml:space="preserve">M -8.01 ,T -7.99 ,W -8 ,TH -8 ,F -8 </t>
  </si>
  <si>
    <t xml:space="preserve">M -7.99 ,T -8 ,W -8 ,TH -8 ,F -8 </t>
  </si>
  <si>
    <t xml:space="preserve">F -8.83 </t>
  </si>
  <si>
    <t xml:space="preserve">M -7.7 ,T -6.67 ,W -8.35 ,TH -8.44 ,F -6.46 </t>
  </si>
  <si>
    <t xml:space="preserve">M -8.27 ,T -8.19 ,W -7.63 ,TH -8.48 ,F -7.11 </t>
  </si>
  <si>
    <t xml:space="preserve">M -6.86 ,T -8.18 ,W -7.07 ,TH -6.92 ,F -7.03 </t>
  </si>
  <si>
    <t xml:space="preserve">M -7.83 ,T -7.02 ,W -6.31 ,TH -7.16 </t>
  </si>
  <si>
    <t xml:space="preserve">M -8.07 ,T -8 ,W -7.99 ,TH -7.99 ,F -8.01 </t>
  </si>
  <si>
    <t xml:space="preserve">M -7.99 ,T -8 ,W -7.99 ,TH -8.04 ,F -8.02 </t>
  </si>
  <si>
    <t xml:space="preserve">M -8.02 ,T -8 ,W -8.01 ,TH -8.03 ,F -8.02 </t>
  </si>
  <si>
    <t xml:space="preserve">M -8 ,T -8 ,W -8 </t>
  </si>
  <si>
    <t xml:space="preserve">M -8 ,T -7.5 ,W -8 ,TH -2.83 </t>
  </si>
  <si>
    <t xml:space="preserve">M -8 ,T -8 ,W -8 ,TH -7 </t>
  </si>
  <si>
    <t xml:space="preserve">M -8 ,T -8 ,W -8 ,TH -2.17 </t>
  </si>
  <si>
    <t xml:space="preserve">M -32 ,T -31.5 ,W -32 ,TH -12 </t>
  </si>
  <si>
    <t xml:space="preserve">F -8.35 </t>
  </si>
  <si>
    <t xml:space="preserve">M -8.16 ,T -8.89 ,W -8.23 ,TH -8.06 ,F -8.09 </t>
  </si>
  <si>
    <t xml:space="preserve">M -8.12 ,T -8.09 ,W -9.17 ,TH -8.14 ,F -8 </t>
  </si>
  <si>
    <t xml:space="preserve">M -9.34 ,T -8.42 ,W -11.45 ,TH -7.98 ,F -8.93 </t>
  </si>
  <si>
    <t xml:space="preserve">M -8.7 ,T -9.74 ,W -8 ,TH -10.04 ,F -8 </t>
  </si>
  <si>
    <t xml:space="preserve">F -3.5 </t>
  </si>
  <si>
    <t xml:space="preserve">T -1.15 ,W -1.5 ,TH -2.25 </t>
  </si>
  <si>
    <t xml:space="preserve">T -1 ,F -0.75 </t>
  </si>
  <si>
    <t xml:space="preserve">T -2.15 ,W -1.5 ,TH -2.25 ,F -4.25 </t>
  </si>
  <si>
    <t xml:space="preserve">M -8.08 ,T -8.13 ,W -8.98 ,TH -8 ,F -9.16 </t>
  </si>
  <si>
    <t xml:space="preserve">M -8.87 ,T -9.26 ,W -8.58 ,TH -8.95 ,F -8 </t>
  </si>
  <si>
    <t xml:space="preserve">M -16.95 ,T -17.39 ,W -17.56 ,TH -16.95 ,F -25.29 </t>
  </si>
  <si>
    <t xml:space="preserve">F -8.06 </t>
  </si>
  <si>
    <t xml:space="preserve">M -8.02 ,T -8 ,W -8 ,TH -8.03 ,F -8.01 </t>
  </si>
  <si>
    <t xml:space="preserve">M -8 ,T -8.01 ,W -8 ,TH -8.04 ,F -8 </t>
  </si>
  <si>
    <t xml:space="preserve">M -8 ,T -8 ,W -8 ,TH -8.05 ,F -8 </t>
  </si>
  <si>
    <t xml:space="preserve">M -8.06 ,T -8 ,W -7.99 ,TH -8 ,F -8 </t>
  </si>
  <si>
    <t xml:space="preserve">M -9 ,T -9 ,W -8 ,TH -9 ,F -8 </t>
  </si>
  <si>
    <t xml:space="preserve">M -9 ,T -9 ,W -9 ,TH -9 ,F -9 </t>
  </si>
  <si>
    <t xml:space="preserve">M -9 ,T -9 ,W -9 ,TH -9 ,F -8 </t>
  </si>
  <si>
    <t xml:space="preserve">M -9 ,T -9 ,W -9 ,TH -8 ,F -8 </t>
  </si>
  <si>
    <t xml:space="preserve">F -8.07 </t>
  </si>
  <si>
    <t xml:space="preserve">M -8.12 ,T -8.01 ,W -8 ,TH -8.07 ,F -8.03 </t>
  </si>
  <si>
    <t xml:space="preserve">M -8 ,T -8 ,W -8 ,TH -8 ,F -8.02 </t>
  </si>
  <si>
    <t xml:space="preserve">M -8.17 ,T -8.11 ,W -8.07 ,TH -8.03 ,F -8.11 </t>
  </si>
  <si>
    <t xml:space="preserve">M -8.02 ,T -8.04 ,W -8.13 ,TH -8.13 ,F -8 </t>
  </si>
  <si>
    <t xml:space="preserve">F -11.37 </t>
  </si>
  <si>
    <t xml:space="preserve">M -9.6 ,T -8.21 ,W -8.53 ,TH -8.8 ,F -8 </t>
  </si>
  <si>
    <t xml:space="preserve">M -8.75 ,T -9.17 ,W -9.65 ,TH -9.68 ,F -8 </t>
  </si>
  <si>
    <t xml:space="preserve">M -8.08 ,T -8.07 ,W -9.58 ,TH -8.06 ,F -8.13 </t>
  </si>
  <si>
    <t xml:space="preserve">M -8.46 ,T -8 ,W -8.13 ,TH -8 ,F -8 </t>
  </si>
  <si>
    <t xml:space="preserve">F -10 </t>
  </si>
  <si>
    <t xml:space="preserve">M -10 ,T -10 ,W -10 ,TH -10 ,F -10 </t>
  </si>
  <si>
    <t xml:space="preserve">M -10 ,T -10 ,W -10 ,TH -10 ,F -9 </t>
  </si>
  <si>
    <t xml:space="preserve">M -10 ,T -10 ,W -10 ,TH -9 ,F -9 </t>
  </si>
  <si>
    <t xml:space="preserve">F -5 </t>
  </si>
  <si>
    <t xml:space="preserve">M -5.5 ,T -5 ,W -5.5 ,TH -5.5 ,F -5 </t>
  </si>
  <si>
    <t xml:space="preserve">M -5.5 ,T -5 ,W -5.5 ,TH -5 ,F -5.5 </t>
  </si>
  <si>
    <t xml:space="preserve">M -5 ,T -5.5 ,W -5.5 ,TH -5.5 ,F -5 </t>
  </si>
  <si>
    <t xml:space="preserve">F -6 </t>
  </si>
  <si>
    <t xml:space="preserve">M -5.7 ,T -5.52 ,W -6 ,TH -7.41 ,F -5.36 </t>
  </si>
  <si>
    <t xml:space="preserve">M -5.46 ,T -3.94 ,W -7.09 ,TH -6 ,F -7.5 </t>
  </si>
  <si>
    <t xml:space="preserve">M -5.28 ,T -6.58 ,W -5.35 ,TH -7.58 ,F -5.2 </t>
  </si>
  <si>
    <t xml:space="preserve">M -6.29 ,T -6.73 ,W -4.86 ,TH -6.12 </t>
  </si>
  <si>
    <t xml:space="preserve">F -8.32 </t>
  </si>
  <si>
    <t xml:space="preserve">M -7.98 ,T -8.13 ,W -7.95 ,TH -7.99 ,F -8 </t>
  </si>
  <si>
    <t xml:space="preserve">M -8.02 ,T -7.95 ,W -8 ,TH -8.07 ,F -8.01 </t>
  </si>
  <si>
    <t xml:space="preserve">M -7.78 ,T -8.3 ,W -7.88 ,TH -8.04 ,F -8 </t>
  </si>
  <si>
    <t xml:space="preserve">M -8.06 ,T -8.07 ,W -8.41 ,TH -8 ,F -8 </t>
  </si>
  <si>
    <t xml:space="preserve">F -8.45 </t>
  </si>
  <si>
    <t xml:space="preserve">M -9.5 ,T -8.93 ,W -9.02 ,TH -10.21 ,F -10.71 </t>
  </si>
  <si>
    <t xml:space="preserve">M -8.69 ,T -9.09 ,W -8.38 ,TH -8.54 ,F -8.97 </t>
  </si>
  <si>
    <t xml:space="preserve">M -8.83 ,T -8.93 ,W -9.04 ,TH -8.78 ,F -8.1 </t>
  </si>
  <si>
    <t xml:space="preserve">M -8.44 ,T -8.46 ,W -8.1 ,TH -9.13 ,F -8 </t>
  </si>
  <si>
    <t xml:space="preserve">F -8.15 </t>
  </si>
  <si>
    <t xml:space="preserve">M -8.38 ,T -8.3 ,W -8.41 ,TH -9.75 ,F -10.46 </t>
  </si>
  <si>
    <t xml:space="preserve">M -9.23 ,T -8.6 ,W -8.67 ,TH -9.45 ,F -8.03 </t>
  </si>
  <si>
    <t xml:space="preserve">M -9.03 ,T -9.71 ,W -8.95 ,TH -8.6 ,F -8.09 </t>
  </si>
  <si>
    <t xml:space="preserve">M -8 ,T -8.02 ,W -8.12 ,TH -8 ,F -8 </t>
  </si>
  <si>
    <t xml:space="preserve">M -8.57 ,T -10.13 ,W -8.16 ,TH -8.6 ,F -8.95 </t>
  </si>
  <si>
    <t xml:space="preserve">M -8.9 ,T -8.73 ,W -10.85 ,TH -8.78 ,F -10.17 </t>
  </si>
  <si>
    <t xml:space="preserve">M -9.59 ,T -8.13 ,W -8.7 ,TH -8.9 ,F -8.68 </t>
  </si>
  <si>
    <t xml:space="preserve">M -8.72 ,T -8.68 ,W -8.31 ,TH -8.75 ,F -8 </t>
  </si>
  <si>
    <t xml:space="preserve">M -8.01 ,T -8.03 ,W -8.01 ,TH -8.01 ,F -8.15 </t>
  </si>
  <si>
    <t xml:space="preserve">M -8 ,T -8 ,W -8 ,TH -8.01 ,F -8 </t>
  </si>
  <si>
    <t xml:space="preserve">M -8.03 ,T -8.04 ,W -8.01 ,TH -8.5 ,F -8 </t>
  </si>
  <si>
    <t xml:space="preserve">M -8.23 ,T -8.26 ,W -8.4 ,TH -8.06 ,F -8 </t>
  </si>
  <si>
    <t xml:space="preserve">F -0.17 </t>
  </si>
  <si>
    <t xml:space="preserve">W -0.1 </t>
  </si>
  <si>
    <t xml:space="preserve">TH -0.77 ,F -1.3 </t>
  </si>
  <si>
    <t xml:space="preserve">T -0.5 ,W -4.62 ,TH -1 </t>
  </si>
  <si>
    <t xml:space="preserve">M -0.58 ,T -1.12 ,W -0.59 ,TH -0.13 </t>
  </si>
  <si>
    <t xml:space="preserve">M -7.99 ,T -8.12 ,W -8.49 ,TH -7.99 ,F -8.15 </t>
  </si>
  <si>
    <t xml:space="preserve">M -8 ,T -8.03 ,W -9.41 ,TH -8.3 ,F -8.07 </t>
  </si>
  <si>
    <t xml:space="preserve">M -8.16 ,T -8.3 ,W -8.08 ,TH -8 ,F -8 </t>
  </si>
  <si>
    <t xml:space="preserve">M -8.09 ,T -8.01 ,W -8.12 ,TH -8.1 ,F -8 </t>
  </si>
  <si>
    <t xml:space="preserve">F -8.43 </t>
  </si>
  <si>
    <t xml:space="preserve">M -7.6 ,T -7.91 ,W -7.83 ,TH -7.5 ,F -7.67 </t>
  </si>
  <si>
    <t xml:space="preserve">M -7.54 ,T -8.5 ,W -7.63 ,TH -8.09 ,F -7.08 </t>
  </si>
  <si>
    <t xml:space="preserve">M -7.41 ,T -8.83 ,W -8.08 ,TH -7.83 ,F -7.16 </t>
  </si>
  <si>
    <t xml:space="preserve">M -7.58 ,T -9 ,W -8 ,TH -7.5 ,F -7.6 </t>
  </si>
  <si>
    <t xml:space="preserve">F -8.36 </t>
  </si>
  <si>
    <t xml:space="preserve">M -8 ,T -8.41 ,W -8.04 ,TH -8.12 ,F -8.08 </t>
  </si>
  <si>
    <t xml:space="preserve">M -8.98 ,T -8 ,W -9.37 ,TH -8.75 ,F -8.55 </t>
  </si>
  <si>
    <t xml:space="preserve">M -8.37 ,T -8 ,W -8 ,TH -8 ,F -8 </t>
  </si>
  <si>
    <t xml:space="preserve">F -7.97 </t>
  </si>
  <si>
    <t xml:space="preserve">M -7.7 ,T -8.5 ,W -7.6 ,TH -8.6 ,F -4.5 </t>
  </si>
  <si>
    <t xml:space="preserve">M -7.8 ,T -9.77 ,W -8 ,TH -7.02 </t>
  </si>
  <si>
    <t xml:space="preserve">M -7.6 ,T -7.6 ,W -7.6 ,TH -7.6 </t>
  </si>
  <si>
    <t xml:space="preserve">M -7.4 ,T -8.1 ,W -7.6 ,TH -8.5 </t>
  </si>
  <si>
    <t>Aileen Fajardo,Ann Morei Narag</t>
  </si>
  <si>
    <t>Aileen Fajardo,Neeti Gambhir</t>
  </si>
  <si>
    <t>Aileen Fajardo,Mary Ann Carpio</t>
  </si>
  <si>
    <t>Rejie Montemor,Christine Chiu,Franz Xavier Cruz</t>
  </si>
  <si>
    <t xml:space="preserve"> T - 0.9 , W - 1.9 , TH - 0.4 , F - 1.2</t>
  </si>
  <si>
    <t xml:space="preserve"> T - 0.9 , W - 1.4 , TH - 0.4 , F - 1.2</t>
  </si>
  <si>
    <t xml:space="preserve"> T - 0.9 , W - 1.4 , TH - 0.4</t>
  </si>
  <si>
    <t xml:space="preserve"> M - 1.5 , T - 2 , W - 2.5 , TH - 0.5 , F - 1.5</t>
  </si>
  <si>
    <t>Princess Halili,Franz Xavier Cruz,Gerardo Macawile</t>
  </si>
  <si>
    <t>Princess Halili,Aileen Fajardo,Ann Morei Narag,Christine Chiu,Efleda Reyes,Neeti Gambhir,Ma Angela Ibanez,Franz Xavier Cruz,Gerardo Macawile,Mary Ann Carpio,Jeric Rivera,Jennica Felipe,Jordan Martinez,Jimwelle Villon,Sarah Angelica Medrano</t>
  </si>
  <si>
    <t>Princess Halili,Ann Morei Narag,Irish Guia Medel</t>
  </si>
  <si>
    <t>Christine Chiu,Efleda Reyes</t>
  </si>
  <si>
    <t>Neeti Gambhir,Franz Xavier Cruz</t>
  </si>
  <si>
    <t>Neeti Gambhir,Irish Guia Medel,Franz Xavier Cruz</t>
  </si>
  <si>
    <t>Ann Morei Narag,Mary Ann Carpio</t>
  </si>
  <si>
    <t>Irish Guia Medel,Franz Xavier Cruz</t>
  </si>
  <si>
    <t>Franz Xavier Cruz,Mary Ann Carpio</t>
  </si>
  <si>
    <t>Efleda Reyes,Franz Xavier Cruz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</si>
</sst>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8" x14ac:knownFonts="1">
    <font>
      <sz val="11"/>
      <color theme="1"/>
      <name val="Calibri"/>
      <family val="2"/>
      <scheme val="minor"/>
    </font>
    <font>
      <b/>
      <sz val="11"/>
      <color theme="1"/>
      <name val="Calibri"/>
      <family val="2"/>
      <scheme val="minor"/>
    </font>
    <font>
      <sz val="11"/>
      <color rgb="FF000000"/>
      <name val="Calibri"/>
      <family val="2"/>
    </font>
    <font>
      <sz val="8"/>
      <color rgb="FF000000"/>
      <name val="Arial"/>
      <family val="2"/>
    </font>
    <font>
      <b/>
      <sz val="11"/>
      <color rgb="FF000000"/>
      <name val="Calibri"/>
      <family val="2"/>
      <scheme val="minor"/>
    </font>
    <font>
      <sz val="11"/>
      <color rgb="FF000000"/>
      <name val="Calibri"/>
      <family val="2"/>
      <scheme val="minor"/>
    </font>
    <font>
      <sz val="10"/>
      <color rgb="FF000000"/>
      <name val="Arial"/>
      <family val="2"/>
    </font>
    <font>
      <sz val="11"/>
      <color rgb="FF000000"/>
      <name val="Helvetica"/>
      <family val="2"/>
      <charset val="1"/>
    </font>
    <font>
      <u/>
      <sz val="11"/>
      <color theme="10"/>
      <name val="Calibri"/>
      <family val="2"/>
      <scheme val="minor"/>
    </font>
    <font>
      <sz val="8"/>
      <name val="Calibri"/>
      <family val="2"/>
      <scheme val="minor"/>
    </font>
    <font>
      <sz val="9"/>
      <color theme="1"/>
      <name val="Calibri"/>
      <family val="2"/>
      <scheme val="minor"/>
    </font>
    <font>
      <sz val="11"/>
      <color theme="1"/>
      <name val="Calibri"/>
      <family val="2"/>
      <scheme val="minor"/>
    </font>
    <font>
      <sz val="11"/>
      <name val="Calibri"/>
      <family val="2"/>
    </font>
    <font>
      <sz val="11"/>
      <name val="Calibri"/>
      <family val="2"/>
      <scheme val="minor"/>
    </font>
    <font>
      <b/>
      <sz val="11"/>
      <name val="Calibri"/>
      <family val="2"/>
      <scheme val="minor"/>
    </font>
    <font>
      <sz val="9"/>
      <name val="Calibri"/>
      <family val="2"/>
      <scheme val="minor"/>
    </font>
    <font>
      <sz val="10"/>
      <name val="Calibri"/>
      <family val="2"/>
      <scheme val="minor"/>
    </font>
    <font>
      <sz val="8"/>
      <name val="Arial"/>
      <family val="2"/>
    </font>
  </fonts>
  <fills count="3">
    <fill>
      <patternFill patternType="none"/>
    </fill>
    <fill>
      <patternFill patternType="gray125"/>
    </fill>
    <fill>
      <patternFill patternType="solid">
        <fgColor rgb="FF00B0F0"/>
        <bgColor indexed="64"/>
      </patternFill>
    </fill>
  </fills>
  <borders count="9">
    <border>
      <left/>
      <right/>
      <top/>
      <bottom/>
      <diagonal/>
    </border>
    <border>
      <left/>
      <right/>
      <top style="thin">
        <color rgb="FFEBEBEB"/>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8" fillId="0" borderId="0" applyNumberFormat="0" applyFill="0" applyBorder="0" applyAlignment="0" applyProtection="0"/>
    <xf numFmtId="43" fontId="11" fillId="0" borderId="0" applyFont="0" applyFill="0" applyBorder="0" applyAlignment="0" applyProtection="0"/>
  </cellStyleXfs>
  <cellXfs count="87">
    <xf numFmtId="0" fontId="0" fillId="0" borderId="0" xfId="0"/>
    <xf numFmtId="0" fontId="1" fillId="0" borderId="0" xfId="0" applyFont="1"/>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2" fillId="0" borderId="0" xfId="0" applyFont="1"/>
    <xf numFmtId="0" fontId="2"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5" fillId="0" borderId="1" xfId="0" applyFont="1" applyBorder="1"/>
    <xf numFmtId="0" fontId="6" fillId="0" borderId="0" xfId="0" applyFont="1" applyAlignment="1">
      <alignment vertical="center"/>
    </xf>
    <xf numFmtId="0" fontId="7" fillId="0" borderId="0" xfId="0" applyFont="1"/>
    <xf numFmtId="0" fontId="1" fillId="0" borderId="0" xfId="0" applyFont="1" applyAlignment="1">
      <alignment vertical="center"/>
    </xf>
    <xf numFmtId="0" fontId="0" fillId="0" borderId="0" xfId="0" applyAlignment="1">
      <alignment horizontal="left" vertical="center"/>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xf>
    <xf numFmtId="0" fontId="1" fillId="0" borderId="0" xfId="0" applyFont="1" applyAlignment="1">
      <alignment horizontal="center"/>
    </xf>
    <xf numFmtId="0" fontId="8" fillId="0" borderId="0" xfId="1"/>
    <xf numFmtId="164" fontId="0" fillId="0" borderId="0" xfId="0" applyNumberFormat="1" applyAlignment="1">
      <alignment horizontal="center"/>
    </xf>
    <xf numFmtId="164" fontId="0" fillId="0" borderId="0" xfId="0" applyNumberFormat="1"/>
    <xf numFmtId="2" fontId="0" fillId="0" borderId="0" xfId="0" applyNumberFormat="1" applyAlignment="1">
      <alignment horizontal="center"/>
    </xf>
    <xf numFmtId="15" fontId="0" fillId="0" borderId="0" xfId="0" applyNumberFormat="1"/>
    <xf numFmtId="0" fontId="0" fillId="0" borderId="0" xfId="0" pivotButton="1"/>
    <xf numFmtId="49" fontId="0" fillId="0" borderId="0" xfId="0" applyNumberFormat="1"/>
    <xf numFmtId="0" fontId="0" fillId="0" borderId="1" xfId="0" applyBorder="1"/>
    <xf numFmtId="0" fontId="7" fillId="0" borderId="1" xfId="0" applyFont="1" applyBorder="1"/>
    <xf numFmtId="0" fontId="0" fillId="0" borderId="0" xfId="0" applyAlignment="1">
      <alignment vertical="center"/>
    </xf>
    <xf numFmtId="0" fontId="1" fillId="2" borderId="2" xfId="0" applyFont="1" applyFill="1" applyBorder="1"/>
    <xf numFmtId="0" fontId="1" fillId="2" borderId="2" xfId="0" applyFont="1" applyFill="1" applyBorder="1" applyAlignment="1">
      <alignment horizontal="center"/>
    </xf>
    <xf numFmtId="0" fontId="1" fillId="2" borderId="3" xfId="0" applyFont="1" applyFill="1" applyBorder="1"/>
    <xf numFmtId="0" fontId="1" fillId="2" borderId="4" xfId="0" applyFont="1" applyFill="1" applyBorder="1" applyAlignment="1">
      <alignment horizontal="center"/>
    </xf>
    <xf numFmtId="0" fontId="1" fillId="2" borderId="4" xfId="0" applyFont="1" applyFill="1" applyBorder="1"/>
    <xf numFmtId="0" fontId="1" fillId="2" borderId="5" xfId="0" applyFont="1" applyFill="1" applyBorder="1"/>
    <xf numFmtId="2" fontId="1" fillId="2" borderId="4" xfId="0" applyNumberFormat="1"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horizontal="center" vertical="center"/>
    </xf>
    <xf numFmtId="0" fontId="1" fillId="2" borderId="3" xfId="0" applyFont="1" applyFill="1" applyBorder="1" applyAlignment="1">
      <alignment vertical="center"/>
    </xf>
    <xf numFmtId="0" fontId="1" fillId="2" borderId="4" xfId="0" applyFont="1" applyFill="1" applyBorder="1" applyAlignment="1">
      <alignment vertical="center"/>
    </xf>
    <xf numFmtId="0" fontId="0" fillId="2" borderId="4" xfId="0"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0" fillId="2" borderId="4" xfId="0" applyFill="1" applyBorder="1" applyAlignment="1">
      <alignment horizontal="center"/>
    </xf>
    <xf numFmtId="0" fontId="0" fillId="2" borderId="5" xfId="0" applyFill="1" applyBorder="1" applyAlignment="1">
      <alignment horizontal="center"/>
    </xf>
    <xf numFmtId="0" fontId="1" fillId="2" borderId="5" xfId="0" applyFont="1" applyFill="1" applyBorder="1" applyAlignment="1">
      <alignment horizontal="center"/>
    </xf>
    <xf numFmtId="0" fontId="1" fillId="2" borderId="6" xfId="0" applyFont="1" applyFill="1" applyBorder="1" applyAlignment="1">
      <alignment horizontal="center" vertical="center"/>
    </xf>
    <xf numFmtId="0" fontId="1" fillId="2" borderId="7" xfId="0" applyFont="1" applyFill="1" applyBorder="1" applyAlignment="1">
      <alignment vertical="center"/>
    </xf>
    <xf numFmtId="0" fontId="1" fillId="2" borderId="3" xfId="0" applyFont="1" applyFill="1" applyBorder="1" applyAlignment="1">
      <alignment horizontal="center" vertical="center"/>
    </xf>
    <xf numFmtId="2" fontId="0" fillId="0" borderId="0" xfId="0" applyNumberFormat="1"/>
    <xf numFmtId="0" fontId="2" fillId="0" borderId="0" xfId="0" applyFont="1" applyAlignment="1">
      <alignment horizontal="left"/>
    </xf>
    <xf numFmtId="0" fontId="1" fillId="2" borderId="4" xfId="0" applyFont="1" applyFill="1" applyBorder="1" applyAlignment="1">
      <alignment horizontal="right"/>
    </xf>
    <xf numFmtId="0" fontId="0" fillId="0" borderId="0" xfId="0" applyAlignment="1">
      <alignment horizontal="right"/>
    </xf>
    <xf numFmtId="49" fontId="1" fillId="2" borderId="5" xfId="0" applyNumberFormat="1" applyFont="1" applyFill="1" applyBorder="1"/>
    <xf numFmtId="17" fontId="0" fillId="0" borderId="0" xfId="0" applyNumberFormat="1"/>
    <xf numFmtId="20" fontId="0" fillId="0" borderId="0" xfId="0" applyNumberFormat="1"/>
    <xf numFmtId="0" fontId="1" fillId="2" borderId="8" xfId="0" applyFont="1" applyFill="1" applyBorder="1" applyAlignment="1">
      <alignment horizontal="center" vertical="center"/>
    </xf>
    <xf numFmtId="0" fontId="0" fillId="0" borderId="0" xfId="0" applyAlignment="1">
      <alignment vertical="center" wrapText="1"/>
    </xf>
    <xf numFmtId="0" fontId="1" fillId="0" borderId="0" xfId="0" applyFont="1" applyAlignment="1">
      <alignment vertical="center" wrapText="1"/>
    </xf>
    <xf numFmtId="0" fontId="10" fillId="0" borderId="0" xfId="0" applyFont="1"/>
    <xf numFmtId="2" fontId="10" fillId="0" borderId="0" xfId="0" applyNumberFormat="1" applyFont="1"/>
    <xf numFmtId="0" fontId="10" fillId="0" borderId="0" xfId="0" applyFont="1" applyAlignment="1">
      <alignment vertical="center" wrapText="1"/>
    </xf>
    <xf numFmtId="164" fontId="10" fillId="0" borderId="0" xfId="0" applyNumberFormat="1" applyFont="1" applyAlignment="1">
      <alignment vertical="center" wrapText="1"/>
    </xf>
    <xf numFmtId="0" fontId="10" fillId="0" borderId="0" xfId="0" applyFont="1" applyAlignment="1">
      <alignment vertical="center"/>
    </xf>
    <xf numFmtId="2" fontId="10" fillId="0" borderId="0" xfId="0" applyNumberFormat="1" applyFont="1" applyAlignment="1">
      <alignment vertical="center" wrapText="1"/>
    </xf>
    <xf numFmtId="43" fontId="1" fillId="0" borderId="0" xfId="2" applyFont="1" applyAlignment="1">
      <alignment vertical="center"/>
    </xf>
    <xf numFmtId="43" fontId="1" fillId="0" borderId="0" xfId="2" applyFont="1" applyAlignment="1">
      <alignment horizontal="left" vertical="center"/>
    </xf>
    <xf numFmtId="43" fontId="1" fillId="0" borderId="0" xfId="2" applyFont="1" applyAlignment="1">
      <alignment horizontal="center" vertical="center"/>
    </xf>
    <xf numFmtId="43" fontId="0" fillId="0" borderId="0" xfId="2" applyFont="1" applyAlignment="1">
      <alignment horizontal="center" vertical="center"/>
    </xf>
    <xf numFmtId="43" fontId="0" fillId="0" borderId="0" xfId="2" applyFont="1"/>
    <xf numFmtId="0" fontId="12" fillId="0" borderId="0" xfId="0" applyFont="1"/>
    <xf numFmtId="43" fontId="13" fillId="0" borderId="0" xfId="2" applyFont="1" applyFill="1" applyAlignment="1">
      <alignment horizontal="center" vertical="center"/>
    </xf>
    <xf numFmtId="43" fontId="13" fillId="0" borderId="0" xfId="2" applyFont="1" applyAlignment="1">
      <alignment horizontal="center" vertical="center"/>
    </xf>
    <xf numFmtId="0" fontId="14" fillId="0" borderId="0" xfId="0" applyFont="1" applyAlignment="1">
      <alignment vertical="center"/>
    </xf>
    <xf numFmtId="0" fontId="14" fillId="0" borderId="0" xfId="0" applyFont="1" applyAlignment="1">
      <alignment horizontal="left" vertical="center"/>
    </xf>
    <xf numFmtId="0" fontId="14" fillId="0" borderId="0" xfId="0" applyFont="1" applyAlignment="1">
      <alignment vertical="center" wrapText="1"/>
    </xf>
    <xf numFmtId="0" fontId="13" fillId="0" borderId="0" xfId="0" applyFont="1" applyAlignment="1">
      <alignment vertical="center" wrapText="1"/>
    </xf>
    <xf numFmtId="0" fontId="15" fillId="0" borderId="0" xfId="0" applyFont="1"/>
    <xf numFmtId="2" fontId="15" fillId="0" borderId="0" xfId="0" applyNumberFormat="1" applyFont="1"/>
    <xf numFmtId="0" fontId="15" fillId="0" borderId="0" xfId="0" applyFont="1" applyAlignment="1">
      <alignment vertical="center" wrapText="1"/>
    </xf>
    <xf numFmtId="2" fontId="16" fillId="0" borderId="0" xfId="0" applyNumberFormat="1" applyFont="1" applyAlignment="1">
      <alignment vertical="center" wrapText="1"/>
    </xf>
    <xf numFmtId="0" fontId="17" fillId="0" borderId="0" xfId="0" applyFont="1" applyAlignment="1">
      <alignment horizontal="left" vertical="center"/>
    </xf>
    <xf numFmtId="0" fontId="13" fillId="0" borderId="0" xfId="0" applyFont="1"/>
    <xf numFmtId="0" fontId="13" fillId="0" borderId="0" xfId="0" applyFont="1" applyAlignment="1">
      <alignment vertical="center"/>
    </xf>
    <xf numFmtId="0" fontId="2" fillId="0" borderId="0" xfId="0" applyFont="1" applyAlignment="1">
      <alignment horizontal="center"/>
    </xf>
    <xf numFmtId="0" fontId="14" fillId="0" borderId="0" xfId="0" applyFont="1"/>
  </cellXfs>
  <cellStyles count="3">
    <cellStyle name="Comma" xfId="2" builtinId="3"/>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876300</xdr:colOff>
          <xdr:row>0</xdr:row>
          <xdr:rowOff>182880</xdr:rowOff>
        </xdr:from>
        <xdr:to>
          <xdr:col>0</xdr:col>
          <xdr:colOff>2286000</xdr:colOff>
          <xdr:row>0</xdr:row>
          <xdr:rowOff>480060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ard Jon Arquiza" refreshedDate="45434.61770023148" createdVersion="8" refreshedVersion="8" minRefreshableVersion="3" recordCount="5503" xr:uid="{3C7F62B6-2CBB-4BF8-8218-9EA43EC4EBA1}">
  <cacheSource type="worksheet">
    <worksheetSource ref="A1:I1048576" sheet="TS"/>
  </cacheSource>
  <cacheFields count="9">
    <cacheField name="[Time] Date" numFmtId="0">
      <sharedItems containsNonDate="0" containsDate="1" containsString="0" containsBlank="1" minDate="2024-03-01T00:00:00" maxDate="2024-03-30T00:00:00"/>
    </cacheField>
    <cacheField name="[Staff] Name" numFmtId="0">
      <sharedItems containsBlank="1" count="50">
        <s v="Aileen Fajardo"/>
        <s v="Alison Sheer"/>
        <s v="Ann Morei Narag"/>
        <s v="Bernadette Feliciano"/>
        <s v="Carly Chant"/>
        <s v="Charm Dequito"/>
        <s v="Daniel Estoesta"/>
        <s v="Dexterous Group"/>
        <s v="Dherick Jay Paalam"/>
        <s v="Edward Jon Arquiza"/>
        <s v="Efleda Reyes"/>
        <s v="Franz Xavier Cruz"/>
        <s v="Geneline Barongan"/>
        <s v="Gerardo Macawile"/>
        <s v="Irish Guia Medel"/>
        <s v="Jennica Felipe"/>
        <s v="Jeric Rivera"/>
        <s v="Jessica Sinclair"/>
        <s v="Jimwelle Villon"/>
        <s v="Jonathan Yanga"/>
        <s v="Jordan Martinez"/>
        <s v="Jose Bien Contreras"/>
        <s v="Kate Gow"/>
        <s v="Len Mark Onanad"/>
        <s v="Lindsay Casero"/>
        <s v="Logika Sri-Rangarajan"/>
        <s v="Ma Angela Ibanez"/>
        <s v="Maria Carlos"/>
        <s v="Marie Ann Ticzon"/>
        <s v="Mark Barte"/>
        <s v="Mary Ann Carpio"/>
        <s v="Melissa Bagsic"/>
        <s v="Miguel Quizon"/>
        <s v="Neeti Gambhir"/>
        <s v="Nicole Guttmann"/>
        <s v="Princess Halili"/>
        <s v="Rachele Anne Nicdao"/>
        <s v="Ralph Jim Renia"/>
        <s v="Rejie Montemor"/>
        <s v="Rosemarie Gaile Caliwag"/>
        <s v="Samuel Hoare"/>
        <s v="Sarah Angelica Medrano"/>
        <s v="Shalini Sehgal"/>
        <s v="Sherly Oro"/>
        <s v="Sylvie Dardare"/>
        <s v="Zerradiene Egido"/>
        <s v="Elena Gildina"/>
        <s v="Emily Ear"/>
        <s v="Libby Bruderlin"/>
        <m/>
      </sharedItems>
    </cacheField>
    <cacheField name="[Task] Name + Label" numFmtId="0">
      <sharedItems containsBlank="1"/>
    </cacheField>
    <cacheField name="[Time] Time (Totalled)" numFmtId="0">
      <sharedItems containsString="0" containsBlank="1" containsNumber="1" minValue="0.02" maxValue="11"/>
    </cacheField>
    <cacheField name="[Job] Billing Details" numFmtId="0">
      <sharedItems containsBlank="1" count="125">
        <s v="Tasman Agri Pty Ltd"/>
        <s v="Unicorn Group Australia Pty Ltd"/>
        <s v="Litica Australia Pty Ltd"/>
        <s v="The Trustee for the Great Synagogue Foundation"/>
        <s v="Capspace Investments Pty Ltd"/>
        <s v="The Great Synagogue"/>
        <s v="Space Industry Association of Australia Limited"/>
        <s v="Doughboy Pizza Franchising Pty Ltd"/>
        <s v="Two By Four Cafe Pty Ltd"/>
        <s v="Moody Kiddell &amp; Partners Asset Finance Pty Ltd"/>
        <s v="Merchant Services Online Pty Ltd"/>
        <s v="Dexterous Group Pty Limited"/>
        <s v="Noumed Pharmaceuticals Pty Ltd"/>
        <s v="Simpson And Co Painting WA Pty Ltd"/>
        <s v="NordFab Pty Ltd"/>
        <s v="Alliance Electric Pty Ltd"/>
        <s v="Bellinger Asset Management Pty Limited"/>
        <s v="Capspace Funds Management Pty Ltd"/>
        <s v="The Yacht Life"/>
        <s v="Pinnacle Oporto Ulladulla Pty Ltd"/>
        <s v="Pinnacle Oporto Warrawong Pty Ltd"/>
        <s v="WJ Dental Pty Ltd"/>
        <s v="Pinnacle CJ's Nowra Pty Ltd"/>
        <s v="Romance Was Born Pty Ltd"/>
        <s v="The Trustee for Myall Street Investment Trust"/>
        <s v="Fusion Holdings (AAA) Pty Ltd"/>
        <s v="RichBox Pty Ltd"/>
        <s v="Livewire Markets Pty Ltd"/>
        <s v="Commercial Hotel Tumut"/>
        <s v="Alder Road Food Group Pty Ltd"/>
        <s v="Emma Mulholland on Holiday Pty Ltd"/>
        <s v="Food Rascal Enterprises Pty Ltd"/>
        <s v="Connected Culture Group Pty Ltd"/>
        <s v="Sydney Region Aboriginal Corporation"/>
        <s v="Prime Build Services Pty Ltd"/>
        <s v="Holdsworth Community Ltd"/>
        <s v="Ish Dental Pty Ltd"/>
        <s v="Shipley Australasia Pty Limited"/>
        <s v="Too Nice Creative Pty Ltd"/>
        <s v="Harmony Build Pty Ltd"/>
        <s v="Spaceful Pty Ltd"/>
        <s v="Fintech Equity Pty Ltd"/>
        <s v="RSVP.com.au Pty Limited"/>
        <s v="BX Pty. Limited"/>
        <s v="Luminary Mindset Pty Ltd"/>
        <s v="The Trustee for the Cowdroy Trust"/>
        <s v="Trupanion Australia Pty Ltd"/>
        <s v="RH Capital Group Pty Ltd"/>
        <s v="Defeat Diabetes Proprietary Limited"/>
        <s v="Pinnacle CJ's Warrawong Pty Ltd "/>
        <s v="Pinnacle Hospitality Group Pty Ltd"/>
        <s v="Pinnacle Oporto Wodonga Pty Ltd"/>
        <s v="Pelan Pty. Limited"/>
        <s v="The Trustee for Shebeling Trust"/>
        <s v="Sure Fire Services Pty Ltd"/>
        <s v="Superfoods Australia Pty Ltd"/>
        <s v="Dexterous Global Pty Ltd"/>
        <s v="Black Montana Pty Ltd T/A Lack of Color"/>
        <s v="Donor Republic Pty Ltd"/>
        <s v="Organic Merchant Pty Ltd"/>
        <s v="Barrack Broking Pty Ltd"/>
        <s v="One Focus Pty Ltd"/>
        <s v="Marsill Pty Ltd"/>
        <s v="MDF Group Pty Limited"/>
        <s v="Ramp Holdings Pty Ltd"/>
        <s v="Hunt Civil Pty Ltd"/>
        <s v="Starleaton Holdings Pty Ltd"/>
        <s v="Capspace Pty Ltd"/>
        <s v="JPE Invest Pty Limited ATF JPE Trust"/>
        <s v="The Cheng &amp; Lok Company Pty Ltd C/- Ashton Chace Group"/>
        <s v="ADFLMF Investments Pty Ltd"/>
        <s v="Spinning Wheel Hotel"/>
        <s v="Woolpack Hotel"/>
        <s v="Ellis eCommerce Pty Ltd"/>
        <s v="TSM (The Service Manager) Pty Ltd"/>
        <s v="Central Monitoring Services Pty. Limited"/>
        <s v="Upstage World Pty Ltd"/>
        <s v="IAM Systems Pty Ltd"/>
        <s v="Waterstone Pty. Limited"/>
        <s v="ChronicleHQ Pty Ltd"/>
        <s v="Coex Capital Pty Ltd"/>
        <s v="Angela McHugh"/>
        <s v="The Trustee for Lyndcote Family Trust"/>
        <s v="AS White Australia Pty Ltd"/>
        <s v="3Forward Pty Ltd"/>
        <s v="Speech and Learning Services Pty Ltd"/>
        <s v="Queste Pty Ltd"/>
        <s v="Affluens360 Tax &amp; Business Advisory Pty Ltd"/>
        <s v="Affluens360 Wealth Management Pty Ltd"/>
        <s v="Carbon Reduction Institute Pty Ltd"/>
        <s v="Spectrum Retail Developments Pty Ltd"/>
        <s v="Atmosphere Property Pty Ltd"/>
        <s v="Energy Vault Pty Ltd"/>
        <s v="Sack me! Pty Ltd"/>
        <s v="Dexterous Group RO"/>
        <s v="VGS Pty Ltd"/>
        <s v="Supply Crew Pty Ltd"/>
        <s v="Starleaton NZ Limited"/>
        <s v="Nephew Brand Pty Ltd"/>
        <s v="Bellinger Credit Pty Limited"/>
        <s v="RSA Industries Pty Ltd"/>
        <s v="True Alpha Ventures Pty Ltd"/>
        <s v="Chemika Pty Ltd"/>
        <s v="Pinnacle Oporto Newtown Pty Ltd"/>
        <s v="Nelson, Joshua"/>
        <s v="Triple Gem Investments Pty Limited"/>
        <s v="Earjobs NZ Limited Partnership"/>
        <s v="Energin Pty Ltd"/>
        <s v="The Search Experience Pty Ltd"/>
        <s v="A. S. White Global Pty Ltd"/>
        <s v="The Trustee for Spectrum REIT 40 Trust - Lismore Dawson"/>
        <s v="Daniel Scheuch"/>
        <s v="Kate O'Connor"/>
        <s v="Luke Franks"/>
        <s v="C.T.A.L. Investment Trust"/>
        <s v="Sensear Holdings Pty Ltd"/>
        <s v="Enigma Marketing Pty Ltd"/>
        <s v="Fourdaught Pty Ltd"/>
        <s v="Kilcran Family Trust"/>
        <s v="Kilcran, Rebecca"/>
        <s v="Kilcran, Stephen"/>
        <s v="The Fourdaught Trust"/>
        <s v="The Trustee For Ackad Family Trust"/>
        <s v="Miller, Jolynn t/a Velvet Rope Events"/>
        <m/>
      </sharedItems>
    </cacheField>
    <cacheField name="[Time] Billable" numFmtId="0">
      <sharedItems containsBlank="1"/>
    </cacheField>
    <cacheField name="[Time] Note" numFmtId="0">
      <sharedItems containsDate="1" containsBlank="1" containsMixedTypes="1" minDate="1899-12-30T01:01:00" maxDate="2023-12-02T00:00:00" longText="1"/>
    </cacheField>
    <cacheField name="[Week] Week" numFmtId="0">
      <sharedItems containsBlank="1" count="6">
        <s v="Week 1"/>
        <s v="Week 2"/>
        <s v="Week 3"/>
        <s v="Week 4"/>
        <s v="Week 5"/>
        <m/>
      </sharedItems>
    </cacheField>
    <cacheField name="[Day] Day" numFmtId="49">
      <sharedItems containsBlank="1" count="8">
        <s v="Friday"/>
        <s v="Saturday"/>
        <s v="Monday"/>
        <s v="Tuesday"/>
        <s v="Wednesday"/>
        <s v="Thursday"/>
        <s v="Sunday"/>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3">
  <r>
    <d v="2024-03-01T00:00:00"/>
    <x v="0"/>
    <s v="Bookkeeping"/>
    <n v="0.03"/>
    <x v="0"/>
    <s v="Yes"/>
    <s v="Email"/>
    <x v="0"/>
    <x v="0"/>
  </r>
  <r>
    <d v="2024-03-01T00:00:00"/>
    <x v="0"/>
    <s v="Bookkeeping"/>
    <n v="7.0000000000000007E-2"/>
    <x v="0"/>
    <s v="Yes"/>
    <s v="Email/Inbox Management"/>
    <x v="0"/>
    <x v="0"/>
  </r>
  <r>
    <d v="2024-03-01T00:00:00"/>
    <x v="0"/>
    <s v="Bookkeeping"/>
    <n v="0.08"/>
    <x v="1"/>
    <s v="Yes"/>
    <s v="Email"/>
    <x v="0"/>
    <x v="0"/>
  </r>
  <r>
    <d v="2024-03-01T00:00:00"/>
    <x v="0"/>
    <s v="Bookkeeping"/>
    <n v="0.1"/>
    <x v="1"/>
    <s v="Yes"/>
    <s v="Send RA to suppliers"/>
    <x v="0"/>
    <x v="0"/>
  </r>
  <r>
    <d v="2024-03-01T00:00:00"/>
    <x v="0"/>
    <s v="Bookkeeping"/>
    <n v="0.12"/>
    <x v="2"/>
    <s v="Yes"/>
    <s v="Bank Reconciliation"/>
    <x v="0"/>
    <x v="0"/>
  </r>
  <r>
    <d v="2024-03-01T00:00:00"/>
    <x v="0"/>
    <s v="Bookkeeping"/>
    <n v="0.12"/>
    <x v="3"/>
    <s v="Yes"/>
    <s v="Bank Reconciliation"/>
    <x v="0"/>
    <x v="0"/>
  </r>
  <r>
    <d v="2024-03-01T00:00:00"/>
    <x v="0"/>
    <s v="Bookkeeping"/>
    <n v="0.15"/>
    <x v="4"/>
    <s v="Yes"/>
    <s v="Manual Journal"/>
    <x v="0"/>
    <x v="0"/>
  </r>
  <r>
    <d v="2024-03-01T00:00:00"/>
    <x v="0"/>
    <s v="Bookkeeping"/>
    <n v="0.22"/>
    <x v="5"/>
    <s v="Yes"/>
    <s v="AP and Email/Inbox Management"/>
    <x v="0"/>
    <x v="0"/>
  </r>
  <r>
    <d v="2024-03-01T00:00:00"/>
    <x v="0"/>
    <s v="Bookkeeping"/>
    <n v="0.25"/>
    <x v="6"/>
    <s v="Yes"/>
    <s v="Bank Reconciliation"/>
    <x v="0"/>
    <x v="0"/>
  </r>
  <r>
    <d v="2024-03-01T00:00:00"/>
    <x v="0"/>
    <s v="Bookkeeping"/>
    <n v="0.32"/>
    <x v="7"/>
    <s v="Yes"/>
    <s v="Accounts Receivable"/>
    <x v="0"/>
    <x v="0"/>
  </r>
  <r>
    <d v="2024-03-01T00:00:00"/>
    <x v="0"/>
    <s v="Bookkeeping"/>
    <n v="0.38"/>
    <x v="1"/>
    <s v="Yes"/>
    <s v="Clear AP inbox and Submit bills for approval in Xero"/>
    <x v="0"/>
    <x v="0"/>
  </r>
  <r>
    <d v="2024-03-01T00:00:00"/>
    <x v="0"/>
    <s v="Bookkeeping"/>
    <n v="0.42"/>
    <x v="5"/>
    <s v="Yes"/>
    <s v="Bank Reconciliation"/>
    <x v="0"/>
    <x v="0"/>
  </r>
  <r>
    <d v="2024-03-01T00:00:00"/>
    <x v="0"/>
    <s v="Bookkeeping"/>
    <n v="0.47"/>
    <x v="8"/>
    <s v="Yes"/>
    <s v="Bank Reconciliation"/>
    <x v="0"/>
    <x v="0"/>
  </r>
  <r>
    <d v="2024-03-01T00:00:00"/>
    <x v="0"/>
    <s v="Bookkeeping"/>
    <n v="0.62"/>
    <x v="9"/>
    <s v="Yes"/>
    <s v="Enter bills in Sage"/>
    <x v="0"/>
    <x v="0"/>
  </r>
  <r>
    <d v="2024-03-01T00:00:00"/>
    <x v="0"/>
    <s v="Bookkeeping"/>
    <n v="0.72"/>
    <x v="9"/>
    <s v="Yes"/>
    <s v="AP and Email/Inbox Management"/>
    <x v="0"/>
    <x v="0"/>
  </r>
  <r>
    <d v="2024-03-01T00:00:00"/>
    <x v="0"/>
    <s v="Bookkeeping"/>
    <n v="0.8"/>
    <x v="2"/>
    <s v="Yes"/>
    <s v="AR and Bank Reconciliation"/>
    <x v="0"/>
    <x v="0"/>
  </r>
  <r>
    <d v="2024-03-01T00:00:00"/>
    <x v="0"/>
    <s v="Bookkeeping"/>
    <n v="0.88"/>
    <x v="10"/>
    <s v="Yes"/>
    <s v="Accounts Receivable"/>
    <x v="0"/>
    <x v="0"/>
  </r>
  <r>
    <d v="2024-03-01T00:00:00"/>
    <x v="0"/>
    <s v="General"/>
    <n v="0.25"/>
    <x v="11"/>
    <s v="No"/>
    <s v="Afternoon Break"/>
    <x v="0"/>
    <x v="0"/>
  </r>
  <r>
    <d v="2024-03-01T00:00:00"/>
    <x v="0"/>
    <s v="General"/>
    <n v="0.25"/>
    <x v="11"/>
    <s v="No"/>
    <s v="Morning Break"/>
    <x v="0"/>
    <x v="0"/>
  </r>
  <r>
    <d v="2024-03-01T00:00:00"/>
    <x v="0"/>
    <s v="Meetings"/>
    <n v="1.1299999999999999"/>
    <x v="11"/>
    <s v="No"/>
    <s v="Team Huddle"/>
    <x v="0"/>
    <x v="0"/>
  </r>
  <r>
    <d v="2024-03-01T00:00:00"/>
    <x v="0"/>
    <s v="Payroll Processing"/>
    <n v="0.03"/>
    <x v="2"/>
    <s v="Yes"/>
    <m/>
    <x v="0"/>
    <x v="0"/>
  </r>
  <r>
    <d v="2024-03-01T00:00:00"/>
    <x v="0"/>
    <s v="Payroll Processing"/>
    <n v="0.12"/>
    <x v="12"/>
    <s v="Yes"/>
    <m/>
    <x v="0"/>
    <x v="0"/>
  </r>
  <r>
    <d v="2024-03-01T00:00:00"/>
    <x v="0"/>
    <s v="Payroll Processing"/>
    <n v="0.13"/>
    <x v="13"/>
    <s v="Yes"/>
    <m/>
    <x v="0"/>
    <x v="0"/>
  </r>
  <r>
    <d v="2024-03-01T00:00:00"/>
    <x v="0"/>
    <s v="Payroll Processing"/>
    <n v="0.35"/>
    <x v="12"/>
    <s v="Yes"/>
    <s v="Payroll Tax"/>
    <x v="0"/>
    <x v="0"/>
  </r>
  <r>
    <d v="2024-03-01T00:00:00"/>
    <x v="1"/>
    <s v="P&amp;C Advisory - Group"/>
    <n v="0.17"/>
    <x v="14"/>
    <s v="Yes"/>
    <s v="F/up re. Seek invoices"/>
    <x v="0"/>
    <x v="0"/>
  </r>
  <r>
    <d v="2024-03-01T00:00:00"/>
    <x v="1"/>
    <s v="P&amp;C Advisory - Nederman PT"/>
    <n v="0.5"/>
    <x v="14"/>
    <s v="Yes"/>
    <s v="Weekly call"/>
    <x v="0"/>
    <x v="0"/>
  </r>
  <r>
    <d v="2024-03-01T00:00:00"/>
    <x v="1"/>
    <s v="P&amp;C Advisory - Nordfab"/>
    <n v="1.17"/>
    <x v="14"/>
    <s v="Yes"/>
    <s v="Coordinate interviews Discussion with manager re. people concerns Phone screens and coordinating interviews"/>
    <x v="0"/>
    <x v="0"/>
  </r>
  <r>
    <d v="2024-03-01T00:00:00"/>
    <x v="2"/>
    <s v="Annual Leave"/>
    <n v="8"/>
    <x v="11"/>
    <s v="No"/>
    <s v="Birthday Leave"/>
    <x v="0"/>
    <x v="0"/>
  </r>
  <r>
    <d v="2024-03-01T00:00:00"/>
    <x v="3"/>
    <s v="Annual Leave"/>
    <n v="4"/>
    <x v="11"/>
    <s v="No"/>
    <s v="Medical checkup at (St.Luke's) hospital: Ultrasound and Dr's appointment to consult about results "/>
    <x v="0"/>
    <x v="0"/>
  </r>
  <r>
    <d v="2024-03-01T00:00:00"/>
    <x v="3"/>
    <s v="Business Development"/>
    <n v="5"/>
    <x v="11"/>
    <s v="No"/>
    <s v="finalizing of flow continuation of manuals  meeting with Jordan for AP Automation Meeting with Miguel, finalize Intranet setup"/>
    <x v="0"/>
    <x v="0"/>
  </r>
  <r>
    <d v="2024-03-01T00:00:00"/>
    <x v="4"/>
    <s v="Meetings"/>
    <n v="8"/>
    <x v="11"/>
    <s v="No"/>
    <m/>
    <x v="0"/>
    <x v="0"/>
  </r>
  <r>
    <d v="2024-03-01T00:00:00"/>
    <x v="5"/>
    <s v="Bookkeeping"/>
    <n v="0.92"/>
    <x v="15"/>
    <s v="Yes"/>
    <s v="Leave reports and balances "/>
    <x v="0"/>
    <x v="0"/>
  </r>
  <r>
    <d v="2024-03-01T00:00:00"/>
    <x v="5"/>
    <s v="Bookkeeping"/>
    <n v="1.83"/>
    <x v="15"/>
    <s v="Yes"/>
    <s v="Email Management "/>
    <x v="0"/>
    <x v="0"/>
  </r>
  <r>
    <d v="2024-03-01T00:00:00"/>
    <x v="5"/>
    <s v="Bookkeeping"/>
    <n v="3.38"/>
    <x v="15"/>
    <s v="Yes"/>
    <s v="AP Processing "/>
    <x v="0"/>
    <x v="0"/>
  </r>
  <r>
    <d v="2024-03-01T00:00:00"/>
    <x v="5"/>
    <s v="Client Meeting"/>
    <n v="1"/>
    <x v="11"/>
    <s v="No"/>
    <s v="Meeting with James, AP Catch up"/>
    <x v="0"/>
    <x v="0"/>
  </r>
  <r>
    <d v="2024-03-01T00:00:00"/>
    <x v="5"/>
    <s v="Meetings"/>
    <n v="1"/>
    <x v="11"/>
    <s v="No"/>
    <s v="Team Ann Weekly Huddle"/>
    <x v="0"/>
    <x v="0"/>
  </r>
  <r>
    <d v="2024-03-01T00:00:00"/>
    <x v="6"/>
    <s v="Automations"/>
    <n v="10.88"/>
    <x v="11"/>
    <s v="No"/>
    <m/>
    <x v="0"/>
    <x v="0"/>
  </r>
  <r>
    <d v="2024-03-01T00:00:00"/>
    <x v="6"/>
    <s v="Out-of-Scope Services"/>
    <n v="0.75"/>
    <x v="16"/>
    <s v="Yes"/>
    <s v="Invoices and Bills to Pay Automation"/>
    <x v="0"/>
    <x v="0"/>
  </r>
  <r>
    <d v="2024-03-01T00:00:00"/>
    <x v="7"/>
    <s v="Budget - Monthly"/>
    <n v="0.02"/>
    <x v="17"/>
    <s v="No"/>
    <m/>
    <x v="0"/>
    <x v="0"/>
  </r>
  <r>
    <d v="2024-03-01T00:00:00"/>
    <x v="7"/>
    <s v="Budget - Monthly"/>
    <n v="0.02"/>
    <x v="18"/>
    <s v="No"/>
    <m/>
    <x v="0"/>
    <x v="0"/>
  </r>
  <r>
    <d v="2024-03-01T00:00:00"/>
    <x v="8"/>
    <s v="Automations"/>
    <n v="1.5"/>
    <x v="11"/>
    <s v="No"/>
    <s v="Run four Alliance automations + AP automation; Observed the performance of newly added feature on Simpro"/>
    <x v="0"/>
    <x v="0"/>
  </r>
  <r>
    <d v="2024-03-01T00:00:00"/>
    <x v="9"/>
    <s v="Automations"/>
    <n v="9.25"/>
    <x v="11"/>
    <s v="No"/>
    <s v="Connected Culture Report Adjustments and fixes"/>
    <x v="0"/>
    <x v="0"/>
  </r>
  <r>
    <d v="2024-03-01T00:00:00"/>
    <x v="10"/>
    <s v="Bookkeeping"/>
    <n v="0.33"/>
    <x v="19"/>
    <s v="Yes"/>
    <s v="bank recon"/>
    <x v="0"/>
    <x v="0"/>
  </r>
  <r>
    <d v="2024-03-01T00:00:00"/>
    <x v="10"/>
    <s v="Bookkeeping"/>
    <n v="0.33"/>
    <x v="20"/>
    <s v="Yes"/>
    <s v="bank recon"/>
    <x v="0"/>
    <x v="0"/>
  </r>
  <r>
    <d v="2024-03-01T00:00:00"/>
    <x v="10"/>
    <s v="Bookkeeping"/>
    <n v="0.33"/>
    <x v="21"/>
    <s v="Yes"/>
    <s v="bank recon"/>
    <x v="0"/>
    <x v="0"/>
  </r>
  <r>
    <d v="2024-03-01T00:00:00"/>
    <x v="10"/>
    <s v="Bookkeeping"/>
    <n v="2.17"/>
    <x v="22"/>
    <s v="Yes"/>
    <s v="bank recon for BAS"/>
    <x v="0"/>
    <x v="0"/>
  </r>
  <r>
    <d v="2024-03-01T00:00:00"/>
    <x v="10"/>
    <s v="Bookkeeping"/>
    <n v="3"/>
    <x v="23"/>
    <s v="Yes"/>
    <s v="Emails, loading bills, bank recon, AP payment"/>
    <x v="0"/>
    <x v="0"/>
  </r>
  <r>
    <d v="2024-03-01T00:00:00"/>
    <x v="10"/>
    <s v="General"/>
    <n v="0.5"/>
    <x v="11"/>
    <s v="No"/>
    <s v="break"/>
    <x v="0"/>
    <x v="0"/>
  </r>
  <r>
    <d v="2024-03-01T00:00:00"/>
    <x v="10"/>
    <s v="Meetings"/>
    <n v="1.17"/>
    <x v="11"/>
    <s v="No"/>
    <s v="team huddle"/>
    <x v="0"/>
    <x v="0"/>
  </r>
  <r>
    <d v="2024-03-01T00:00:00"/>
    <x v="10"/>
    <s v="Out-of-Scope Services"/>
    <n v="0.17"/>
    <x v="24"/>
    <s v="Yes"/>
    <s v="bank recon"/>
    <x v="0"/>
    <x v="0"/>
  </r>
  <r>
    <d v="2024-03-01T00:00:00"/>
    <x v="11"/>
    <s v="Bookkeeping"/>
    <n v="0.18"/>
    <x v="25"/>
    <s v="Yes"/>
    <s v="queries"/>
    <x v="0"/>
    <x v="0"/>
  </r>
  <r>
    <d v="2024-03-01T00:00:00"/>
    <x v="11"/>
    <s v="Bookkeeping"/>
    <n v="0.56999999999999995"/>
    <x v="26"/>
    <s v="Yes"/>
    <s v="bank recs review"/>
    <x v="0"/>
    <x v="0"/>
  </r>
  <r>
    <d v="2024-03-01T00:00:00"/>
    <x v="11"/>
    <s v="Bookkeeping"/>
    <n v="0.62"/>
    <x v="26"/>
    <s v="Yes"/>
    <s v="bank rec review"/>
    <x v="0"/>
    <x v="0"/>
  </r>
  <r>
    <d v="2024-03-01T00:00:00"/>
    <x v="11"/>
    <s v="General"/>
    <n v="0.32"/>
    <x v="11"/>
    <s v="No"/>
    <s v="teams queries"/>
    <x v="0"/>
    <x v="0"/>
  </r>
  <r>
    <d v="2024-03-01T00:00:00"/>
    <x v="11"/>
    <s v="General"/>
    <n v="0.35"/>
    <x v="11"/>
    <s v="No"/>
    <s v="teams queries, issues, socials"/>
    <x v="0"/>
    <x v="0"/>
  </r>
  <r>
    <d v="2024-03-01T00:00:00"/>
    <x v="11"/>
    <s v="General"/>
    <n v="0.43"/>
    <x v="11"/>
    <s v="No"/>
    <s v="teams/ queries/ socials"/>
    <x v="0"/>
    <x v="0"/>
  </r>
  <r>
    <d v="2024-03-01T00:00:00"/>
    <x v="11"/>
    <s v="General"/>
    <n v="0.5"/>
    <x v="11"/>
    <s v="No"/>
    <s v="break"/>
    <x v="0"/>
    <x v="0"/>
  </r>
  <r>
    <d v="2024-03-01T00:00:00"/>
    <x v="11"/>
    <s v="General"/>
    <n v="0.67"/>
    <x v="11"/>
    <s v="No"/>
    <s v="emails/ teams/ Sprout/ attendance/ socials"/>
    <x v="0"/>
    <x v="0"/>
  </r>
  <r>
    <d v="2024-03-01T00:00:00"/>
    <x v="11"/>
    <s v="HR/Recuitment"/>
    <n v="0.6"/>
    <x v="11"/>
    <s v="No"/>
    <s v="payroll specialist technical assessment"/>
    <x v="0"/>
    <x v="0"/>
  </r>
  <r>
    <d v="2024-03-01T00:00:00"/>
    <x v="11"/>
    <s v="Meetings"/>
    <n v="0.23"/>
    <x v="11"/>
    <s v="No"/>
    <s v="call w/ Aileen re: Tasman Agri"/>
    <x v="0"/>
    <x v="0"/>
  </r>
  <r>
    <d v="2024-03-01T00:00:00"/>
    <x v="11"/>
    <s v="Meetings"/>
    <n v="0.5"/>
    <x v="11"/>
    <s v="No"/>
    <m/>
    <x v="0"/>
    <x v="0"/>
  </r>
  <r>
    <d v="2024-03-01T00:00:00"/>
    <x v="11"/>
    <s v="Meetings"/>
    <n v="1.1499999999999999"/>
    <x v="11"/>
    <s v="No"/>
    <s v="team huddle"/>
    <x v="0"/>
    <x v="0"/>
  </r>
  <r>
    <d v="2024-03-01T00:00:00"/>
    <x v="11"/>
    <s v="Payroll Processing"/>
    <n v="0.18"/>
    <x v="12"/>
    <s v="Yes"/>
    <s v="review"/>
    <x v="0"/>
    <x v="0"/>
  </r>
  <r>
    <d v="2024-03-01T00:00:00"/>
    <x v="11"/>
    <s v="Payroll Processing"/>
    <n v="0.25"/>
    <x v="27"/>
    <s v="Yes"/>
    <s v="Pearson pay adj and emails"/>
    <x v="0"/>
    <x v="0"/>
  </r>
  <r>
    <d v="2024-03-01T00:00:00"/>
    <x v="11"/>
    <s v="Payroll Processing"/>
    <n v="0.3"/>
    <x v="27"/>
    <s v="Yes"/>
    <s v="ptax processing"/>
    <x v="0"/>
    <x v="0"/>
  </r>
  <r>
    <d v="2024-03-01T00:00:00"/>
    <x v="11"/>
    <s v="Payroll Processing"/>
    <n v="0.3"/>
    <x v="27"/>
    <s v="Yes"/>
    <s v="ptax review"/>
    <x v="0"/>
    <x v="0"/>
  </r>
  <r>
    <d v="2024-03-01T00:00:00"/>
    <x v="11"/>
    <s v="Payroll Processing"/>
    <n v="0.38"/>
    <x v="12"/>
    <s v="Yes"/>
    <s v="ptax review"/>
    <x v="0"/>
    <x v="0"/>
  </r>
  <r>
    <d v="2024-03-01T00:00:00"/>
    <x v="11"/>
    <s v="Payroll Processing"/>
    <n v="0.47"/>
    <x v="15"/>
    <s v="Yes"/>
    <s v="inbox mgmt"/>
    <x v="0"/>
    <x v="0"/>
  </r>
  <r>
    <d v="2024-03-01T00:00:00"/>
    <x v="12"/>
    <s v="Bookkeeping"/>
    <n v="0.25"/>
    <x v="15"/>
    <s v="Yes"/>
    <e v="#NAME?"/>
    <x v="0"/>
    <x v="0"/>
  </r>
  <r>
    <d v="2024-03-01T00:00:00"/>
    <x v="12"/>
    <s v="General"/>
    <n v="9.57"/>
    <x v="11"/>
    <s v="No"/>
    <s v="- ASIC - ATO - Carly LinkedIn Update - Zoho Client's details update - Finalizing and checking the schedules and venues required for the meeting next week."/>
    <x v="0"/>
    <x v="0"/>
  </r>
  <r>
    <d v="2024-03-01T00:00:00"/>
    <x v="13"/>
    <s v="Bookkeeping"/>
    <n v="0.48"/>
    <x v="28"/>
    <s v="Yes"/>
    <s v="checking of processed invoices emails"/>
    <x v="0"/>
    <x v="0"/>
  </r>
  <r>
    <d v="2024-03-01T00:00:00"/>
    <x v="13"/>
    <s v="Bookkeeping"/>
    <n v="0.7"/>
    <x v="29"/>
    <s v="Yes"/>
    <s v="bank recon emails Process ap invoices from inbox"/>
    <x v="0"/>
    <x v="0"/>
  </r>
  <r>
    <d v="2024-03-01T00:00:00"/>
    <x v="13"/>
    <s v="Bookkeeping"/>
    <n v="0.7"/>
    <x v="30"/>
    <s v="No"/>
    <s v="re-checking of outstanding invoices"/>
    <x v="0"/>
    <x v="0"/>
  </r>
  <r>
    <d v="2024-03-01T00:00:00"/>
    <x v="13"/>
    <s v="Bookkeeping"/>
    <n v="1.18"/>
    <x v="30"/>
    <s v="Yes"/>
    <s v="bank recon emails "/>
    <x v="0"/>
    <x v="0"/>
  </r>
  <r>
    <d v="2024-03-01T00:00:00"/>
    <x v="13"/>
    <s v="Bookkeeping - AP"/>
    <n v="0.6"/>
    <x v="31"/>
    <s v="Yes"/>
    <s v="ap payment report"/>
    <x v="0"/>
    <x v="0"/>
  </r>
  <r>
    <d v="2024-03-01T00:00:00"/>
    <x v="13"/>
    <s v="Bookkeeping - AP"/>
    <n v="1.33"/>
    <x v="31"/>
    <s v="Yes"/>
    <s v="export ABA files"/>
    <x v="0"/>
    <x v="0"/>
  </r>
  <r>
    <d v="2024-03-01T00:00:00"/>
    <x v="13"/>
    <s v="General"/>
    <n v="0.23"/>
    <x v="11"/>
    <s v="No"/>
    <s v="dext emails"/>
    <x v="0"/>
    <x v="0"/>
  </r>
  <r>
    <d v="2024-03-01T00:00:00"/>
    <x v="13"/>
    <s v="General"/>
    <n v="0.5"/>
    <x v="11"/>
    <s v="No"/>
    <s v="break"/>
    <x v="0"/>
    <x v="0"/>
  </r>
  <r>
    <d v="2024-03-01T00:00:00"/>
    <x v="13"/>
    <s v="General"/>
    <n v="0.62"/>
    <x v="11"/>
    <s v="No"/>
    <s v="meeting with the team (not team huddle)"/>
    <x v="0"/>
    <x v="0"/>
  </r>
  <r>
    <d v="2024-03-01T00:00:00"/>
    <x v="13"/>
    <s v="Learning &amp; Development"/>
    <n v="0.55000000000000004"/>
    <x v="11"/>
    <s v="No"/>
    <s v="reviewing of recorded hand over"/>
    <x v="0"/>
    <x v="0"/>
  </r>
  <r>
    <d v="2024-03-01T00:00:00"/>
    <x v="13"/>
    <s v="Meetings"/>
    <n v="1.1000000000000001"/>
    <x v="11"/>
    <s v="No"/>
    <s v="team huddle"/>
    <x v="0"/>
    <x v="0"/>
  </r>
  <r>
    <d v="2024-03-01T00:00:00"/>
    <x v="14"/>
    <s v="Bookkeeping"/>
    <n v="0.5"/>
    <x v="32"/>
    <s v="Yes"/>
    <s v="Bank recs, recording of invoices"/>
    <x v="0"/>
    <x v="0"/>
  </r>
  <r>
    <d v="2024-03-01T00:00:00"/>
    <x v="14"/>
    <s v="Bookkeeping"/>
    <n v="0.67"/>
    <x v="32"/>
    <s v="Yes"/>
    <s v="AR invoices, checking payments"/>
    <x v="0"/>
    <x v="0"/>
  </r>
  <r>
    <d v="2024-03-01T00:00:00"/>
    <x v="14"/>
    <s v="Bookkeeping"/>
    <n v="0.72"/>
    <x v="25"/>
    <s v="Yes"/>
    <s v="Checking LSL balances"/>
    <x v="0"/>
    <x v="0"/>
  </r>
  <r>
    <d v="2024-03-01T00:00:00"/>
    <x v="14"/>
    <s v="Client Meeting"/>
    <n v="0.33"/>
    <x v="25"/>
    <s v="Yes"/>
    <s v="Discussion about the final pay"/>
    <x v="0"/>
    <x v="0"/>
  </r>
  <r>
    <d v="2024-03-01T00:00:00"/>
    <x v="14"/>
    <s v="Client Meeting"/>
    <n v="0.56999999999999995"/>
    <x v="33"/>
    <s v="No"/>
    <s v="Weekly meeting with Shalini and Cess"/>
    <x v="0"/>
    <x v="0"/>
  </r>
  <r>
    <d v="2024-03-01T00:00:00"/>
    <x v="14"/>
    <s v="General"/>
    <n v="0.25"/>
    <x v="11"/>
    <s v="No"/>
    <s v="Checking emails, asana"/>
    <x v="0"/>
    <x v="0"/>
  </r>
  <r>
    <d v="2024-03-01T00:00:00"/>
    <x v="14"/>
    <s v="Management Reporting"/>
    <n v="0.67"/>
    <x v="32"/>
    <s v="Yes"/>
    <s v="Cashflow update"/>
    <x v="0"/>
    <x v="0"/>
  </r>
  <r>
    <d v="2024-03-01T00:00:00"/>
    <x v="14"/>
    <s v="Management Reporting"/>
    <n v="1.1299999999999999"/>
    <x v="25"/>
    <s v="Yes"/>
    <s v="Cashflow update"/>
    <x v="0"/>
    <x v="0"/>
  </r>
  <r>
    <d v="2024-03-01T00:00:00"/>
    <x v="14"/>
    <s v="Meetings"/>
    <n v="0.42"/>
    <x v="11"/>
    <s v="No"/>
    <s v="Team meeting"/>
    <x v="0"/>
    <x v="0"/>
  </r>
  <r>
    <d v="2024-03-01T00:00:00"/>
    <x v="14"/>
    <s v="Meetings"/>
    <n v="1.1000000000000001"/>
    <x v="11"/>
    <s v="No"/>
    <s v="Team Huddle"/>
    <x v="0"/>
    <x v="0"/>
  </r>
  <r>
    <d v="2024-03-01T00:00:00"/>
    <x v="14"/>
    <s v="Payroll Processing"/>
    <n v="1.67"/>
    <x v="34"/>
    <s v="Yes"/>
    <s v="Creating new folders, PAYG Rec, exporting payroll reports, checking emails"/>
    <x v="0"/>
    <x v="0"/>
  </r>
  <r>
    <d v="2024-03-01T00:00:00"/>
    <x v="15"/>
    <s v="General"/>
    <n v="1"/>
    <x v="11"/>
    <s v="No"/>
    <s v="puerto galera meeting/chat"/>
    <x v="0"/>
    <x v="0"/>
  </r>
  <r>
    <d v="2024-03-01T00:00:00"/>
    <x v="15"/>
    <s v="General"/>
    <n v="1.25"/>
    <x v="11"/>
    <s v="No"/>
    <s v="idle"/>
    <x v="0"/>
    <x v="0"/>
  </r>
  <r>
    <d v="2024-03-01T00:00:00"/>
    <x v="15"/>
    <s v="General"/>
    <n v="2.1800000000000002"/>
    <x v="11"/>
    <s v="No"/>
    <s v="emails, chat, survey questions, trainings, read articles"/>
    <x v="0"/>
    <x v="0"/>
  </r>
  <r>
    <d v="2024-03-01T00:00:00"/>
    <x v="15"/>
    <s v="General"/>
    <n v="3.38"/>
    <x v="11"/>
    <s v="No"/>
    <s v="xero certification updates, xero hq articles, idle time, XPM, check sprout attendance"/>
    <x v="0"/>
    <x v="0"/>
  </r>
  <r>
    <d v="2024-03-01T00:00:00"/>
    <x v="16"/>
    <s v="Bookkeeping"/>
    <n v="6.68"/>
    <x v="35"/>
    <s v="Yes"/>
    <m/>
    <x v="0"/>
    <x v="0"/>
  </r>
  <r>
    <d v="2024-03-01T00:00:00"/>
    <x v="16"/>
    <s v="Meetings"/>
    <n v="0.82"/>
    <x v="11"/>
    <s v="No"/>
    <s v="Team RJ"/>
    <x v="0"/>
    <x v="0"/>
  </r>
  <r>
    <d v="2024-03-01T00:00:00"/>
    <x v="16"/>
    <s v="Payroll Processing"/>
    <n v="0.5"/>
    <x v="1"/>
    <s v="Yes"/>
    <m/>
    <x v="0"/>
    <x v="0"/>
  </r>
  <r>
    <d v="2024-03-01T00:00:00"/>
    <x v="17"/>
    <s v="P&amp;C Advisory"/>
    <n v="1.07"/>
    <x v="34"/>
    <s v="Yes"/>
    <s v="Salary recommendations"/>
    <x v="0"/>
    <x v="0"/>
  </r>
  <r>
    <d v="2024-03-01T00:00:00"/>
    <x v="18"/>
    <s v="Bookkeeping"/>
    <n v="0.17"/>
    <x v="36"/>
    <s v="Yes"/>
    <m/>
    <x v="0"/>
    <x v="0"/>
  </r>
  <r>
    <d v="2024-03-01T00:00:00"/>
    <x v="18"/>
    <s v="Bookkeeping"/>
    <n v="0.17"/>
    <x v="37"/>
    <s v="Yes"/>
    <m/>
    <x v="0"/>
    <x v="0"/>
  </r>
  <r>
    <d v="2024-03-01T00:00:00"/>
    <x v="18"/>
    <s v="Bookkeeping"/>
    <n v="0.17"/>
    <x v="38"/>
    <s v="Yes"/>
    <m/>
    <x v="0"/>
    <x v="0"/>
  </r>
  <r>
    <d v="2024-03-01T00:00:00"/>
    <x v="18"/>
    <s v="Bookkeeping"/>
    <n v="0.3"/>
    <x v="27"/>
    <s v="Yes"/>
    <m/>
    <x v="0"/>
    <x v="0"/>
  </r>
  <r>
    <d v="2024-03-01T00:00:00"/>
    <x v="18"/>
    <s v="Bookkeeping"/>
    <n v="0.33"/>
    <x v="39"/>
    <s v="Yes"/>
    <s v="ap items, bank recon"/>
    <x v="0"/>
    <x v="0"/>
  </r>
  <r>
    <d v="2024-03-01T00:00:00"/>
    <x v="18"/>
    <s v="Bookkeeping"/>
    <n v="0.5"/>
    <x v="36"/>
    <s v="Yes"/>
    <s v="bank recon, ap, invisalign invoices"/>
    <x v="0"/>
    <x v="0"/>
  </r>
  <r>
    <d v="2024-03-01T00:00:00"/>
    <x v="18"/>
    <s v="Bookkeeping"/>
    <n v="0.5"/>
    <x v="40"/>
    <s v="Yes"/>
    <s v="AP Items, bank recon, email sort, email client for payroll tax &amp; month end items to finish up recon"/>
    <x v="0"/>
    <x v="0"/>
  </r>
  <r>
    <d v="2024-03-01T00:00:00"/>
    <x v="18"/>
    <s v="Bookkeeping"/>
    <n v="1.38"/>
    <x v="27"/>
    <s v="Yes"/>
    <s v="Dext Prepare items sent to client for approval, month end journals, revenue reallocation"/>
    <x v="0"/>
    <x v="0"/>
  </r>
  <r>
    <d v="2024-03-01T00:00:00"/>
    <x v="18"/>
    <s v="Bookkeeping"/>
    <n v="1.83"/>
    <x v="41"/>
    <s v="Yes"/>
    <m/>
    <x v="0"/>
    <x v="0"/>
  </r>
  <r>
    <d v="2024-03-01T00:00:00"/>
    <x v="18"/>
    <s v="Bookkeeping"/>
    <n v="1.88"/>
    <x v="27"/>
    <s v="Yes"/>
    <s v="Payroll tax, month end JE, ap items, bank recon"/>
    <x v="0"/>
    <x v="0"/>
  </r>
  <r>
    <d v="2024-03-01T00:00:00"/>
    <x v="18"/>
    <s v="Meetings"/>
    <n v="0.77"/>
    <x v="11"/>
    <s v="No"/>
    <s v="Team weekly catch-up"/>
    <x v="0"/>
    <x v="0"/>
  </r>
  <r>
    <d v="2024-03-01T00:00:00"/>
    <x v="19"/>
    <s v="Automations"/>
    <n v="8"/>
    <x v="11"/>
    <s v="No"/>
    <s v="SureFire Services Automation."/>
    <x v="0"/>
    <x v="0"/>
  </r>
  <r>
    <d v="2024-03-01T00:00:00"/>
    <x v="20"/>
    <s v="Automations"/>
    <n v="8"/>
    <x v="11"/>
    <s v="No"/>
    <m/>
    <x v="0"/>
    <x v="0"/>
  </r>
  <r>
    <d v="2024-03-01T00:00:00"/>
    <x v="21"/>
    <s v="Automations"/>
    <n v="8"/>
    <x v="11"/>
    <s v="No"/>
    <s v="Run: LOC Automation Run: AR Ageing Automation Run: Holdsworth Automation Part 2 for Cabcharge Run: Holdsworth Automation Part 1 for HCP Dev: PrimeBuild Payroll Processing Report"/>
    <x v="0"/>
    <x v="0"/>
  </r>
  <r>
    <d v="2024-03-01T00:00:00"/>
    <x v="22"/>
    <s v="Bookkeeping"/>
    <n v="0.33"/>
    <x v="26"/>
    <s v="Yes"/>
    <s v="Customer invoice summary and email to client"/>
    <x v="0"/>
    <x v="0"/>
  </r>
  <r>
    <d v="2024-03-01T00:00:00"/>
    <x v="22"/>
    <s v="Bookkeeping"/>
    <n v="0.5"/>
    <x v="42"/>
    <s v="Yes"/>
    <s v="GIC journal Load visa transactions Follow up 3H group deregistration and re-send to ATO Follow up Lucia re fixed fee Check emails and resend 2 x draft bills "/>
    <x v="0"/>
    <x v="0"/>
  </r>
  <r>
    <d v="2024-03-01T00:00:00"/>
    <x v="22"/>
    <s v="Client Admin"/>
    <n v="0.08"/>
    <x v="11"/>
    <s v="No"/>
    <s v="Follow up email to Angie"/>
    <x v="0"/>
    <x v="0"/>
  </r>
  <r>
    <d v="2024-03-01T00:00:00"/>
    <x v="22"/>
    <s v="Client Admin"/>
    <n v="0.67"/>
    <x v="11"/>
    <s v="No"/>
    <s v="Filing from Downloads folder to onedrive / client shared drives"/>
    <x v="0"/>
    <x v="0"/>
  </r>
  <r>
    <d v="2024-03-01T00:00:00"/>
    <x v="22"/>
    <s v="Client Admin"/>
    <n v="1.72"/>
    <x v="11"/>
    <s v="No"/>
    <s v="Fixed fee proposals Spectrum, Pinnacle, Nephew and QUeste Emails Eric and Tyson LIaison with Shalini re training plans and fixed fees"/>
    <x v="0"/>
    <x v="0"/>
  </r>
  <r>
    <d v="2024-03-01T00:00:00"/>
    <x v="22"/>
    <s v="Client Admin"/>
    <n v="2.23"/>
    <x v="11"/>
    <s v="No"/>
    <s v="Client contact - Queste Director call Handover tasks and CEM team announcements Messages with Shalini re traning / MNL visit"/>
    <x v="0"/>
    <x v="0"/>
  </r>
  <r>
    <d v="2024-03-01T00:00:00"/>
    <x v="22"/>
    <s v="Client Manager"/>
    <n v="0.17"/>
    <x v="43"/>
    <s v="Yes"/>
    <s v="Email to Matt re bill payment and contractors."/>
    <x v="0"/>
    <x v="0"/>
  </r>
  <r>
    <d v="2024-03-01T00:00:00"/>
    <x v="22"/>
    <s v="Client Manager"/>
    <n v="0.57999999999999996"/>
    <x v="44"/>
    <s v="Yes"/>
    <s v="Review Asana project Create spreadsheet for queries Set repeats on tasks and dates Review email Email super choice form to Kate R."/>
    <x v="0"/>
    <x v="0"/>
  </r>
  <r>
    <d v="2024-03-01T00:00:00"/>
    <x v="22"/>
    <s v="General"/>
    <n v="7.0000000000000007E-2"/>
    <x v="11"/>
    <s v="No"/>
    <s v="emails"/>
    <x v="0"/>
    <x v="0"/>
  </r>
  <r>
    <d v="2024-03-01T00:00:00"/>
    <x v="22"/>
    <s v="General"/>
    <n v="0.1"/>
    <x v="11"/>
    <s v="No"/>
    <s v="Asana tasks"/>
    <x v="0"/>
    <x v="0"/>
  </r>
  <r>
    <d v="2024-03-01T00:00:00"/>
    <x v="22"/>
    <s v="General"/>
    <n v="1.03"/>
    <x v="11"/>
    <s v="No"/>
    <s v="FF prep for Queste and Nephew Brand Review Shalini CM reivew traning IT with Mark B - Outlook issues, not sending emails"/>
    <x v="0"/>
    <x v="0"/>
  </r>
  <r>
    <d v="2024-03-01T00:00:00"/>
    <x v="22"/>
    <s v="Learning &amp; Development"/>
    <n v="0.53"/>
    <x v="11"/>
    <s v="No"/>
    <s v="Review CM / internal team handover training wht Shlaini"/>
    <x v="0"/>
    <x v="0"/>
  </r>
  <r>
    <d v="2024-03-01T00:00:00"/>
    <x v="22"/>
    <s v="Payroll Processing"/>
    <n v="0.82"/>
    <x v="34"/>
    <s v="Yes"/>
    <s v="Pay rate / oncosts reports and new meployee confirmaiton of rates / entities etc."/>
    <x v="0"/>
    <x v="0"/>
  </r>
  <r>
    <d v="2024-03-01T00:00:00"/>
    <x v="23"/>
    <s v="Client Meeting"/>
    <n v="0.08"/>
    <x v="11"/>
    <s v="No"/>
    <s v="Chat with Gen ( RE meeting )"/>
    <x v="0"/>
    <x v="0"/>
  </r>
  <r>
    <d v="2024-03-01T00:00:00"/>
    <x v="23"/>
    <s v="Client Meeting"/>
    <n v="0.08"/>
    <x v="45"/>
    <s v="No"/>
    <s v="Attending to queries and updating ASANA"/>
    <x v="0"/>
    <x v="0"/>
  </r>
  <r>
    <d v="2024-03-01T00:00:00"/>
    <x v="23"/>
    <s v="Client Meeting"/>
    <n v="0.1"/>
    <x v="11"/>
    <s v="No"/>
    <s v="Catch up with Gen and Angel ( Re: food )"/>
    <x v="0"/>
    <x v="0"/>
  </r>
  <r>
    <d v="2024-03-01T00:00:00"/>
    <x v="23"/>
    <s v="Client Meeting"/>
    <n v="0.13"/>
    <x v="46"/>
    <s v="No"/>
    <s v="Attending to queries and updating ASANA"/>
    <x v="0"/>
    <x v="0"/>
  </r>
  <r>
    <d v="2024-03-01T00:00:00"/>
    <x v="23"/>
    <s v="Client Meeting"/>
    <n v="0.23"/>
    <x v="47"/>
    <s v="No"/>
    <s v="Attending to queries and updates Xero and wps"/>
    <x v="0"/>
    <x v="0"/>
  </r>
  <r>
    <d v="2024-03-01T00:00:00"/>
    <x v="23"/>
    <s v="Client Meeting"/>
    <n v="0.53"/>
    <x v="11"/>
    <s v="No"/>
    <s v="Team Ann's meeting ( Outing )"/>
    <x v="0"/>
    <x v="0"/>
  </r>
  <r>
    <d v="2024-03-01T00:00:00"/>
    <x v="23"/>
    <s v="General"/>
    <n v="0.25"/>
    <x v="11"/>
    <s v="No"/>
    <s v="AFTERNOON Break: 15 mins coffee breaks as paid per Labor Code of the Philippines, Article 85"/>
    <x v="0"/>
    <x v="0"/>
  </r>
  <r>
    <d v="2024-03-01T00:00:00"/>
    <x v="23"/>
    <s v="General"/>
    <n v="0.25"/>
    <x v="11"/>
    <s v="No"/>
    <s v="MORNING Break: 15 mins coffee breaks as paid per Labor Code of the Philippines, Article 85."/>
    <x v="0"/>
    <x v="0"/>
  </r>
  <r>
    <d v="2024-03-01T00:00:00"/>
    <x v="23"/>
    <s v="General"/>
    <n v="0.56999999999999995"/>
    <x v="11"/>
    <s v="No"/>
    <s v="Call Manager regarding reservation and payment, Informed Gen and other Gen concern"/>
    <x v="0"/>
    <x v="0"/>
  </r>
  <r>
    <d v="2024-03-01T00:00:00"/>
    <x v="23"/>
    <s v="General"/>
    <n v="1.87"/>
    <x v="11"/>
    <s v="No"/>
    <s v="&gt;Email response &gt;Meeting with Gen ( Team Activity ) &gt;Chat with Lindsay ( Gift Item &gt;Call with TWT Manager &gt;Create list menu order &gt;Compose email and link attachment"/>
    <x v="0"/>
    <x v="0"/>
  </r>
  <r>
    <d v="2024-03-01T00:00:00"/>
    <x v="23"/>
    <s v="IAS/BAS Preparation &amp; Lodgement - Feb"/>
    <n v="0.05"/>
    <x v="48"/>
    <s v="Yes"/>
    <m/>
    <x v="0"/>
    <x v="0"/>
  </r>
  <r>
    <d v="2024-03-01T00:00:00"/>
    <x v="23"/>
    <s v="IAS/BAS Preparation &amp; Lodgement - Feb"/>
    <n v="0.05"/>
    <x v="49"/>
    <s v="Yes"/>
    <m/>
    <x v="0"/>
    <x v="0"/>
  </r>
  <r>
    <d v="2024-03-01T00:00:00"/>
    <x v="23"/>
    <s v="IAS/BAS Preparation &amp; Lodgement - Feb"/>
    <n v="0.05"/>
    <x v="49"/>
    <s v="Yes"/>
    <s v="IAS"/>
    <x v="0"/>
    <x v="0"/>
  </r>
  <r>
    <d v="2024-03-01T00:00:00"/>
    <x v="23"/>
    <s v="IAS/BAS Preparation &amp; Lodgement - Feb"/>
    <n v="0.05"/>
    <x v="50"/>
    <s v="Yes"/>
    <m/>
    <x v="0"/>
    <x v="0"/>
  </r>
  <r>
    <d v="2024-03-01T00:00:00"/>
    <x v="23"/>
    <s v="IAS/BAS Preparation &amp; Lodgement - Feb"/>
    <n v="0.05"/>
    <x v="19"/>
    <s v="Yes"/>
    <m/>
    <x v="0"/>
    <x v="0"/>
  </r>
  <r>
    <d v="2024-03-01T00:00:00"/>
    <x v="23"/>
    <s v="IAS/BAS Preparation &amp; Lodgement - Feb"/>
    <n v="0.05"/>
    <x v="19"/>
    <s v="Yes"/>
    <s v="IAS"/>
    <x v="0"/>
    <x v="0"/>
  </r>
  <r>
    <d v="2024-03-01T00:00:00"/>
    <x v="23"/>
    <s v="IAS/BAS Preparation &amp; Lodgement - Feb"/>
    <n v="0.05"/>
    <x v="51"/>
    <s v="Yes"/>
    <m/>
    <x v="0"/>
    <x v="0"/>
  </r>
  <r>
    <d v="2024-03-01T00:00:00"/>
    <x v="23"/>
    <s v="IAS/BAS Preparation &amp; Lodgement - Feb"/>
    <n v="7.0000000000000007E-2"/>
    <x v="51"/>
    <s v="Yes"/>
    <s v="IAS"/>
    <x v="0"/>
    <x v="0"/>
  </r>
  <r>
    <d v="2024-03-01T00:00:00"/>
    <x v="23"/>
    <s v="IAS/BAS Preparation &amp; Lodgement - Feb"/>
    <n v="0.08"/>
    <x v="48"/>
    <s v="Yes"/>
    <s v="IAS"/>
    <x v="0"/>
    <x v="0"/>
  </r>
  <r>
    <d v="2024-03-01T00:00:00"/>
    <x v="23"/>
    <s v="IAS/BAS Preparation &amp; Lodgement - Feb"/>
    <n v="0.12"/>
    <x v="50"/>
    <s v="Yes"/>
    <s v="IAS"/>
    <x v="0"/>
    <x v="0"/>
  </r>
  <r>
    <d v="2024-03-01T00:00:00"/>
    <x v="23"/>
    <s v="IAS/BAS Preparation &amp; Lodgement - Feb"/>
    <n v="0.12"/>
    <x v="20"/>
    <s v="Yes"/>
    <s v="IAAS"/>
    <x v="0"/>
    <x v="0"/>
  </r>
  <r>
    <d v="2024-03-01T00:00:00"/>
    <x v="23"/>
    <s v="IAS/BAS Preparation &amp; Lodgement - Oct-Dec"/>
    <n v="0.1"/>
    <x v="52"/>
    <s v="Yes"/>
    <m/>
    <x v="0"/>
    <x v="0"/>
  </r>
  <r>
    <d v="2024-03-01T00:00:00"/>
    <x v="23"/>
    <s v="IAS/BAS Preparation &amp; Lodgement - Oct-Dec"/>
    <n v="0.25"/>
    <x v="53"/>
    <s v="Yes"/>
    <m/>
    <x v="0"/>
    <x v="0"/>
  </r>
  <r>
    <d v="2024-03-01T00:00:00"/>
    <x v="23"/>
    <s v="IAS/BAS Preparation &amp; Lodgement - Oct-Dec"/>
    <n v="0.56999999999999995"/>
    <x v="52"/>
    <s v="Yes"/>
    <d v="2023-12-01T00:00:00"/>
    <x v="0"/>
    <x v="0"/>
  </r>
  <r>
    <d v="2024-03-01T00:00:00"/>
    <x v="23"/>
    <s v="Tax Admin"/>
    <n v="0.23"/>
    <x v="11"/>
    <s v="No"/>
    <s v="BAS/IAS signatory updates"/>
    <x v="0"/>
    <x v="0"/>
  </r>
  <r>
    <d v="2024-03-01T00:00:00"/>
    <x v="23"/>
    <s v="Tax Admin"/>
    <n v="1.75"/>
    <x v="11"/>
    <s v="No"/>
    <s v="ASANA updates ALl clients"/>
    <x v="0"/>
    <x v="0"/>
  </r>
  <r>
    <d v="2024-03-01T00:00:00"/>
    <x v="23"/>
    <s v="Unpaid Leave"/>
    <n v="0.27"/>
    <x v="11"/>
    <s v="No"/>
    <s v="Work late unpaid"/>
    <x v="0"/>
    <x v="0"/>
  </r>
  <r>
    <d v="2024-03-01T00:00:00"/>
    <x v="24"/>
    <s v="Bookkeeping"/>
    <n v="7.0000000000000007E-2"/>
    <x v="54"/>
    <s v="Yes"/>
    <m/>
    <x v="0"/>
    <x v="0"/>
  </r>
  <r>
    <d v="2024-03-01T00:00:00"/>
    <x v="24"/>
    <s v="Bookkeeping"/>
    <n v="0.35"/>
    <x v="55"/>
    <s v="Yes"/>
    <m/>
    <x v="0"/>
    <x v="0"/>
  </r>
  <r>
    <d v="2024-03-01T00:00:00"/>
    <x v="24"/>
    <s v="Bookkeeping"/>
    <n v="1.48"/>
    <x v="46"/>
    <s v="Yes"/>
    <m/>
    <x v="0"/>
    <x v="0"/>
  </r>
  <r>
    <d v="2024-03-01T00:00:00"/>
    <x v="24"/>
    <s v="Bookkeeping"/>
    <n v="5.4"/>
    <x v="15"/>
    <s v="Yes"/>
    <m/>
    <x v="0"/>
    <x v="0"/>
  </r>
  <r>
    <d v="2024-03-01T00:00:00"/>
    <x v="24"/>
    <s v="General"/>
    <n v="0.35"/>
    <x v="11"/>
    <s v="No"/>
    <s v="Emails"/>
    <x v="0"/>
    <x v="0"/>
  </r>
  <r>
    <d v="2024-03-01T00:00:00"/>
    <x v="24"/>
    <s v="Meetings"/>
    <n v="0.7"/>
    <x v="11"/>
    <s v="No"/>
    <s v="Team huddle"/>
    <x v="0"/>
    <x v="0"/>
  </r>
  <r>
    <d v="2024-03-01T00:00:00"/>
    <x v="25"/>
    <s v="Bookkeeping"/>
    <n v="2.5"/>
    <x v="16"/>
    <s v="Yes"/>
    <s v="BAM - Jan 24 Recs Interco schedule Tax recs"/>
    <x v="0"/>
    <x v="0"/>
  </r>
  <r>
    <d v="2024-03-01T00:00:00"/>
    <x v="25"/>
    <s v="Bookkeeping - Backlog"/>
    <n v="1"/>
    <x v="55"/>
    <s v="Yes"/>
    <s v="FY18 Sole Trader accounts"/>
    <x v="0"/>
    <x v="0"/>
  </r>
  <r>
    <d v="2024-03-01T00:00:00"/>
    <x v="26"/>
    <s v="Adhoc Support &amp; Advice"/>
    <n v="1.27"/>
    <x v="15"/>
    <s v="No"/>
    <s v="Recon"/>
    <x v="0"/>
    <x v="0"/>
  </r>
  <r>
    <d v="2024-03-01T00:00:00"/>
    <x v="26"/>
    <s v="Debt Collection"/>
    <n v="0.5"/>
    <x v="11"/>
    <s v="No"/>
    <m/>
    <x v="0"/>
    <x v="0"/>
  </r>
  <r>
    <d v="2024-03-01T00:00:00"/>
    <x v="26"/>
    <s v="Debt Collection"/>
    <n v="3"/>
    <x v="15"/>
    <s v="Yes"/>
    <m/>
    <x v="0"/>
    <x v="0"/>
  </r>
  <r>
    <d v="2024-03-01T00:00:00"/>
    <x v="26"/>
    <s v="General"/>
    <n v="0.5"/>
    <x v="11"/>
    <s v="No"/>
    <s v="Break"/>
    <x v="0"/>
    <x v="0"/>
  </r>
  <r>
    <d v="2024-03-01T00:00:00"/>
    <x v="26"/>
    <s v="General"/>
    <n v="1"/>
    <x v="56"/>
    <s v="No"/>
    <s v="Dex debtor's adhoc"/>
    <x v="0"/>
    <x v="0"/>
  </r>
  <r>
    <d v="2024-03-01T00:00:00"/>
    <x v="26"/>
    <s v="Meetings"/>
    <n v="1.73"/>
    <x v="11"/>
    <s v="No"/>
    <m/>
    <x v="0"/>
    <x v="0"/>
  </r>
  <r>
    <d v="2024-03-01T00:00:00"/>
    <x v="27"/>
    <s v="Bookkeeping"/>
    <n v="1.23"/>
    <x v="15"/>
    <s v="Yes"/>
    <s v="weekly AP meeting / review / emails"/>
    <x v="0"/>
    <x v="0"/>
  </r>
  <r>
    <d v="2024-03-01T00:00:00"/>
    <x v="27"/>
    <s v="Client Meeting"/>
    <n v="0.32"/>
    <x v="11"/>
    <s v="No"/>
    <m/>
    <x v="0"/>
    <x v="0"/>
  </r>
  <r>
    <d v="2024-03-01T00:00:00"/>
    <x v="27"/>
    <s v="Client Meeting"/>
    <n v="0.93"/>
    <x v="15"/>
    <s v="No"/>
    <s v="handover"/>
    <x v="0"/>
    <x v="0"/>
  </r>
  <r>
    <d v="2024-03-01T00:00:00"/>
    <x v="27"/>
    <s v="General"/>
    <n v="1"/>
    <x v="11"/>
    <s v="No"/>
    <s v="emails / xpm check"/>
    <x v="0"/>
    <x v="0"/>
  </r>
  <r>
    <d v="2024-03-01T00:00:00"/>
    <x v="27"/>
    <s v="General"/>
    <n v="2.25"/>
    <x v="11"/>
    <s v="No"/>
    <s v="emails / Workers Comp QLD / Payroll Tax VIC / hand over"/>
    <x v="0"/>
    <x v="0"/>
  </r>
  <r>
    <d v="2024-03-01T00:00:00"/>
    <x v="27"/>
    <s v="Management Reporting"/>
    <n v="2.4"/>
    <x v="11"/>
    <s v="No"/>
    <s v="month-end Branch / handover Ralph"/>
    <x v="0"/>
    <x v="0"/>
  </r>
  <r>
    <d v="2024-03-01T00:00:00"/>
    <x v="28"/>
    <s v="Bookkeeping"/>
    <n v="1.1299999999999999"/>
    <x v="57"/>
    <s v="Yes"/>
    <s v="Clearing Account Paypal domestic Clearing Account Paypal International Clearing Account Shopify Installment Bills raise to xero postscript transactions"/>
    <x v="0"/>
    <x v="0"/>
  </r>
  <r>
    <d v="2024-03-01T00:00:00"/>
    <x v="28"/>
    <s v="Bookkeeping"/>
    <n v="5.68"/>
    <x v="57"/>
    <s v="Yes"/>
    <s v="Email Management Bills raised to xero Bank Reconciliation Bm Checked and approving sales to a2x start Month end Task -Prepared Long Service Leave accrual and posted  -Prepared Payroll Tax Adjustment and posted -Prepared Employee summary and sent to Ursula and Natalie Pluta -update the Employee Headcount file -Update Payroll Tax workings and calculate the NSW payroll tax. -check the fixed asset and run the depreciation Bank reconciliation LOC Inc"/>
    <x v="0"/>
    <x v="0"/>
  </r>
  <r>
    <d v="2024-03-01T00:00:00"/>
    <x v="28"/>
    <s v="General"/>
    <n v="0.5"/>
    <x v="11"/>
    <s v="No"/>
    <s v="Break"/>
    <x v="0"/>
    <x v="0"/>
  </r>
  <r>
    <d v="2024-03-01T00:00:00"/>
    <x v="28"/>
    <s v="Meetings"/>
    <n v="0.75"/>
    <x v="11"/>
    <s v="No"/>
    <s v="Team Huddle"/>
    <x v="0"/>
    <x v="0"/>
  </r>
  <r>
    <d v="2024-03-01T00:00:00"/>
    <x v="29"/>
    <s v="IT"/>
    <n v="9"/>
    <x v="11"/>
    <s v="No"/>
    <s v="Support with Team"/>
    <x v="0"/>
    <x v="0"/>
  </r>
  <r>
    <d v="2024-03-01T00:00:00"/>
    <x v="30"/>
    <s v="Bookkeeping"/>
    <n v="1.1200000000000001"/>
    <x v="26"/>
    <s v="Yes"/>
    <s v="Email Management Bills Processing  Bank and Credit Card Recon "/>
    <x v="0"/>
    <x v="0"/>
  </r>
  <r>
    <d v="2024-03-01T00:00:00"/>
    <x v="30"/>
    <s v="Bookkeeping"/>
    <n v="1.43"/>
    <x v="58"/>
    <s v="Yes"/>
    <m/>
    <x v="0"/>
    <x v="0"/>
  </r>
  <r>
    <d v="2024-03-01T00:00:00"/>
    <x v="30"/>
    <s v="Bookkeeping"/>
    <n v="1.75"/>
    <x v="58"/>
    <s v="Yes"/>
    <s v="Email management Bills Processing Bank Recon  EOFY 2023"/>
    <x v="0"/>
    <x v="0"/>
  </r>
  <r>
    <d v="2024-03-01T00:00:00"/>
    <x v="30"/>
    <s v="General"/>
    <n v="0.43"/>
    <x v="11"/>
    <s v="No"/>
    <s v="Email Management Asana Task Clean up  Team Ann Weekly Huddle  Meeting with other Dext team"/>
    <x v="0"/>
    <x v="0"/>
  </r>
  <r>
    <d v="2024-03-01T00:00:00"/>
    <x v="30"/>
    <s v="General"/>
    <n v="1.7"/>
    <x v="11"/>
    <s v="No"/>
    <m/>
    <x v="0"/>
    <x v="0"/>
  </r>
  <r>
    <d v="2024-03-01T00:00:00"/>
    <x v="30"/>
    <s v="IAS/BAS Preparation &amp; Lodgement - Feb"/>
    <n v="0.2"/>
    <x v="5"/>
    <s v="Yes"/>
    <s v="Extraction of IAS and Payroll Activity Summary"/>
    <x v="0"/>
    <x v="0"/>
  </r>
  <r>
    <d v="2024-03-01T00:00:00"/>
    <x v="30"/>
    <s v="IAS/BAS Preparation &amp; Lodgement - Mar"/>
    <n v="0.27"/>
    <x v="26"/>
    <s v="Yes"/>
    <s v="extraction of IAS and Payroll Activity Summary"/>
    <x v="0"/>
    <x v="0"/>
  </r>
  <r>
    <d v="2024-03-01T00:00:00"/>
    <x v="30"/>
    <s v="Learning &amp; Development"/>
    <n v="1.17"/>
    <x v="11"/>
    <s v="No"/>
    <s v="Wyzed Training "/>
    <x v="0"/>
    <x v="0"/>
  </r>
  <r>
    <d v="2024-03-01T00:00:00"/>
    <x v="31"/>
    <s v="Accounts"/>
    <n v="0.48"/>
    <x v="11"/>
    <s v="No"/>
    <s v="Partial bank recs/coordination with Ann and Ms Con re: APE and BDO of PA Aura"/>
    <x v="0"/>
    <x v="0"/>
  </r>
  <r>
    <d v="2024-03-01T00:00:00"/>
    <x v="31"/>
    <s v="Accounts"/>
    <n v="1.43"/>
    <x v="56"/>
    <s v="No"/>
    <s v="Process all payables/coordination and request for BDO online approval."/>
    <x v="0"/>
    <x v="0"/>
  </r>
  <r>
    <d v="2024-03-01T00:00:00"/>
    <x v="31"/>
    <s v="Bookkeeping"/>
    <n v="0.82"/>
    <x v="11"/>
    <s v="No"/>
    <s v="Xero subs setup and billing based on newly subscribed accounts"/>
    <x v="0"/>
    <x v="0"/>
  </r>
  <r>
    <d v="2024-03-01T00:00:00"/>
    <x v="31"/>
    <s v="General"/>
    <n v="5.17"/>
    <x v="56"/>
    <s v="No"/>
    <s v="APE (Repeat urinalysis and consultation) - with travel in Balanga"/>
    <x v="0"/>
    <x v="0"/>
  </r>
  <r>
    <d v="2024-03-01T00:00:00"/>
    <x v="31"/>
    <s v="Meetings"/>
    <n v="0.6"/>
    <x v="56"/>
    <s v="No"/>
    <s v="Catch up with RJ"/>
    <x v="0"/>
    <x v="0"/>
  </r>
  <r>
    <d v="2024-03-01T00:00:00"/>
    <x v="31"/>
    <s v="Payroll Processing"/>
    <n v="2.87"/>
    <x v="56"/>
    <s v="No"/>
    <s v="Final pay preparation for April Rose Tortal. Coordination with Ms Con re: MP2 setup -done 29 Feb 2024"/>
    <x v="0"/>
    <x v="0"/>
  </r>
  <r>
    <d v="2024-03-01T00:00:00"/>
    <x v="32"/>
    <s v="Web"/>
    <n v="10"/>
    <x v="11"/>
    <s v="No"/>
    <s v="✅ replace the other two related insights under Payroll services page    📝 https://dexterousgroup.com.au/7-tips-to-survive-cash-flow-issues-in-the-december-january-season/     - https://dexterousgroup.com.au/wp-content/uploads/2024/01/7-tips-to-survive-cash-flow-issues-in-dec-jan-season.jpg     - 7 Tips to Survive Cash Flow Issues in the December-January Season     - 27 OCTOBER 2023     - As the year winds down and the festive season fast approaches, many businesses look forward to a well-deserved rest. However, at the same time, this period can be a nerve-wracking experience when it comes to cash flow.    📝 https://dexterousgroup.com.au/are-cash-flow-challenges-today-stunting-your-business-growth-tomorrow/     - https://dexterousgroup.com.au/wp-content/uploads/2024/01/are-cash-flow-challenges-today-stunting-your-business-growth-tomorrow.jpg     - Are cash flow challenges today stunting your business growth tomorrow?     - 28 September 2023     - As the business’ lifeblood, cash flow is what enables you to pay bills, sustain operations and proactively pursue more growth opportunities through investment    📝 10 best ways to improve cash ……(the one currently on the right)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0"/>
    <x v="0"/>
  </r>
  <r>
    <d v="2024-03-01T00:00:00"/>
    <x v="33"/>
    <s v="Bookkeeping"/>
    <n v="0.5"/>
    <x v="48"/>
    <s v="Yes"/>
    <m/>
    <x v="0"/>
    <x v="0"/>
  </r>
  <r>
    <d v="2024-03-01T00:00:00"/>
    <x v="33"/>
    <s v="Bookkeeping"/>
    <n v="0.5"/>
    <x v="59"/>
    <s v="Yes"/>
    <m/>
    <x v="0"/>
    <x v="0"/>
  </r>
  <r>
    <d v="2024-03-01T00:00:00"/>
    <x v="33"/>
    <s v="Bookkeeping"/>
    <n v="1"/>
    <x v="60"/>
    <s v="Yes"/>
    <s v="processing supplier bills and bank reco"/>
    <x v="0"/>
    <x v="0"/>
  </r>
  <r>
    <d v="2024-03-01T00:00:00"/>
    <x v="33"/>
    <s v="Bookkeeping"/>
    <n v="1.5"/>
    <x v="9"/>
    <s v="Yes"/>
    <m/>
    <x v="0"/>
    <x v="0"/>
  </r>
  <r>
    <d v="2024-03-01T00:00:00"/>
    <x v="33"/>
    <s v="IAS/BAS Preparation &amp; Lodgement - Feb"/>
    <n v="0.5"/>
    <x v="48"/>
    <s v="Yes"/>
    <m/>
    <x v="0"/>
    <x v="0"/>
  </r>
  <r>
    <d v="2024-03-01T00:00:00"/>
    <x v="33"/>
    <s v="Management Reporting"/>
    <n v="1"/>
    <x v="48"/>
    <s v="Yes"/>
    <s v="stripe reco"/>
    <x v="0"/>
    <x v="0"/>
  </r>
  <r>
    <d v="2024-03-01T00:00:00"/>
    <x v="34"/>
    <s v="Client Manager"/>
    <n v="0.25"/>
    <x v="0"/>
    <s v="Yes"/>
    <s v="Emails"/>
    <x v="0"/>
    <x v="0"/>
  </r>
  <r>
    <d v="2024-03-01T00:00:00"/>
    <x v="34"/>
    <s v="Client Manager"/>
    <n v="0.32"/>
    <x v="61"/>
    <s v="No"/>
    <s v="checking access"/>
    <x v="0"/>
    <x v="0"/>
  </r>
  <r>
    <d v="2024-03-01T00:00:00"/>
    <x v="34"/>
    <s v="Client Manager"/>
    <n v="1.7"/>
    <x v="0"/>
    <s v="No"/>
    <s v="follow up on Asana tasks"/>
    <x v="0"/>
    <x v="0"/>
  </r>
  <r>
    <d v="2024-03-01T00:00:00"/>
    <x v="34"/>
    <s v="Client Meeting"/>
    <n v="1.5"/>
    <x v="0"/>
    <s v="Yes"/>
    <s v="Meeting with Stuart month end and MtM"/>
    <x v="0"/>
    <x v="0"/>
  </r>
  <r>
    <d v="2024-03-01T00:00:00"/>
    <x v="34"/>
    <s v="General"/>
    <n v="0.23"/>
    <x v="11"/>
    <s v="No"/>
    <s v="ppt for monday"/>
    <x v="0"/>
    <x v="0"/>
  </r>
  <r>
    <d v="2024-03-01T00:00:00"/>
    <x v="34"/>
    <s v="General"/>
    <n v="2"/>
    <x v="11"/>
    <s v="No"/>
    <s v="emails, teams, Asana"/>
    <x v="0"/>
    <x v="0"/>
  </r>
  <r>
    <d v="2024-03-01T00:00:00"/>
    <x v="35"/>
    <s v="Bookkeeping"/>
    <n v="0.4"/>
    <x v="33"/>
    <s v="Yes"/>
    <s v="emails,AP, Accesspay"/>
    <x v="0"/>
    <x v="0"/>
  </r>
  <r>
    <d v="2024-03-01T00:00:00"/>
    <x v="35"/>
    <s v="Bookkeeping"/>
    <n v="0.56999999999999995"/>
    <x v="33"/>
    <s v="Yes"/>
    <s v="BR"/>
    <x v="0"/>
    <x v="0"/>
  </r>
  <r>
    <d v="2024-03-01T00:00:00"/>
    <x v="35"/>
    <s v="Bookkeeping"/>
    <n v="0.67"/>
    <x v="62"/>
    <s v="Yes"/>
    <s v="files"/>
    <x v="0"/>
    <x v="0"/>
  </r>
  <r>
    <d v="2024-03-01T00:00:00"/>
    <x v="35"/>
    <s v="Bookkeeping"/>
    <n v="0.7"/>
    <x v="33"/>
    <s v="Yes"/>
    <s v="KID"/>
    <x v="0"/>
    <x v="0"/>
  </r>
  <r>
    <d v="2024-03-01T00:00:00"/>
    <x v="35"/>
    <s v="Bookkeeping"/>
    <n v="1.6"/>
    <x v="62"/>
    <s v="Yes"/>
    <s v="BR"/>
    <x v="0"/>
    <x v="0"/>
  </r>
  <r>
    <d v="2024-03-01T00:00:00"/>
    <x v="35"/>
    <s v="Bookkeeping"/>
    <n v="1.73"/>
    <x v="33"/>
    <s v="Yes"/>
    <m/>
    <x v="0"/>
    <x v="0"/>
  </r>
  <r>
    <d v="2024-03-01T00:00:00"/>
    <x v="35"/>
    <s v="Client Manager"/>
    <n v="0.56999999999999995"/>
    <x v="33"/>
    <s v="No"/>
    <s v="Weekly catch up with Shalini"/>
    <x v="0"/>
    <x v="0"/>
  </r>
  <r>
    <d v="2024-03-01T00:00:00"/>
    <x v="35"/>
    <s v="General"/>
    <n v="0.2"/>
    <x v="11"/>
    <s v="No"/>
    <s v="check sprout attendance &amp; email request"/>
    <x v="0"/>
    <x v="0"/>
  </r>
  <r>
    <d v="2024-03-01T00:00:00"/>
    <x v="35"/>
    <s v="General"/>
    <n v="0.28000000000000003"/>
    <x v="11"/>
    <s v="No"/>
    <s v="email, asana"/>
    <x v="0"/>
    <x v="0"/>
  </r>
  <r>
    <d v="2024-03-01T00:00:00"/>
    <x v="35"/>
    <s v="General"/>
    <n v="0.28000000000000003"/>
    <x v="11"/>
    <s v="No"/>
    <s v="Marsil Dec BAS "/>
    <x v="0"/>
    <x v="0"/>
  </r>
  <r>
    <d v="2024-03-01T00:00:00"/>
    <x v="35"/>
    <s v="Meetings"/>
    <n v="1.22"/>
    <x v="11"/>
    <s v="No"/>
    <s v="Team Ann Huddle"/>
    <x v="0"/>
    <x v="0"/>
  </r>
  <r>
    <d v="2024-03-01T00:00:00"/>
    <x v="35"/>
    <s v="Payroll Processing"/>
    <n v="0.1"/>
    <x v="31"/>
    <s v="Yes"/>
    <s v="checking change in bank details"/>
    <x v="0"/>
    <x v="0"/>
  </r>
  <r>
    <d v="2024-03-01T00:00:00"/>
    <x v="36"/>
    <s v="Bookkeeping"/>
    <n v="0.28000000000000003"/>
    <x v="35"/>
    <s v="Yes"/>
    <m/>
    <x v="0"/>
    <x v="0"/>
  </r>
  <r>
    <d v="2024-03-01T00:00:00"/>
    <x v="36"/>
    <s v="Bookkeeping"/>
    <n v="1.88"/>
    <x v="16"/>
    <s v="Yes"/>
    <s v="OMS setup Meeting with Sylvie re BASS recharged and OMS "/>
    <x v="0"/>
    <x v="0"/>
  </r>
  <r>
    <d v="2024-03-01T00:00:00"/>
    <x v="36"/>
    <s v="Bookkeeping"/>
    <n v="2.4"/>
    <x v="16"/>
    <s v="Yes"/>
    <s v="OMS and cost recharged"/>
    <x v="0"/>
    <x v="0"/>
  </r>
  <r>
    <d v="2024-03-01T00:00:00"/>
    <x v="36"/>
    <s v="General"/>
    <n v="0.32"/>
    <x v="11"/>
    <s v="No"/>
    <s v="Dex emails"/>
    <x v="0"/>
    <x v="0"/>
  </r>
  <r>
    <d v="2024-03-01T00:00:00"/>
    <x v="36"/>
    <s v="Management Reporting"/>
    <n v="2.67"/>
    <x v="35"/>
    <s v="Yes"/>
    <m/>
    <x v="0"/>
    <x v="0"/>
  </r>
  <r>
    <d v="2024-03-01T00:00:00"/>
    <x v="36"/>
    <s v="Meetings"/>
    <n v="0.9"/>
    <x v="11"/>
    <s v="No"/>
    <s v="Team Ralph huddle"/>
    <x v="0"/>
    <x v="0"/>
  </r>
  <r>
    <d v="2024-03-01T00:00:00"/>
    <x v="37"/>
    <s v="General"/>
    <n v="1.23"/>
    <x v="11"/>
    <s v="No"/>
    <s v="Asana new tasks updating Handover lists review Sending handover checklist request to SS Attrition planning AU team visit planning for team Emails-admin Checking Xero bank recon daily"/>
    <x v="0"/>
    <x v="0"/>
  </r>
  <r>
    <d v="2024-03-01T00:00:00"/>
    <x v="37"/>
    <s v="General"/>
    <n v="1.88"/>
    <x v="11"/>
    <s v="No"/>
    <s v="Sprout monthly team timesheet review QB cert Capacity check Billable file check Admin-emails "/>
    <x v="0"/>
    <x v="0"/>
  </r>
  <r>
    <d v="2024-03-01T00:00:00"/>
    <x v="37"/>
    <s v="General"/>
    <n v="2.2799999999999998"/>
    <x v="11"/>
    <s v="No"/>
    <s v="Monthly updating - billable hours and billable roster  Weekly team huddle"/>
    <x v="0"/>
    <x v="0"/>
  </r>
  <r>
    <d v="2024-03-01T00:00:00"/>
    <x v="37"/>
    <s v="Meetings"/>
    <n v="0.63"/>
    <x v="11"/>
    <s v="No"/>
    <s v="Handover meeting with Mel - initial"/>
    <x v="0"/>
    <x v="0"/>
  </r>
  <r>
    <d v="2024-03-01T00:00:00"/>
    <x v="37"/>
    <s v="Meetings"/>
    <n v="2.13"/>
    <x v="11"/>
    <s v="No"/>
    <s v="Finance handover monthend-Con"/>
    <x v="0"/>
    <x v="0"/>
  </r>
  <r>
    <d v="2024-03-01T00:00:00"/>
    <x v="38"/>
    <s v="Bookkeeping"/>
    <n v="5.05"/>
    <x v="15"/>
    <s v="Yes"/>
    <m/>
    <x v="0"/>
    <x v="0"/>
  </r>
  <r>
    <d v="2024-03-01T00:00:00"/>
    <x v="38"/>
    <s v="Client Meeting"/>
    <n v="0.56999999999999995"/>
    <x v="15"/>
    <s v="Yes"/>
    <s v="Weekly catch up"/>
    <x v="0"/>
    <x v="0"/>
  </r>
  <r>
    <d v="2024-03-01T00:00:00"/>
    <x v="38"/>
    <s v="Meetings"/>
    <n v="1.02"/>
    <x v="11"/>
    <s v="No"/>
    <s v="ASI Dashboard - Meeting with Con and Sherly"/>
    <x v="0"/>
    <x v="0"/>
  </r>
  <r>
    <d v="2024-03-01T00:00:00"/>
    <x v="38"/>
    <s v="Meetings"/>
    <n v="1.68"/>
    <x v="11"/>
    <s v="No"/>
    <s v="weekly huddle and  meeting with Dexterous team"/>
    <x v="0"/>
    <x v="0"/>
  </r>
  <r>
    <d v="2024-03-01T00:00:00"/>
    <x v="39"/>
    <s v="Annual Leave"/>
    <n v="8"/>
    <x v="11"/>
    <s v="No"/>
    <m/>
    <x v="0"/>
    <x v="0"/>
  </r>
  <r>
    <d v="2024-03-01T00:00:00"/>
    <x v="40"/>
    <s v="Tax Admin"/>
    <n v="0.17"/>
    <x v="11"/>
    <s v="Yes"/>
    <s v="Check Kate email re cancellation of GST grouping for RSVP and related portal issues and respond"/>
    <x v="0"/>
    <x v="0"/>
  </r>
  <r>
    <d v="2024-03-01T00:00:00"/>
    <x v="41"/>
    <s v="General"/>
    <n v="0.5"/>
    <x v="11"/>
    <s v="No"/>
    <s v="Paid break"/>
    <x v="0"/>
    <x v="0"/>
  </r>
  <r>
    <d v="2024-03-01T00:00:00"/>
    <x v="41"/>
    <s v="Meetings"/>
    <n v="0.75"/>
    <x v="11"/>
    <s v="No"/>
    <s v="Team RJ huddle"/>
    <x v="0"/>
    <x v="0"/>
  </r>
  <r>
    <d v="2024-03-01T00:00:00"/>
    <x v="41"/>
    <s v="Payroll Processing"/>
    <n v="0.87"/>
    <x v="63"/>
    <s v="Yes"/>
    <s v="Export reports for payroll tax and superannuation"/>
    <x v="0"/>
    <x v="0"/>
  </r>
  <r>
    <d v="2024-03-01T00:00:00"/>
    <x v="41"/>
    <s v="Payroll Processing"/>
    <n v="1.33"/>
    <x v="63"/>
    <s v="Yes"/>
    <s v="Process and send out payslip"/>
    <x v="0"/>
    <x v="0"/>
  </r>
  <r>
    <d v="2024-03-01T00:00:00"/>
    <x v="41"/>
    <s v="Payroll Processing"/>
    <n v="1.83"/>
    <x v="64"/>
    <s v="Yes"/>
    <s v="Payroll tax"/>
    <x v="0"/>
    <x v="0"/>
  </r>
  <r>
    <d v="2024-03-01T00:00:00"/>
    <x v="41"/>
    <s v="Payroll Processing"/>
    <n v="2.75"/>
    <x v="63"/>
    <s v="Yes"/>
    <s v="Adjustments in payroll"/>
    <x v="0"/>
    <x v="0"/>
  </r>
  <r>
    <d v="2024-03-01T00:00:00"/>
    <x v="42"/>
    <s v="Client Manager"/>
    <n v="0.75"/>
    <x v="33"/>
    <s v="Yes"/>
    <s v="Weekly meeting. Review email re payroll for an employee, plan for follow ups etc"/>
    <x v="0"/>
    <x v="0"/>
  </r>
  <r>
    <d v="2024-03-01T00:00:00"/>
    <x v="42"/>
    <s v="Client Manager"/>
    <n v="1"/>
    <x v="36"/>
    <s v="Yes"/>
    <s v="Follow up with Sarah re BOQ requirements, email Nexia and Ish. Follow up with Adriaan re further confirmations"/>
    <x v="0"/>
    <x v="0"/>
  </r>
  <r>
    <d v="2024-03-01T00:00:00"/>
    <x v="42"/>
    <s v="General"/>
    <n v="0.5"/>
    <x v="11"/>
    <s v="No"/>
    <s v="The Cheng &amp; Lok Company: Note, client not setup in XPM yet. Need to move hours once setup as this is billable work  Send email to Lewie re appointing as tax agent with instructions. Request for information to prepare BAS and seek confirmation. Liaise with Carly re briefing"/>
    <x v="0"/>
    <x v="0"/>
  </r>
  <r>
    <d v="2024-03-01T00:00:00"/>
    <x v="42"/>
    <s v="General"/>
    <n v="1.5"/>
    <x v="11"/>
    <s v="No"/>
    <s v="Phone call with MDF re invoice and Ezidebit, update Mel, Rob's emails, catch-up with Kate/Ali, monthly invoices"/>
    <x v="0"/>
    <x v="0"/>
  </r>
  <r>
    <d v="2024-03-01T00:00:00"/>
    <x v="42"/>
    <s v="IAS/BAS Preparation &amp; Lodgement - Feb"/>
    <n v="0.17"/>
    <x v="48"/>
    <s v="Yes"/>
    <s v="Feb 2024 IAS review &amp; lodgement"/>
    <x v="0"/>
    <x v="0"/>
  </r>
  <r>
    <d v="2024-03-01T00:00:00"/>
    <x v="42"/>
    <s v="IAS/BAS Preparation &amp; Lodgement - Feb"/>
    <n v="0.17"/>
    <x v="49"/>
    <s v="Yes"/>
    <s v="Feb 2024 IAS review &amp; lodgement"/>
    <x v="0"/>
    <x v="0"/>
  </r>
  <r>
    <d v="2024-03-01T00:00:00"/>
    <x v="42"/>
    <s v="IAS/BAS Preparation &amp; Lodgement - Feb"/>
    <n v="0.17"/>
    <x v="50"/>
    <s v="Yes"/>
    <s v="Feb 2024 IAS review &amp; lodgement"/>
    <x v="0"/>
    <x v="0"/>
  </r>
  <r>
    <d v="2024-03-01T00:00:00"/>
    <x v="42"/>
    <s v="IAS/BAS Preparation &amp; Lodgement - Feb"/>
    <n v="0.17"/>
    <x v="19"/>
    <s v="Yes"/>
    <s v="Feb 2024 IAS review &amp; lodgement"/>
    <x v="0"/>
    <x v="0"/>
  </r>
  <r>
    <d v="2024-03-01T00:00:00"/>
    <x v="42"/>
    <s v="IAS/BAS Preparation &amp; Lodgement - Feb"/>
    <n v="0.17"/>
    <x v="20"/>
    <s v="Yes"/>
    <s v="Feb 2024 IAS review &amp; lodgement"/>
    <x v="0"/>
    <x v="0"/>
  </r>
  <r>
    <d v="2024-03-01T00:00:00"/>
    <x v="42"/>
    <s v="IAS/BAS Preparation &amp; Lodgement - Feb"/>
    <n v="0.17"/>
    <x v="51"/>
    <s v="Yes"/>
    <s v="Feb 2024 IAS review &amp; lodgement"/>
    <x v="0"/>
    <x v="0"/>
  </r>
  <r>
    <d v="2024-03-01T00:00:00"/>
    <x v="42"/>
    <s v="IAS/BAS Preparation &amp; Lodgement - Oct-Dec"/>
    <n v="0.33"/>
    <x v="65"/>
    <s v="Yes"/>
    <s v="Dec 2023 quarter BAS review and lodgement"/>
    <x v="0"/>
    <x v="0"/>
  </r>
  <r>
    <d v="2024-03-01T00:00:00"/>
    <x v="42"/>
    <s v="IAS/BAS Preparation &amp; Lodgement - Oct-Dec"/>
    <n v="0.33"/>
    <x v="52"/>
    <s v="Yes"/>
    <s v="Dec 2023 quarter ABS review &amp; lodgement"/>
    <x v="0"/>
    <x v="0"/>
  </r>
  <r>
    <d v="2024-03-01T00:00:00"/>
    <x v="42"/>
    <s v="IAS/BAS Preparation &amp; Lodgement - Oct-Dec"/>
    <n v="0.5"/>
    <x v="47"/>
    <s v="Yes"/>
    <s v="Email James to enquire re PAYG Instalment tax variation. Update BAS, WPS."/>
    <x v="0"/>
    <x v="0"/>
  </r>
  <r>
    <d v="2024-03-01T00:00:00"/>
    <x v="42"/>
    <s v="Learning &amp; Development"/>
    <n v="2.5"/>
    <x v="11"/>
    <s v="No"/>
    <s v="Prepare training "/>
    <x v="0"/>
    <x v="0"/>
  </r>
  <r>
    <d v="2024-03-01T00:00:00"/>
    <x v="43"/>
    <s v="Adhoc Support &amp; Advice"/>
    <n v="1.45"/>
    <x v="15"/>
    <s v="Yes"/>
    <s v="Cashflow, AP Catch up with James"/>
    <x v="0"/>
    <x v="0"/>
  </r>
  <r>
    <d v="2024-03-01T00:00:00"/>
    <x v="43"/>
    <s v="General"/>
    <n v="6.03"/>
    <x v="11"/>
    <s v="No"/>
    <s v="training"/>
    <x v="0"/>
    <x v="0"/>
  </r>
  <r>
    <d v="2024-03-01T00:00:00"/>
    <x v="43"/>
    <s v="Meetings"/>
    <n v="0.88"/>
    <x v="11"/>
    <s v="No"/>
    <s v="ASI Dashboard meeting with Con and Rej"/>
    <x v="0"/>
    <x v="0"/>
  </r>
  <r>
    <d v="2024-03-01T00:00:00"/>
    <x v="44"/>
    <s v="Adhoc Support &amp; Advice"/>
    <n v="0.7"/>
    <x v="66"/>
    <s v="Yes"/>
    <s v="Gather information from server  for ITR FY2023 and FY 2024"/>
    <x v="0"/>
    <x v="0"/>
  </r>
  <r>
    <d v="2024-03-01T00:00:00"/>
    <x v="44"/>
    <s v="Bookkeeping"/>
    <n v="0.2"/>
    <x v="67"/>
    <s v="Yes"/>
    <s v="Run and save Feb payroll reports EH"/>
    <x v="0"/>
    <x v="0"/>
  </r>
  <r>
    <d v="2024-03-01T00:00:00"/>
    <x v="44"/>
    <s v="Bookkeeping"/>
    <n v="0.3"/>
    <x v="16"/>
    <s v="Yes"/>
    <s v="Recoding Travel Other / email Nick &amp; Adrian re fees vs budget"/>
    <x v="0"/>
    <x v="0"/>
  </r>
  <r>
    <d v="2024-03-01T00:00:00"/>
    <x v="44"/>
    <s v="Bookkeeping"/>
    <n v="0.4"/>
    <x v="16"/>
    <s v="Yes"/>
    <s v="Chase Stephen re BELCR and BLM payments and forex  "/>
    <x v="0"/>
    <x v="0"/>
  </r>
  <r>
    <d v="2024-03-01T00:00:00"/>
    <x v="44"/>
    <s v="Bookkeeping"/>
    <n v="0.5"/>
    <x v="16"/>
    <s v="Yes"/>
    <s v="Liaise with Logika on BAM BS Rec"/>
    <x v="0"/>
    <x v="0"/>
  </r>
  <r>
    <d v="2024-03-01T00:00:00"/>
    <x v="44"/>
    <s v="Bookkeeping"/>
    <n v="0.56999999999999995"/>
    <x v="16"/>
    <s v="Yes"/>
    <s v="BLM - SALT invoice, sub-management inv from BELCR"/>
    <x v="0"/>
    <x v="0"/>
  </r>
  <r>
    <d v="2024-03-01T00:00:00"/>
    <x v="44"/>
    <s v="Bookkeeping"/>
    <n v="0.6"/>
    <x v="16"/>
    <s v="Yes"/>
    <s v="email Michael and Carly re their payroll"/>
    <x v="0"/>
    <x v="0"/>
  </r>
  <r>
    <d v="2024-03-01T00:00:00"/>
    <x v="44"/>
    <s v="Bookkeeping"/>
    <n v="0.8"/>
    <x v="16"/>
    <s v="Yes"/>
    <s v="Review OMS, check interco, summary, email Stephen"/>
    <x v="0"/>
    <x v="0"/>
  </r>
  <r>
    <d v="2024-03-01T00:00:00"/>
    <x v="44"/>
    <s v="Bookkeeping"/>
    <n v="1"/>
    <x v="16"/>
    <s v="Yes"/>
    <s v="Recharge BAML"/>
    <x v="0"/>
    <x v="0"/>
  </r>
  <r>
    <d v="2024-03-01T00:00:00"/>
    <x v="44"/>
    <s v="Client Admin"/>
    <n v="0.4"/>
    <x v="11"/>
    <s v="No"/>
    <s v="Nick / Nica - new tasks for SHPL"/>
    <x v="0"/>
    <x v="0"/>
  </r>
  <r>
    <d v="2024-03-01T00:00:00"/>
    <x v="44"/>
    <s v="Client Manager"/>
    <n v="0.5"/>
    <x v="16"/>
    <s v="Yes"/>
    <s v="emails, liaise with team"/>
    <x v="0"/>
    <x v="0"/>
  </r>
  <r>
    <d v="2024-03-01T00:00:00"/>
    <x v="44"/>
    <s v="Client Manager"/>
    <n v="0.9"/>
    <x v="16"/>
    <s v="Yes"/>
    <s v="Meeting with Rachele OMS and Recharge BAML"/>
    <x v="0"/>
    <x v="0"/>
  </r>
  <r>
    <d v="2024-03-01T00:00:00"/>
    <x v="44"/>
    <s v="Financial Statements"/>
    <n v="0.4"/>
    <x v="68"/>
    <s v="Yes"/>
    <s v="Update Directors loan summary with incorrect disbursement July 2022"/>
    <x v="0"/>
    <x v="0"/>
  </r>
  <r>
    <d v="2024-03-01T00:00:00"/>
    <x v="44"/>
    <s v="General"/>
    <n v="0.7"/>
    <x v="11"/>
    <s v="No"/>
    <s v="Asana, Timesheet, Teams, emails"/>
    <x v="0"/>
    <x v="0"/>
  </r>
  <r>
    <d v="2024-03-01T00:00:00"/>
    <x v="45"/>
    <s v="General"/>
    <n v="6"/>
    <x v="11"/>
    <s v="No"/>
    <e v="#NAME?"/>
    <x v="0"/>
    <x v="0"/>
  </r>
  <r>
    <d v="2024-03-01T00:00:00"/>
    <x v="45"/>
    <s v="HR/Recuitment"/>
    <n v="2"/>
    <x v="11"/>
    <s v="No"/>
    <e v="#NAME?"/>
    <x v="0"/>
    <x v="0"/>
  </r>
  <r>
    <d v="2024-03-02T00:00:00"/>
    <x v="40"/>
    <s v="Financial Statements"/>
    <n v="0.33"/>
    <x v="16"/>
    <s v="Yes"/>
    <s v="Prepare dividend statements to for dividiends to cover division 7a loans at 30 June 2023"/>
    <x v="0"/>
    <x v="1"/>
  </r>
  <r>
    <d v="2024-03-04T00:00:00"/>
    <x v="0"/>
    <s v="Annual Leave"/>
    <n v="8"/>
    <x v="11"/>
    <s v="No"/>
    <s v="Vacation Leave"/>
    <x v="1"/>
    <x v="2"/>
  </r>
  <r>
    <d v="2024-03-04T00:00:00"/>
    <x v="1"/>
    <s v="P&amp;C Advisory - Nederman Mikropul"/>
    <n v="0.25"/>
    <x v="14"/>
    <s v="Yes"/>
    <s v="Org chart update (and intranet update)"/>
    <x v="1"/>
    <x v="2"/>
  </r>
  <r>
    <d v="2024-03-04T00:00:00"/>
    <x v="1"/>
    <s v="P&amp;C Advisory - Nederman PT"/>
    <n v="0.75"/>
    <x v="14"/>
    <s v="Yes"/>
    <s v="Org chart Correspondence re NSW office closure"/>
    <x v="1"/>
    <x v="2"/>
  </r>
  <r>
    <d v="2024-03-04T00:00:00"/>
    <x v="1"/>
    <s v="P&amp;C Advisory - Nordfab"/>
    <n v="2.33"/>
    <x v="14"/>
    <s v="Yes"/>
    <s v="Calls/correspondence re. employee concerns Draft letter re. attendance concerns (and review of timesheets) Correspondence re. IT/email account access details Draft letter re. role change Org chart update Follow up re. recruitment"/>
    <x v="1"/>
    <x v="2"/>
  </r>
  <r>
    <d v="2024-03-04T00:00:00"/>
    <x v="2"/>
    <s v="Bookkeeping"/>
    <n v="7.0000000000000007E-2"/>
    <x v="67"/>
    <s v="Yes"/>
    <s v="check emails and save files"/>
    <x v="1"/>
    <x v="2"/>
  </r>
  <r>
    <d v="2024-03-04T00:00:00"/>
    <x v="2"/>
    <s v="Bookkeeping"/>
    <n v="0.77"/>
    <x v="58"/>
    <s v="Yes"/>
    <m/>
    <x v="1"/>
    <x v="2"/>
  </r>
  <r>
    <d v="2024-03-04T00:00:00"/>
    <x v="2"/>
    <s v="Bookkeeping"/>
    <n v="1.02"/>
    <x v="67"/>
    <s v="Yes"/>
    <s v="Compound interest, Unit register rec"/>
    <x v="1"/>
    <x v="2"/>
  </r>
  <r>
    <d v="2024-03-04T00:00:00"/>
    <x v="2"/>
    <s v="General"/>
    <n v="0.12"/>
    <x v="11"/>
    <s v="No"/>
    <s v="clean up emails"/>
    <x v="1"/>
    <x v="2"/>
  </r>
  <r>
    <d v="2024-03-04T00:00:00"/>
    <x v="2"/>
    <s v="General"/>
    <n v="0.22"/>
    <x v="11"/>
    <s v="No"/>
    <m/>
    <x v="1"/>
    <x v="2"/>
  </r>
  <r>
    <d v="2024-03-04T00:00:00"/>
    <x v="2"/>
    <s v="General"/>
    <n v="0.55000000000000004"/>
    <x v="11"/>
    <s v="No"/>
    <s v="review capacity for client movements, create client list with TL"/>
    <x v="1"/>
    <x v="2"/>
  </r>
  <r>
    <d v="2024-03-04T00:00:00"/>
    <x v="2"/>
    <s v="General"/>
    <n v="1.07"/>
    <x v="11"/>
    <s v="No"/>
    <s v="chats, catch up on emails, review capacity for client transfers required, check Sprout attendance for Feb 16-29, etc"/>
    <x v="1"/>
    <x v="2"/>
  </r>
  <r>
    <d v="2024-03-04T00:00:00"/>
    <x v="2"/>
    <s v="General"/>
    <n v="1.25"/>
    <x v="11"/>
    <s v="No"/>
    <s v="review timesheets"/>
    <x v="1"/>
    <x v="2"/>
  </r>
  <r>
    <d v="2024-03-04T00:00:00"/>
    <x v="2"/>
    <s v="General"/>
    <n v="1.63"/>
    <x v="11"/>
    <s v="No"/>
    <s v="Wyzed, capacity review, etc"/>
    <x v="1"/>
    <x v="2"/>
  </r>
  <r>
    <d v="2024-03-04T00:00:00"/>
    <x v="2"/>
    <s v="Payroll Processing"/>
    <n v="1.35"/>
    <x v="58"/>
    <s v="Yes"/>
    <m/>
    <x v="1"/>
    <x v="2"/>
  </r>
  <r>
    <d v="2024-03-04T00:00:00"/>
    <x v="3"/>
    <s v="Business Development"/>
    <n v="8"/>
    <x v="11"/>
    <s v="No"/>
    <s v="catchup with Nick &amp; Alison  catchup with Shalini   meeting with Miguel : Intranet QMS folder  continuation of flows /manual"/>
    <x v="1"/>
    <x v="2"/>
  </r>
  <r>
    <d v="2024-03-04T00:00:00"/>
    <x v="4"/>
    <s v="General"/>
    <n v="8"/>
    <x v="11"/>
    <s v="No"/>
    <m/>
    <x v="1"/>
    <x v="2"/>
  </r>
  <r>
    <d v="2024-03-04T00:00:00"/>
    <x v="5"/>
    <s v="Bookkeeping"/>
    <n v="1.18"/>
    <x v="15"/>
    <s v="Yes"/>
    <s v="Processing of Reimbursements"/>
    <x v="1"/>
    <x v="2"/>
  </r>
  <r>
    <d v="2024-03-04T00:00:00"/>
    <x v="5"/>
    <s v="Bookkeeping"/>
    <n v="2.15"/>
    <x v="15"/>
    <s v="Yes"/>
    <s v="Email Management "/>
    <x v="1"/>
    <x v="2"/>
  </r>
  <r>
    <d v="2024-03-04T00:00:00"/>
    <x v="5"/>
    <s v="Bookkeeping"/>
    <n v="2.42"/>
    <x v="15"/>
    <s v="Yes"/>
    <s v="Creating pending invoice lists for the month of February "/>
    <x v="1"/>
    <x v="2"/>
  </r>
  <r>
    <d v="2024-03-04T00:00:00"/>
    <x v="5"/>
    <s v="Bookkeeping"/>
    <n v="3.4"/>
    <x v="15"/>
    <s v="Yes"/>
    <s v="Creating and Review of EFT lists "/>
    <x v="1"/>
    <x v="2"/>
  </r>
  <r>
    <d v="2024-03-04T00:00:00"/>
    <x v="6"/>
    <s v="Automations - Pinnacle"/>
    <n v="11"/>
    <x v="11"/>
    <s v="No"/>
    <m/>
    <x v="1"/>
    <x v="2"/>
  </r>
  <r>
    <d v="2024-03-04T00:00:00"/>
    <x v="7"/>
    <s v="Budget - Monthly"/>
    <n v="0.02"/>
    <x v="69"/>
    <s v="No"/>
    <m/>
    <x v="1"/>
    <x v="2"/>
  </r>
  <r>
    <d v="2024-03-04T00:00:00"/>
    <x v="8"/>
    <s v="Automations"/>
    <n v="1.5"/>
    <x v="11"/>
    <s v="No"/>
    <s v="Run Marsill Automation"/>
    <x v="1"/>
    <x v="2"/>
  </r>
  <r>
    <d v="2024-03-04T00:00:00"/>
    <x v="9"/>
    <s v="Automations"/>
    <n v="9.17"/>
    <x v="11"/>
    <s v="No"/>
    <s v="Connected Culture Live Running and Testing "/>
    <x v="1"/>
    <x v="2"/>
  </r>
  <r>
    <d v="2024-03-04T00:00:00"/>
    <x v="10"/>
    <s v="Bookkeeping"/>
    <n v="0.5"/>
    <x v="51"/>
    <s v="Yes"/>
    <s v="Push bills from HubDoc, bank recon, leave provision"/>
    <x v="1"/>
    <x v="2"/>
  </r>
  <r>
    <d v="2024-03-04T00:00:00"/>
    <x v="10"/>
    <s v="Bookkeeping"/>
    <n v="0.67"/>
    <x v="20"/>
    <s v="Yes"/>
    <s v="Push bills from HubDoc, bank recon, leave provision"/>
    <x v="1"/>
    <x v="2"/>
  </r>
  <r>
    <d v="2024-03-04T00:00:00"/>
    <x v="10"/>
    <s v="Bookkeeping"/>
    <n v="0.92"/>
    <x v="50"/>
    <s v="Yes"/>
    <s v="Push bills from HubDoc, bank recon, leave provision, management fee invoicing"/>
    <x v="1"/>
    <x v="2"/>
  </r>
  <r>
    <d v="2024-03-04T00:00:00"/>
    <x v="10"/>
    <s v="Bookkeeping"/>
    <n v="1.08"/>
    <x v="19"/>
    <s v="Yes"/>
    <s v="Push bills from HubDoc, bank recon, leave provision"/>
    <x v="1"/>
    <x v="2"/>
  </r>
  <r>
    <d v="2024-03-04T00:00:00"/>
    <x v="10"/>
    <s v="Bookkeeping"/>
    <n v="1.92"/>
    <x v="22"/>
    <s v="Yes"/>
    <s v="Push bills from HubDoc, bank recon"/>
    <x v="1"/>
    <x v="2"/>
  </r>
  <r>
    <d v="2024-03-04T00:00:00"/>
    <x v="10"/>
    <s v="Bookkeeping"/>
    <n v="2.25"/>
    <x v="49"/>
    <s v="Yes"/>
    <s v="Push bills from HubDoc, bank recon"/>
    <x v="1"/>
    <x v="2"/>
  </r>
  <r>
    <d v="2024-03-04T00:00:00"/>
    <x v="10"/>
    <s v="General"/>
    <n v="0.17"/>
    <x v="11"/>
    <s v="No"/>
    <s v="Call with LM for CJ Nowra report"/>
    <x v="1"/>
    <x v="2"/>
  </r>
  <r>
    <d v="2024-03-04T00:00:00"/>
    <x v="10"/>
    <s v="General"/>
    <n v="0.5"/>
    <x v="11"/>
    <s v="No"/>
    <s v="break"/>
    <x v="1"/>
    <x v="2"/>
  </r>
  <r>
    <d v="2024-03-04T00:00:00"/>
    <x v="46"/>
    <s v="CFO Advisory"/>
    <n v="5"/>
    <x v="3"/>
    <s v="Yes"/>
    <s v="ACNC submission recheck + advise to Max Catch up with Eli in preparation to Wed meeting Alceon reconciliation and adjustment in Xero (finalisation) Rabbi Apple fund accounting - set up, documentation, transfers Review and post Feb24 revenue + review costs Close off Feb24 and release results "/>
    <x v="1"/>
    <x v="2"/>
  </r>
  <r>
    <d v="2024-03-04T00:00:00"/>
    <x v="46"/>
    <s v="CFO001 - CFO Services"/>
    <n v="3"/>
    <x v="5"/>
    <s v="Yes"/>
    <s v="Post Feb24 revenue journals + review results. Draft results ready for release Reconcile Alceon + adjust for the final close off Respond to queries  + requests + issue instructions to the team"/>
    <x v="1"/>
    <x v="2"/>
  </r>
  <r>
    <d v="2024-03-04T00:00:00"/>
    <x v="47"/>
    <s v="Company Tax Returns"/>
    <n v="1"/>
    <x v="70"/>
    <s v="Yes"/>
    <s v="sending tax returns and adjustments journal for the group (6 entities) to Rebecca to review and approval "/>
    <x v="1"/>
    <x v="2"/>
  </r>
  <r>
    <d v="2024-03-04T00:00:00"/>
    <x v="11"/>
    <s v="Client Meeting"/>
    <n v="1.02"/>
    <x v="27"/>
    <s v="No"/>
    <s v="internal Dext team catch-up "/>
    <x v="1"/>
    <x v="2"/>
  </r>
  <r>
    <d v="2024-03-04T00:00:00"/>
    <x v="11"/>
    <s v="General"/>
    <n v="0.15"/>
    <x v="11"/>
    <s v="No"/>
    <s v="inbox"/>
    <x v="1"/>
    <x v="2"/>
  </r>
  <r>
    <d v="2024-03-04T00:00:00"/>
    <x v="11"/>
    <s v="General"/>
    <n v="0.35"/>
    <x v="11"/>
    <s v="No"/>
    <s v="teams/ queries"/>
    <x v="1"/>
    <x v="2"/>
  </r>
  <r>
    <d v="2024-03-04T00:00:00"/>
    <x v="11"/>
    <s v="General"/>
    <n v="0.5"/>
    <x v="11"/>
    <s v="No"/>
    <s v="break"/>
    <x v="1"/>
    <x v="2"/>
  </r>
  <r>
    <d v="2024-03-04T00:00:00"/>
    <x v="11"/>
    <s v="General"/>
    <n v="0.53"/>
    <x v="11"/>
    <s v="No"/>
    <s v="emails/teams/queries"/>
    <x v="1"/>
    <x v="2"/>
  </r>
  <r>
    <d v="2024-03-04T00:00:00"/>
    <x v="11"/>
    <s v="Management Reporting"/>
    <n v="0.08"/>
    <x v="41"/>
    <s v="Yes"/>
    <s v="revenue re-alloc query"/>
    <x v="1"/>
    <x v="2"/>
  </r>
  <r>
    <d v="2024-03-04T00:00:00"/>
    <x v="11"/>
    <s v="Management Reporting"/>
    <n v="0.28000000000000003"/>
    <x v="27"/>
    <s v="Yes"/>
    <s v="rev re-alloc review"/>
    <x v="1"/>
    <x v="2"/>
  </r>
  <r>
    <d v="2024-03-04T00:00:00"/>
    <x v="11"/>
    <s v="Management Reporting"/>
    <n v="0.5"/>
    <x v="41"/>
    <s v="Yes"/>
    <s v="rev re-alloc review"/>
    <x v="1"/>
    <x v="2"/>
  </r>
  <r>
    <d v="2024-03-04T00:00:00"/>
    <x v="11"/>
    <s v="Management Reporting"/>
    <n v="0.97"/>
    <x v="25"/>
    <s v="Yes"/>
    <s v="conso reports"/>
    <x v="1"/>
    <x v="2"/>
  </r>
  <r>
    <d v="2024-03-04T00:00:00"/>
    <x v="11"/>
    <s v="Management Reporting"/>
    <n v="3.05"/>
    <x v="25"/>
    <s v="Yes"/>
    <s v="conso reps"/>
    <x v="1"/>
    <x v="2"/>
  </r>
  <r>
    <d v="2024-03-04T00:00:00"/>
    <x v="11"/>
    <s v="Payroll Processing"/>
    <n v="0.27"/>
    <x v="31"/>
    <s v="Yes"/>
    <s v="audit queries"/>
    <x v="1"/>
    <x v="2"/>
  </r>
  <r>
    <d v="2024-03-04T00:00:00"/>
    <x v="11"/>
    <s v="Payroll Processing"/>
    <n v="0.45"/>
    <x v="8"/>
    <s v="Yes"/>
    <s v="review"/>
    <x v="1"/>
    <x v="2"/>
  </r>
  <r>
    <d v="2024-03-04T00:00:00"/>
    <x v="12"/>
    <s v="Bookkeeping"/>
    <n v="1.45"/>
    <x v="15"/>
    <s v="Yes"/>
    <e v="#NAME?"/>
    <x v="1"/>
    <x v="2"/>
  </r>
  <r>
    <d v="2024-03-04T00:00:00"/>
    <x v="12"/>
    <s v="General"/>
    <n v="1.28"/>
    <x v="11"/>
    <s v="No"/>
    <e v="#NAME?"/>
    <x v="1"/>
    <x v="2"/>
  </r>
  <r>
    <d v="2024-03-04T00:00:00"/>
    <x v="12"/>
    <s v="General"/>
    <n v="6.27"/>
    <x v="11"/>
    <s v="No"/>
    <e v="#NAME?"/>
    <x v="1"/>
    <x v="2"/>
  </r>
  <r>
    <d v="2024-03-04T00:00:00"/>
    <x v="13"/>
    <s v="Bookkeeping"/>
    <n v="0.5"/>
    <x v="71"/>
    <s v="Yes"/>
    <s v="inbox ap invoice"/>
    <x v="1"/>
    <x v="2"/>
  </r>
  <r>
    <d v="2024-03-04T00:00:00"/>
    <x v="13"/>
    <s v="Bookkeeping"/>
    <n v="0.73"/>
    <x v="28"/>
    <s v="No"/>
    <s v="reviewing training AP invoice"/>
    <x v="1"/>
    <x v="2"/>
  </r>
  <r>
    <d v="2024-03-04T00:00:00"/>
    <x v="13"/>
    <s v="Bookkeeping"/>
    <n v="1"/>
    <x v="72"/>
    <s v="No"/>
    <s v="reviewing recorded training"/>
    <x v="1"/>
    <x v="2"/>
  </r>
  <r>
    <d v="2024-03-04T00:00:00"/>
    <x v="13"/>
    <s v="Bookkeeping"/>
    <n v="1.32"/>
    <x v="30"/>
    <s v="Yes"/>
    <s v="bank recon emails process ap invoices from inbox"/>
    <x v="1"/>
    <x v="2"/>
  </r>
  <r>
    <d v="2024-03-04T00:00:00"/>
    <x v="13"/>
    <s v="Bookkeeping"/>
    <n v="2.2000000000000002"/>
    <x v="29"/>
    <s v="Yes"/>
    <s v="bank recon ap invoices emails"/>
    <x v="1"/>
    <x v="2"/>
  </r>
  <r>
    <d v="2024-03-04T00:00:00"/>
    <x v="13"/>
    <s v="Bookkeeping - AP"/>
    <n v="1.2"/>
    <x v="31"/>
    <s v="Yes"/>
    <s v="ap invoices"/>
    <x v="1"/>
    <x v="2"/>
  </r>
  <r>
    <d v="2024-03-04T00:00:00"/>
    <x v="13"/>
    <s v="Bookkeeping - Bank Recs"/>
    <n v="0.55000000000000004"/>
    <x v="31"/>
    <s v="Yes"/>
    <s v="bank recon emails"/>
    <x v="1"/>
    <x v="2"/>
  </r>
  <r>
    <d v="2024-03-04T00:00:00"/>
    <x v="13"/>
    <s v="General"/>
    <n v="0.5"/>
    <x v="11"/>
    <s v="No"/>
    <s v="break"/>
    <x v="1"/>
    <x v="2"/>
  </r>
  <r>
    <d v="2024-03-04T00:00:00"/>
    <x v="14"/>
    <s v="Bookkeeping"/>
    <n v="0.13"/>
    <x v="32"/>
    <s v="No"/>
    <s v="Process improvement - checking"/>
    <x v="1"/>
    <x v="2"/>
  </r>
  <r>
    <d v="2024-03-04T00:00:00"/>
    <x v="14"/>
    <s v="Bookkeeping"/>
    <n v="0.2"/>
    <x v="25"/>
    <s v="Yes"/>
    <s v="Checking Activity statements, sending email for ATO payment reminder"/>
    <x v="1"/>
    <x v="2"/>
  </r>
  <r>
    <d v="2024-03-04T00:00:00"/>
    <x v="14"/>
    <s v="Bookkeeping"/>
    <n v="0.23"/>
    <x v="32"/>
    <s v="Yes"/>
    <s v="Checking manual journals"/>
    <x v="1"/>
    <x v="2"/>
  </r>
  <r>
    <d v="2024-03-04T00:00:00"/>
    <x v="14"/>
    <s v="Bookkeeping"/>
    <n v="0.3"/>
    <x v="32"/>
    <s v="Yes"/>
    <s v="Bank recs, "/>
    <x v="1"/>
    <x v="2"/>
  </r>
  <r>
    <d v="2024-03-04T00:00:00"/>
    <x v="14"/>
    <s v="Bookkeeping"/>
    <n v="0.43"/>
    <x v="32"/>
    <s v="Yes"/>
    <s v="Checking requested docs by the client"/>
    <x v="1"/>
    <x v="2"/>
  </r>
  <r>
    <d v="2024-03-04T00:00:00"/>
    <x v="14"/>
    <s v="Bookkeeping"/>
    <n v="0.43"/>
    <x v="25"/>
    <s v="Yes"/>
    <s v="Manual journals - AL &amp; LSL"/>
    <x v="1"/>
    <x v="2"/>
  </r>
  <r>
    <d v="2024-03-04T00:00:00"/>
    <x v="14"/>
    <s v="Bookkeeping"/>
    <n v="1.08"/>
    <x v="32"/>
    <s v="Yes"/>
    <s v="Bank recs, recording of invoices, AP payment"/>
    <x v="1"/>
    <x v="2"/>
  </r>
  <r>
    <d v="2024-03-04T00:00:00"/>
    <x v="14"/>
    <s v="Bookkeeping"/>
    <n v="1.67"/>
    <x v="73"/>
    <s v="Yes"/>
    <s v="Bank recs, recording of invoices"/>
    <x v="1"/>
    <x v="2"/>
  </r>
  <r>
    <d v="2024-03-04T00:00:00"/>
    <x v="14"/>
    <s v="Bookkeeping"/>
    <n v="2.02"/>
    <x v="73"/>
    <s v="Yes"/>
    <s v="Recording of invoices"/>
    <x v="1"/>
    <x v="2"/>
  </r>
  <r>
    <d v="2024-03-04T00:00:00"/>
    <x v="14"/>
    <s v="Client Meeting"/>
    <n v="0.27"/>
    <x v="34"/>
    <s v="No"/>
    <s v="Process Improvement - Testing "/>
    <x v="1"/>
    <x v="2"/>
  </r>
  <r>
    <d v="2024-03-04T00:00:00"/>
    <x v="14"/>
    <s v="General"/>
    <n v="0.15"/>
    <x v="11"/>
    <s v="No"/>
    <s v="Checking emails, asana"/>
    <x v="1"/>
    <x v="2"/>
  </r>
  <r>
    <d v="2024-03-04T00:00:00"/>
    <x v="14"/>
    <s v="Payroll Processing"/>
    <n v="0.37"/>
    <x v="33"/>
    <s v="Yes"/>
    <s v="Payroll journals, AL &amp; LSL accrual"/>
    <x v="1"/>
    <x v="2"/>
  </r>
  <r>
    <d v="2024-03-04T00:00:00"/>
    <x v="14"/>
    <s v="Payroll Processing"/>
    <n v="0.8"/>
    <x v="32"/>
    <s v="Yes"/>
    <s v="Payroll and answering queries from client"/>
    <x v="1"/>
    <x v="2"/>
  </r>
  <r>
    <d v="2024-03-04T00:00:00"/>
    <x v="15"/>
    <s v="Sick Leave"/>
    <n v="8"/>
    <x v="11"/>
    <s v="No"/>
    <s v="Gastritis"/>
    <x v="1"/>
    <x v="2"/>
  </r>
  <r>
    <d v="2024-03-04T00:00:00"/>
    <x v="16"/>
    <s v="Bookkeeping"/>
    <n v="3.93"/>
    <x v="35"/>
    <s v="Yes"/>
    <m/>
    <x v="1"/>
    <x v="2"/>
  </r>
  <r>
    <d v="2024-03-04T00:00:00"/>
    <x v="16"/>
    <s v="Payroll Processing"/>
    <n v="0.73"/>
    <x v="74"/>
    <s v="Yes"/>
    <m/>
    <x v="1"/>
    <x v="2"/>
  </r>
  <r>
    <d v="2024-03-04T00:00:00"/>
    <x v="16"/>
    <s v="Payroll Processing"/>
    <n v="3.48"/>
    <x v="75"/>
    <s v="Yes"/>
    <m/>
    <x v="1"/>
    <x v="2"/>
  </r>
  <r>
    <d v="2024-03-04T00:00:00"/>
    <x v="17"/>
    <s v="P&amp;C Advisory"/>
    <n v="7.35"/>
    <x v="34"/>
    <s v="Yes"/>
    <s v="Formal interview - investigation - BB Phone Screen - Estimator Shortlisting - 2 x roles Inbox mgmt Salary Review recommendations progressed Mgmt team mtg "/>
    <x v="1"/>
    <x v="2"/>
  </r>
  <r>
    <d v="2024-03-04T00:00:00"/>
    <x v="18"/>
    <s v="Bookkeeping"/>
    <n v="0.13"/>
    <x v="41"/>
    <s v="Yes"/>
    <m/>
    <x v="1"/>
    <x v="2"/>
  </r>
  <r>
    <d v="2024-03-04T00:00:00"/>
    <x v="18"/>
    <s v="Bookkeeping"/>
    <n v="0.37"/>
    <x v="36"/>
    <s v="Yes"/>
    <s v="AP items, invisalign invoices, bank recon"/>
    <x v="1"/>
    <x v="2"/>
  </r>
  <r>
    <d v="2024-03-04T00:00:00"/>
    <x v="18"/>
    <s v="Bookkeeping"/>
    <n v="0.4"/>
    <x v="38"/>
    <s v="Yes"/>
    <s v="AP items, bank recon, payroll process, send P&amp;L and BS to Kate (Client)"/>
    <x v="1"/>
    <x v="2"/>
  </r>
  <r>
    <d v="2024-03-04T00:00:00"/>
    <x v="18"/>
    <s v="Bookkeeping"/>
    <n v="0.47"/>
    <x v="40"/>
    <s v="Yes"/>
    <s v="ap bills, bank recon"/>
    <x v="1"/>
    <x v="2"/>
  </r>
  <r>
    <d v="2024-03-04T00:00:00"/>
    <x v="18"/>
    <s v="Bookkeeping"/>
    <n v="0.5"/>
    <x v="36"/>
    <s v="Yes"/>
    <s v="ap bills"/>
    <x v="1"/>
    <x v="2"/>
  </r>
  <r>
    <d v="2024-03-04T00:00:00"/>
    <x v="18"/>
    <s v="Bookkeeping"/>
    <n v="0.95"/>
    <x v="40"/>
    <s v="Yes"/>
    <m/>
    <x v="1"/>
    <x v="2"/>
  </r>
  <r>
    <d v="2024-03-04T00:00:00"/>
    <x v="18"/>
    <s v="Bookkeeping"/>
    <n v="1.4"/>
    <x v="27"/>
    <s v="Yes"/>
    <m/>
    <x v="1"/>
    <x v="2"/>
  </r>
  <r>
    <d v="2024-03-04T00:00:00"/>
    <x v="18"/>
    <s v="Bookkeeping"/>
    <n v="1.53"/>
    <x v="39"/>
    <s v="Yes"/>
    <s v="bank recon, ap items, payroll"/>
    <x v="1"/>
    <x v="2"/>
  </r>
  <r>
    <d v="2024-03-04T00:00:00"/>
    <x v="18"/>
    <s v="Bookkeeping"/>
    <n v="1.55"/>
    <x v="27"/>
    <s v="Yes"/>
    <s v="Revenue Reallocation, AP Items, bank recon"/>
    <x v="1"/>
    <x v="2"/>
  </r>
  <r>
    <d v="2024-03-04T00:00:00"/>
    <x v="18"/>
    <s v="Meetings"/>
    <n v="1.02"/>
    <x v="11"/>
    <s v="No"/>
    <s v="Catch-up with Shalini &amp; Xavi"/>
    <x v="1"/>
    <x v="2"/>
  </r>
  <r>
    <d v="2024-03-04T00:00:00"/>
    <x v="19"/>
    <s v="Automations - Surefire"/>
    <n v="8"/>
    <x v="11"/>
    <s v="No"/>
    <s v="SureFire Services Automation."/>
    <x v="1"/>
    <x v="2"/>
  </r>
  <r>
    <d v="2024-03-04T00:00:00"/>
    <x v="20"/>
    <s v="Automations"/>
    <n v="8"/>
    <x v="11"/>
    <s v="No"/>
    <m/>
    <x v="1"/>
    <x v="2"/>
  </r>
  <r>
    <d v="2024-03-04T00:00:00"/>
    <x v="21"/>
    <s v="Automations"/>
    <n v="8"/>
    <x v="11"/>
    <s v="No"/>
    <s v="Run: Lack of Color Run: Holdsworth Automation Part 2 Meeting: Oporto Automation Dev: Primebuild Payroll Processing"/>
    <x v="1"/>
    <x v="2"/>
  </r>
  <r>
    <d v="2024-03-04T00:00:00"/>
    <x v="22"/>
    <s v="Bookkeeping"/>
    <n v="0.25"/>
    <x v="0"/>
    <s v="No"/>
    <s v="Chat on teams with Nicole re query - inventory negative, show as liability on reports "/>
    <x v="1"/>
    <x v="2"/>
  </r>
  <r>
    <d v="2024-03-04T00:00:00"/>
    <x v="22"/>
    <s v="Bookkeeping"/>
    <n v="0.37"/>
    <x v="49"/>
    <s v="Yes"/>
    <s v="Leave balances journal and process doc"/>
    <x v="1"/>
    <x v="2"/>
  </r>
  <r>
    <d v="2024-03-04T00:00:00"/>
    <x v="22"/>
    <s v="Bookkeeping"/>
    <n v="0.52"/>
    <x v="49"/>
    <s v="Yes"/>
    <s v="Setup process and accounts and add monthly AL liablity journals"/>
    <x v="1"/>
    <x v="2"/>
  </r>
  <r>
    <d v="2024-03-04T00:00:00"/>
    <x v="22"/>
    <s v="Client Admin"/>
    <n v="0.08"/>
    <x v="11"/>
    <s v="No"/>
    <s v="Survey to Pinnacle"/>
    <x v="1"/>
    <x v="2"/>
  </r>
  <r>
    <d v="2024-03-04T00:00:00"/>
    <x v="22"/>
    <s v="Client Manager"/>
    <n v="0.08"/>
    <x v="76"/>
    <s v="Yes"/>
    <s v="Review Xero file for inventory Respond to email to Angelia"/>
    <x v="1"/>
    <x v="2"/>
  </r>
  <r>
    <d v="2024-03-04T00:00:00"/>
    <x v="22"/>
    <s v="Client Manager"/>
    <n v="0.13"/>
    <x v="58"/>
    <s v="Yes"/>
    <s v="Respond to query re icare"/>
    <x v="1"/>
    <x v="2"/>
  </r>
  <r>
    <d v="2024-03-04T00:00:00"/>
    <x v="22"/>
    <s v="Client Manager"/>
    <n v="0.2"/>
    <x v="50"/>
    <s v="Yes"/>
    <s v="Check Asana tasks - follow up email on cash / stock and reports and bank queries"/>
    <x v="1"/>
    <x v="2"/>
  </r>
  <r>
    <d v="2024-03-04T00:00:00"/>
    <x v="22"/>
    <s v="Client Manager"/>
    <n v="0.38"/>
    <x v="50"/>
    <s v="Yes"/>
    <s v="Review info re depreciation of store buildings,..  Issues list update"/>
    <x v="1"/>
    <x v="2"/>
  </r>
  <r>
    <d v="2024-03-04T00:00:00"/>
    <x v="22"/>
    <s v="Client Manager"/>
    <n v="0.5"/>
    <x v="50"/>
    <s v="Yes"/>
    <s v="Month end processing timetable and AL process update - review tasks for month end, messages to ef"/>
    <x v="1"/>
    <x v="2"/>
  </r>
  <r>
    <d v="2024-03-04T00:00:00"/>
    <x v="22"/>
    <s v="Client Manager"/>
    <n v="0.63"/>
    <x v="44"/>
    <s v="Yes"/>
    <s v="Create month end checklist AL journals and process Update Queries sheet Review balance sheet and PL Email re Amex feed update"/>
    <x v="1"/>
    <x v="2"/>
  </r>
  <r>
    <d v="2024-03-04T00:00:00"/>
    <x v="22"/>
    <s v="General"/>
    <n v="0.17"/>
    <x v="11"/>
    <s v="No"/>
    <s v="Emails"/>
    <x v="1"/>
    <x v="2"/>
  </r>
  <r>
    <d v="2024-03-04T00:00:00"/>
    <x v="22"/>
    <s v="General"/>
    <n v="0.17"/>
    <x v="11"/>
    <s v="No"/>
    <s v="Reivew of Asana tasks Email survey to Tyson - Spectrum Review Nica reports training"/>
    <x v="1"/>
    <x v="2"/>
  </r>
  <r>
    <d v="2024-03-04T00:00:00"/>
    <x v="22"/>
    <s v="General"/>
    <n v="0.17"/>
    <x v="11"/>
    <s v="No"/>
    <s v="Teams messages"/>
    <x v="1"/>
    <x v="2"/>
  </r>
  <r>
    <d v="2024-03-04T00:00:00"/>
    <x v="22"/>
    <s v="General"/>
    <n v="0.25"/>
    <x v="11"/>
    <s v="No"/>
    <s v="Move downloads to OneDrive, check PB teams, "/>
    <x v="1"/>
    <x v="2"/>
  </r>
  <r>
    <d v="2024-03-04T00:00:00"/>
    <x v="22"/>
    <s v="General"/>
    <n v="0.35"/>
    <x v="11"/>
    <s v="No"/>
    <s v="Client update to team for Onefocus and Pinnacle / sptctrum"/>
    <x v="1"/>
    <x v="2"/>
  </r>
  <r>
    <d v="2024-03-04T00:00:00"/>
    <x v="22"/>
    <s v="General"/>
    <n v="0.42"/>
    <x v="11"/>
    <s v="No"/>
    <s v="Monthly invoicing check and approvals, "/>
    <x v="1"/>
    <x v="2"/>
  </r>
  <r>
    <d v="2024-03-04T00:00:00"/>
    <x v="22"/>
    <s v="IAS/BAS Preparation &amp; Lodgement - Oct-Dec"/>
    <n v="0.25"/>
    <x v="77"/>
    <s v="No"/>
    <s v="Add refund journal to QB, send client survey. Non billable - BAS already billed"/>
    <x v="1"/>
    <x v="2"/>
  </r>
  <r>
    <d v="2024-03-04T00:00:00"/>
    <x v="22"/>
    <s v="Meetings"/>
    <n v="0.47"/>
    <x v="11"/>
    <s v="No"/>
    <s v="Team meeting"/>
    <x v="1"/>
    <x v="2"/>
  </r>
  <r>
    <d v="2024-03-04T00:00:00"/>
    <x v="22"/>
    <s v="Payroll Processing"/>
    <n v="0.17"/>
    <x v="20"/>
    <s v="Yes"/>
    <s v="super processing and rec"/>
    <x v="1"/>
    <x v="2"/>
  </r>
  <r>
    <d v="2024-03-04T00:00:00"/>
    <x v="22"/>
    <s v="Payroll Processing"/>
    <n v="0.17"/>
    <x v="51"/>
    <s v="Yes"/>
    <s v="super processing"/>
    <x v="1"/>
    <x v="2"/>
  </r>
  <r>
    <d v="2024-03-04T00:00:00"/>
    <x v="22"/>
    <s v="Payroll Processing"/>
    <n v="0.22"/>
    <x v="19"/>
    <s v="Yes"/>
    <s v="Super processing "/>
    <x v="1"/>
    <x v="2"/>
  </r>
  <r>
    <d v="2024-03-04T00:00:00"/>
    <x v="22"/>
    <s v="Payroll Processing"/>
    <n v="0.43"/>
    <x v="34"/>
    <s v="Yes"/>
    <s v="Finalise Oncost and pay rates report and save to drive Review email Update termination process to include 'average weekly earnings' as pay rate to use for in lieu payments."/>
    <x v="1"/>
    <x v="2"/>
  </r>
  <r>
    <d v="2024-03-04T00:00:00"/>
    <x v="22"/>
    <s v="Payroll Processing"/>
    <n v="0.56999999999999995"/>
    <x v="19"/>
    <s v="Yes"/>
    <s v="Superannuation - Feb"/>
    <x v="1"/>
    <x v="2"/>
  </r>
  <r>
    <d v="2024-03-04T00:00:00"/>
    <x v="22"/>
    <s v="Payroll Processing"/>
    <n v="0.75"/>
    <x v="34"/>
    <s v="Yes"/>
    <s v="Finance team meeting"/>
    <x v="1"/>
    <x v="2"/>
  </r>
  <r>
    <d v="2024-03-04T00:00:00"/>
    <x v="23"/>
    <s v="Client Meeting"/>
    <n v="0.08"/>
    <x v="11"/>
    <s v="No"/>
    <s v="Responding to Rose: Query RE: Party"/>
    <x v="1"/>
    <x v="2"/>
  </r>
  <r>
    <d v="2024-03-04T00:00:00"/>
    <x v="23"/>
    <s v="Client Meeting"/>
    <n v="0.13"/>
    <x v="11"/>
    <s v="No"/>
    <s v="Responding to Anne: Query RE: Party"/>
    <x v="1"/>
    <x v="2"/>
  </r>
  <r>
    <d v="2024-03-04T00:00:00"/>
    <x v="23"/>
    <s v="Client Meeting"/>
    <n v="0.18"/>
    <x v="11"/>
    <s v="No"/>
    <s v="Meeting with Ralf. List of clients ( Tax only )"/>
    <x v="1"/>
    <x v="2"/>
  </r>
  <r>
    <d v="2024-03-04T00:00:00"/>
    <x v="23"/>
    <s v="Client Meeting"/>
    <n v="0.25"/>
    <x v="78"/>
    <s v="No"/>
    <s v="Assisting GEn and Irish Superannutioan"/>
    <x v="1"/>
    <x v="2"/>
  </r>
  <r>
    <d v="2024-03-04T00:00:00"/>
    <x v="23"/>
    <s v="Client Meeting"/>
    <n v="0.28000000000000003"/>
    <x v="62"/>
    <s v="Yes"/>
    <s v="Attending to queries and Responding to Cess's Query."/>
    <x v="1"/>
    <x v="2"/>
  </r>
  <r>
    <d v="2024-03-04T00:00:00"/>
    <x v="23"/>
    <s v="Client Meeting"/>
    <n v="0.38"/>
    <x v="39"/>
    <s v="No"/>
    <s v="Attending to queries and validating ATO portal"/>
    <x v="1"/>
    <x v="2"/>
  </r>
  <r>
    <d v="2024-03-04T00:00:00"/>
    <x v="23"/>
    <s v="Client Meeting"/>
    <n v="0.63"/>
    <x v="22"/>
    <s v="No"/>
    <s v="Attending to queries and meeting with Elf"/>
    <x v="1"/>
    <x v="2"/>
  </r>
  <r>
    <d v="2024-03-04T00:00:00"/>
    <x v="23"/>
    <s v="Client Meeting"/>
    <n v="1.1200000000000001"/>
    <x v="11"/>
    <s v="No"/>
    <s v="Meeting with Shalini 101"/>
    <x v="1"/>
    <x v="2"/>
  </r>
  <r>
    <d v="2024-03-04T00:00:00"/>
    <x v="23"/>
    <s v="General"/>
    <n v="0.25"/>
    <x v="11"/>
    <s v="No"/>
    <s v="AFTERNOON Break: 15 mins coffee breaks as paid per Labor Code of the Philippines, Article 85"/>
    <x v="1"/>
    <x v="2"/>
  </r>
  <r>
    <d v="2024-03-04T00:00:00"/>
    <x v="23"/>
    <s v="General"/>
    <n v="0.25"/>
    <x v="11"/>
    <s v="No"/>
    <s v="MORNING Break: 15 mins coffee breaks as paid per Labor Code of the Philippines, Article 85."/>
    <x v="1"/>
    <x v="2"/>
  </r>
  <r>
    <d v="2024-03-04T00:00:00"/>
    <x v="23"/>
    <s v="General"/>
    <n v="0.62"/>
    <x v="11"/>
    <s v="No"/>
    <s v="email"/>
    <x v="1"/>
    <x v="2"/>
  </r>
  <r>
    <d v="2024-03-04T00:00:00"/>
    <x v="23"/>
    <s v="General"/>
    <n v="0.93"/>
    <x v="11"/>
    <s v="No"/>
    <s v="Accompany Gen and Ocular the activity "/>
    <x v="1"/>
    <x v="2"/>
  </r>
  <r>
    <d v="2024-03-04T00:00:00"/>
    <x v="23"/>
    <s v="IAS/BAS Preparation &amp; Lodgement - Apr-Jun"/>
    <n v="0.9"/>
    <x v="22"/>
    <s v="Yes"/>
    <s v="FY2023 BAS"/>
    <x v="1"/>
    <x v="2"/>
  </r>
  <r>
    <d v="2024-03-04T00:00:00"/>
    <x v="23"/>
    <s v="IAS/BAS Preparation &amp; Lodgement - Jul-Sep"/>
    <n v="0.53"/>
    <x v="22"/>
    <s v="Yes"/>
    <s v="BAS"/>
    <x v="1"/>
    <x v="2"/>
  </r>
  <r>
    <d v="2024-03-04T00:00:00"/>
    <x v="23"/>
    <s v="IAS/BAS Preparation &amp; Lodgement - Jul-Sep"/>
    <n v="0.62"/>
    <x v="22"/>
    <s v="Yes"/>
    <s v="FY2024 BAS prep, Xero fix and XPM. "/>
    <x v="1"/>
    <x v="2"/>
  </r>
  <r>
    <d v="2024-03-04T00:00:00"/>
    <x v="23"/>
    <s v="IAS/BAS Preparation &amp; Lodgement - Oct-Dec"/>
    <n v="0.25"/>
    <x v="22"/>
    <s v="No"/>
    <s v="Non-Billable Xero set up"/>
    <x v="1"/>
    <x v="2"/>
  </r>
  <r>
    <d v="2024-03-04T00:00:00"/>
    <x v="23"/>
    <s v="Tax Admin"/>
    <n v="0.67"/>
    <x v="11"/>
    <s v="No"/>
    <s v="Attending to RJ's queries and sending reports"/>
    <x v="1"/>
    <x v="2"/>
  </r>
  <r>
    <d v="2024-03-04T00:00:00"/>
    <x v="48"/>
    <s v="HR/Recuitment"/>
    <n v="3"/>
    <x v="11"/>
    <s v="No"/>
    <s v="Interview 2 x candidates for HR Advisory role and write up interview notes."/>
    <x v="1"/>
    <x v="2"/>
  </r>
  <r>
    <d v="2024-03-04T00:00:00"/>
    <x v="48"/>
    <s v="Meetings"/>
    <n v="0.5"/>
    <x v="11"/>
    <s v="No"/>
    <s v="Team meeting"/>
    <x v="1"/>
    <x v="2"/>
  </r>
  <r>
    <d v="2024-03-04T00:00:00"/>
    <x v="48"/>
    <s v="P&amp;C Advisory"/>
    <n v="4.5"/>
    <x v="9"/>
    <s v="Yes"/>
    <s v="Teams meeting with GM Insurance. Chase up equipment/building passes to be returned from exiting employees.  In office conversations with GM AF discuss employee resignation and HR matters.  Employee Connect updates to performance review module and download Q4 template for GM AF, email same.  Complete organisation chart for GM Insurance and email same.  Meet with Receptionist to confirm HR matters and food orders.  Induction with new Marketing Cloud Administrator in Manila - send details to him on policies to sign and training to be completed."/>
    <x v="1"/>
    <x v="2"/>
  </r>
  <r>
    <d v="2024-03-04T00:00:00"/>
    <x v="24"/>
    <s v="Bookkeeping"/>
    <n v="7.53"/>
    <x v="15"/>
    <s v="Yes"/>
    <m/>
    <x v="1"/>
    <x v="2"/>
  </r>
  <r>
    <d v="2024-03-04T00:00:00"/>
    <x v="24"/>
    <s v="General"/>
    <n v="0.23"/>
    <x v="11"/>
    <s v="No"/>
    <s v="Asana, Emails"/>
    <x v="1"/>
    <x v="2"/>
  </r>
  <r>
    <d v="2024-03-04T00:00:00"/>
    <x v="24"/>
    <s v="Payroll Processing"/>
    <n v="0.4"/>
    <x v="54"/>
    <s v="Yes"/>
    <m/>
    <x v="1"/>
    <x v="2"/>
  </r>
  <r>
    <d v="2024-03-04T00:00:00"/>
    <x v="26"/>
    <s v="Adhoc Support &amp; Advice"/>
    <n v="0.75"/>
    <x v="15"/>
    <s v="No"/>
    <s v="Recon"/>
    <x v="1"/>
    <x v="2"/>
  </r>
  <r>
    <d v="2024-03-04T00:00:00"/>
    <x v="26"/>
    <s v="Debt Collection"/>
    <n v="6"/>
    <x v="15"/>
    <s v="Yes"/>
    <m/>
    <x v="1"/>
    <x v="2"/>
  </r>
  <r>
    <d v="2024-03-04T00:00:00"/>
    <x v="26"/>
    <s v="General"/>
    <n v="0.5"/>
    <x v="11"/>
    <s v="No"/>
    <s v="Break"/>
    <x v="1"/>
    <x v="2"/>
  </r>
  <r>
    <d v="2024-03-04T00:00:00"/>
    <x v="26"/>
    <s v="General"/>
    <n v="0.75"/>
    <x v="11"/>
    <s v="No"/>
    <s v="email clean up backlogs, asana,"/>
    <x v="1"/>
    <x v="2"/>
  </r>
  <r>
    <d v="2024-03-04T00:00:00"/>
    <x v="27"/>
    <s v="Management Reporting"/>
    <n v="1.8"/>
    <x v="11"/>
    <s v="No"/>
    <s v="motnh-end / handover"/>
    <x v="1"/>
    <x v="2"/>
  </r>
  <r>
    <d v="2024-03-04T00:00:00"/>
    <x v="27"/>
    <s v="Management Reporting"/>
    <n v="1.83"/>
    <x v="11"/>
    <s v="No"/>
    <s v="month-end / handover"/>
    <x v="1"/>
    <x v="2"/>
  </r>
  <r>
    <d v="2024-03-04T00:00:00"/>
    <x v="27"/>
    <s v="Management Reporting"/>
    <n v="2.12"/>
    <x v="15"/>
    <s v="Yes"/>
    <s v="emails / weekly meeting with james / CF with Sherly / training calendar / handover"/>
    <x v="1"/>
    <x v="2"/>
  </r>
  <r>
    <d v="2024-03-04T00:00:00"/>
    <x v="27"/>
    <s v="Management Reporting"/>
    <n v="2.33"/>
    <x v="11"/>
    <s v="No"/>
    <s v="handover / emails / admin BDO, Parlance"/>
    <x v="1"/>
    <x v="2"/>
  </r>
  <r>
    <d v="2024-03-04T00:00:00"/>
    <x v="28"/>
    <s v="Bookkeeping"/>
    <n v="1.57"/>
    <x v="57"/>
    <s v="Yes"/>
    <s v="Bank Reconiclaition BM and LOC Inc Import Paypal currencies and reconciled  Bills raise to xero postscript transactions Calculate stripe fees and posted to manual journal Check the statement account of DHL"/>
    <x v="1"/>
    <x v="2"/>
  </r>
  <r>
    <d v="2024-03-04T00:00:00"/>
    <x v="28"/>
    <s v="Bookkeeping"/>
    <n v="5.95"/>
    <x v="57"/>
    <s v="Yes"/>
    <s v="Calculate Affiliate Program commission (The Salty Blonde &amp; Dede Raad &amp; Emily Travis) sent for approval. Paid NSW Payroll Tax Email Management Bills Raise to xero Sent the Commission requesting for invoice.  Import CBA 7334 and reconciled  "/>
    <x v="1"/>
    <x v="2"/>
  </r>
  <r>
    <d v="2024-03-04T00:00:00"/>
    <x v="28"/>
    <s v="General"/>
    <n v="0.5"/>
    <x v="11"/>
    <s v="No"/>
    <s v="Break"/>
    <x v="1"/>
    <x v="2"/>
  </r>
  <r>
    <d v="2024-03-04T00:00:00"/>
    <x v="29"/>
    <s v="IT"/>
    <n v="9"/>
    <x v="11"/>
    <s v="No"/>
    <s v="Support with the Team"/>
    <x v="1"/>
    <x v="2"/>
  </r>
  <r>
    <d v="2024-03-04T00:00:00"/>
    <x v="30"/>
    <s v="Bookkeeping"/>
    <n v="0.63"/>
    <x v="5"/>
    <s v="Yes"/>
    <s v="Fixing Some Transaction in Expense  BS Recon "/>
    <x v="1"/>
    <x v="2"/>
  </r>
  <r>
    <d v="2024-03-04T00:00:00"/>
    <x v="30"/>
    <s v="Bookkeeping"/>
    <n v="1.1200000000000001"/>
    <x v="5"/>
    <s v="Yes"/>
    <m/>
    <x v="1"/>
    <x v="2"/>
  </r>
  <r>
    <d v="2024-03-04T00:00:00"/>
    <x v="30"/>
    <s v="Bookkeeping"/>
    <n v="1.38"/>
    <x v="26"/>
    <s v="Yes"/>
    <s v="Email Management Bills Processing"/>
    <x v="1"/>
    <x v="2"/>
  </r>
  <r>
    <d v="2024-03-04T00:00:00"/>
    <x v="30"/>
    <s v="Bookkeeping"/>
    <n v="4.2699999999999996"/>
    <x v="58"/>
    <s v="Yes"/>
    <s v="Email Management Bills Processing Invoices Processing Bank and Credit Card Recon Email the unreconciled credit card recon to Michelle and Nicole "/>
    <x v="1"/>
    <x v="2"/>
  </r>
  <r>
    <d v="2024-03-04T00:00:00"/>
    <x v="30"/>
    <s v="Payroll Processing"/>
    <n v="0.72"/>
    <x v="43"/>
    <s v="Yes"/>
    <s v="Email Management Plotting of Employees AU hours in Payroll "/>
    <x v="1"/>
    <x v="2"/>
  </r>
  <r>
    <d v="2024-03-04T00:00:00"/>
    <x v="31"/>
    <s v="Accounts"/>
    <n v="0.13"/>
    <x v="11"/>
    <s v="No"/>
    <s v="Update Ezidebit"/>
    <x v="1"/>
    <x v="2"/>
  </r>
  <r>
    <d v="2024-03-04T00:00:00"/>
    <x v="31"/>
    <s v="Accounts"/>
    <n v="0.45"/>
    <x v="11"/>
    <s v="No"/>
    <s v="Other Asana tasks review and invoice preparation"/>
    <x v="1"/>
    <x v="2"/>
  </r>
  <r>
    <d v="2024-03-04T00:00:00"/>
    <x v="31"/>
    <s v="Accounts"/>
    <n v="1.1000000000000001"/>
    <x v="11"/>
    <s v="No"/>
    <s v="Partial bank recs. Process bills. Partially respond and catch up emails."/>
    <x v="1"/>
    <x v="2"/>
  </r>
  <r>
    <d v="2024-03-04T00:00:00"/>
    <x v="31"/>
    <s v="Accounts"/>
    <n v="1.25"/>
    <x v="11"/>
    <s v="No"/>
    <s v="Sales invoicing - but partial only as I need to attend other matters."/>
    <x v="1"/>
    <x v="2"/>
  </r>
  <r>
    <d v="2024-03-04T00:00:00"/>
    <x v="31"/>
    <s v="Accounts"/>
    <n v="1.28"/>
    <x v="11"/>
    <s v="No"/>
    <s v="Timesheet for review - Kate and respond to emails. Endorse to Kate all invoices for approval."/>
    <x v="1"/>
    <x v="2"/>
  </r>
  <r>
    <d v="2024-03-04T00:00:00"/>
    <x v="31"/>
    <s v="Accounts"/>
    <n v="2.0699999999999998"/>
    <x v="56"/>
    <s v="No"/>
    <s v="Banks recs for RO and Branch. Process bills."/>
    <x v="1"/>
    <x v="2"/>
  </r>
  <r>
    <d v="2024-03-04T00:00:00"/>
    <x v="31"/>
    <s v="Accounts"/>
    <n v="2.42"/>
    <x v="11"/>
    <s v="No"/>
    <s v="Continuation of invoicing and timesheet checking/review."/>
    <x v="1"/>
    <x v="2"/>
  </r>
  <r>
    <d v="2024-03-04T00:00:00"/>
    <x v="31"/>
    <s v="Payroll Processing"/>
    <n v="0.35"/>
    <x v="56"/>
    <s v="No"/>
    <s v="Record final pay on Xero for Charmie and April"/>
    <x v="1"/>
    <x v="2"/>
  </r>
  <r>
    <d v="2024-03-04T00:00:00"/>
    <x v="31"/>
    <s v="Payroll Processing"/>
    <n v="0.55000000000000004"/>
    <x v="11"/>
    <s v="No"/>
    <s v="Superannuation for Contractors"/>
    <x v="1"/>
    <x v="2"/>
  </r>
  <r>
    <d v="2024-03-04T00:00:00"/>
    <x v="32"/>
    <s v="Web"/>
    <n v="10"/>
    <x v="11"/>
    <s v="No"/>
    <s v="✅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2"/>
  </r>
  <r>
    <d v="2024-03-04T00:00:00"/>
    <x v="33"/>
    <s v="Bookkeeping"/>
    <n v="0.25"/>
    <x v="79"/>
    <s v="Yes"/>
    <m/>
    <x v="1"/>
    <x v="2"/>
  </r>
  <r>
    <d v="2024-03-04T00:00:00"/>
    <x v="33"/>
    <s v="Bookkeeping"/>
    <n v="0.5"/>
    <x v="60"/>
    <s v="Yes"/>
    <s v="processing supplier bills and bank reco"/>
    <x v="1"/>
    <x v="2"/>
  </r>
  <r>
    <d v="2024-03-04T00:00:00"/>
    <x v="33"/>
    <s v="Bookkeeping"/>
    <n v="0.5"/>
    <x v="59"/>
    <s v="Yes"/>
    <m/>
    <x v="1"/>
    <x v="2"/>
  </r>
  <r>
    <d v="2024-03-04T00:00:00"/>
    <x v="33"/>
    <s v="Bookkeeping"/>
    <n v="1"/>
    <x v="60"/>
    <s v="Yes"/>
    <s v="Income draw Feb EOM"/>
    <x v="1"/>
    <x v="2"/>
  </r>
  <r>
    <d v="2024-03-04T00:00:00"/>
    <x v="33"/>
    <s v="Management Reporting"/>
    <n v="2.25"/>
    <x v="48"/>
    <s v="Yes"/>
    <m/>
    <x v="1"/>
    <x v="2"/>
  </r>
  <r>
    <d v="2024-03-04T00:00:00"/>
    <x v="33"/>
    <s v="Meetings"/>
    <n v="1"/>
    <x v="11"/>
    <s v="No"/>
    <s v="Adobe IT issue with Mark"/>
    <x v="1"/>
    <x v="2"/>
  </r>
  <r>
    <d v="2024-03-04T00:00:00"/>
    <x v="34"/>
    <s v="Client Manager"/>
    <n v="0.52"/>
    <x v="0"/>
    <s v="Yes"/>
    <s v="emails, teams, Asana"/>
    <x v="1"/>
    <x v="2"/>
  </r>
  <r>
    <d v="2024-03-04T00:00:00"/>
    <x v="34"/>
    <s v="Client Manager"/>
    <n v="1.07"/>
    <x v="75"/>
    <s v="Yes"/>
    <s v="commissions month end"/>
    <x v="1"/>
    <x v="2"/>
  </r>
  <r>
    <d v="2024-03-04T00:00:00"/>
    <x v="34"/>
    <s v="Client Manager"/>
    <n v="2.38"/>
    <x v="0"/>
    <s v="No"/>
    <s v="follow up on Asana tasks MtM process"/>
    <x v="1"/>
    <x v="2"/>
  </r>
  <r>
    <d v="2024-03-04T00:00:00"/>
    <x v="34"/>
    <s v="General"/>
    <n v="1.23"/>
    <x v="11"/>
    <s v="No"/>
    <s v="emails, teams, Asana"/>
    <x v="1"/>
    <x v="2"/>
  </r>
  <r>
    <d v="2024-03-04T00:00:00"/>
    <x v="34"/>
    <s v="Meetings"/>
    <n v="0.5"/>
    <x v="11"/>
    <s v="No"/>
    <s v="Sydney weekly meeting"/>
    <x v="1"/>
    <x v="2"/>
  </r>
  <r>
    <d v="2024-03-04T00:00:00"/>
    <x v="35"/>
    <s v="Bookkeeping"/>
    <n v="0.1"/>
    <x v="62"/>
    <s v="Yes"/>
    <s v="Adhoc - send CTR FY22 report"/>
    <x v="1"/>
    <x v="2"/>
  </r>
  <r>
    <d v="2024-03-04T00:00:00"/>
    <x v="35"/>
    <s v="Bookkeeping"/>
    <n v="0.15"/>
    <x v="62"/>
    <s v="Yes"/>
    <s v="PL &amp; BS Report FY22 request"/>
    <x v="1"/>
    <x v="2"/>
  </r>
  <r>
    <d v="2024-03-04T00:00:00"/>
    <x v="35"/>
    <s v="Bookkeeping"/>
    <n v="0.28000000000000003"/>
    <x v="33"/>
    <s v="Yes"/>
    <m/>
    <x v="1"/>
    <x v="2"/>
  </r>
  <r>
    <d v="2024-03-04T00:00:00"/>
    <x v="35"/>
    <s v="Bookkeeping"/>
    <n v="2.0699999999999998"/>
    <x v="62"/>
    <s v="Yes"/>
    <s v="emails/queries, files"/>
    <x v="1"/>
    <x v="2"/>
  </r>
  <r>
    <d v="2024-03-04T00:00:00"/>
    <x v="35"/>
    <s v="Bookkeeping"/>
    <n v="2.5499999999999998"/>
    <x v="33"/>
    <s v="Yes"/>
    <s v="re -alloc"/>
    <x v="1"/>
    <x v="2"/>
  </r>
  <r>
    <d v="2024-03-04T00:00:00"/>
    <x v="35"/>
    <s v="General"/>
    <n v="0.15"/>
    <x v="11"/>
    <s v="No"/>
    <s v="email, asana"/>
    <x v="1"/>
    <x v="2"/>
  </r>
  <r>
    <d v="2024-03-04T00:00:00"/>
    <x v="35"/>
    <s v="Payroll Processing"/>
    <n v="0.4"/>
    <x v="31"/>
    <s v="Yes"/>
    <s v="vs. audit"/>
    <x v="1"/>
    <x v="2"/>
  </r>
  <r>
    <d v="2024-03-04T00:00:00"/>
    <x v="35"/>
    <s v="Payroll Processing"/>
    <n v="0.83"/>
    <x v="31"/>
    <s v="Yes"/>
    <s v="check Client auditors' queries"/>
    <x v="1"/>
    <x v="2"/>
  </r>
  <r>
    <d v="2024-03-04T00:00:00"/>
    <x v="35"/>
    <s v="Payroll Processing"/>
    <n v="1.45"/>
    <x v="31"/>
    <s v="Yes"/>
    <m/>
    <x v="1"/>
    <x v="2"/>
  </r>
  <r>
    <d v="2024-03-04T00:00:00"/>
    <x v="36"/>
    <s v="General"/>
    <n v="0.15"/>
    <x v="11"/>
    <s v="No"/>
    <s v="Dex emails"/>
    <x v="1"/>
    <x v="2"/>
  </r>
  <r>
    <d v="2024-03-04T00:00:00"/>
    <x v="36"/>
    <s v="Management Reporting"/>
    <n v="9.35"/>
    <x v="35"/>
    <s v="Yes"/>
    <m/>
    <x v="1"/>
    <x v="2"/>
  </r>
  <r>
    <d v="2024-03-04T00:00:00"/>
    <x v="37"/>
    <s v="General"/>
    <n v="1.02"/>
    <x v="11"/>
    <s v="No"/>
    <s v="Timesheet XPM review Weekly billable report Monthly billable report Monthly CPR Monthly billable roster"/>
    <x v="1"/>
    <x v="2"/>
  </r>
  <r>
    <d v="2024-03-04T00:00:00"/>
    <x v="37"/>
    <s v="General"/>
    <n v="2.5499999999999998"/>
    <x v="11"/>
    <s v="No"/>
    <s v="CPR commentaries requested by Nick Tax only client - filtering process study Call with Jordan"/>
    <x v="1"/>
    <x v="2"/>
  </r>
  <r>
    <d v="2024-03-04T00:00:00"/>
    <x v="37"/>
    <s v="General"/>
    <n v="2.8"/>
    <x v="11"/>
    <s v="No"/>
    <s v="Update capacity file and planning Review final pay recording, practice hands on Handover with Con - month end "/>
    <x v="1"/>
    <x v="2"/>
  </r>
  <r>
    <d v="2024-03-04T00:00:00"/>
    <x v="37"/>
    <s v="Meetings"/>
    <n v="0.98"/>
    <x v="11"/>
    <s v="No"/>
    <s v="Meeting with Ali and Nick"/>
    <x v="1"/>
    <x v="2"/>
  </r>
  <r>
    <d v="2024-03-04T00:00:00"/>
    <x v="37"/>
    <s v="Meetings"/>
    <n v="1.03"/>
    <x v="11"/>
    <s v="No"/>
    <s v="Handover with Con - Final pay"/>
    <x v="1"/>
    <x v="2"/>
  </r>
  <r>
    <d v="2024-03-04T00:00:00"/>
    <x v="38"/>
    <s v="Bookkeeping"/>
    <n v="8.57"/>
    <x v="15"/>
    <s v="Yes"/>
    <m/>
    <x v="1"/>
    <x v="2"/>
  </r>
  <r>
    <d v="2024-03-04T00:00:00"/>
    <x v="39"/>
    <s v="Bookkeeping"/>
    <n v="0.9"/>
    <x v="71"/>
    <s v="Yes"/>
    <s v="Fixing up cash clearing account plus reconciliation"/>
    <x v="1"/>
    <x v="2"/>
  </r>
  <r>
    <d v="2024-03-04T00:00:00"/>
    <x v="39"/>
    <s v="General"/>
    <n v="0.25"/>
    <x v="11"/>
    <s v="No"/>
    <s v="Morning emails and teams messages"/>
    <x v="1"/>
    <x v="2"/>
  </r>
  <r>
    <d v="2024-03-04T00:00:00"/>
    <x v="39"/>
    <s v="General"/>
    <n v="0.7"/>
    <x v="11"/>
    <s v="No"/>
    <s v="30 min break Discussions in the office"/>
    <x v="1"/>
    <x v="2"/>
  </r>
  <r>
    <d v="2024-03-04T00:00:00"/>
    <x v="39"/>
    <s v="Meetings"/>
    <n v="0.62"/>
    <x v="11"/>
    <s v="No"/>
    <s v="2:1 Ali and Nick"/>
    <x v="1"/>
    <x v="2"/>
  </r>
  <r>
    <d v="2024-03-04T00:00:00"/>
    <x v="39"/>
    <s v="Payroll Processing"/>
    <n v="0.27"/>
    <x v="15"/>
    <s v="Yes"/>
    <s v="Super - Feb24"/>
    <x v="1"/>
    <x v="2"/>
  </r>
  <r>
    <d v="2024-03-04T00:00:00"/>
    <x v="39"/>
    <s v="Payroll Processing"/>
    <n v="0.27"/>
    <x v="39"/>
    <s v="Yes"/>
    <s v="Load payroll payment, give Henry Bull access to Xero Me and add link for timesheets instructions"/>
    <x v="1"/>
    <x v="2"/>
  </r>
  <r>
    <d v="2024-03-04T00:00:00"/>
    <x v="39"/>
    <s v="Payroll Processing"/>
    <n v="0.32"/>
    <x v="75"/>
    <s v="Yes"/>
    <s v="Payroll review"/>
    <x v="1"/>
    <x v="2"/>
  </r>
  <r>
    <d v="2024-03-04T00:00:00"/>
    <x v="39"/>
    <s v="Payroll Processing"/>
    <n v="0.48"/>
    <x v="15"/>
    <s v="Yes"/>
    <s v="Call with Rejie to show how to setup new employees (monthly)"/>
    <x v="1"/>
    <x v="2"/>
  </r>
  <r>
    <d v="2024-03-04T00:00:00"/>
    <x v="39"/>
    <s v="Payroll Processing"/>
    <n v="0.75"/>
    <x v="34"/>
    <s v="Yes"/>
    <s v="Queries from Mahendra re leave liability report"/>
    <x v="1"/>
    <x v="2"/>
  </r>
  <r>
    <d v="2024-03-04T00:00:00"/>
    <x v="39"/>
    <s v="Payroll Processing"/>
    <n v="1"/>
    <x v="15"/>
    <s v="Yes"/>
    <s v="Fill out LS Corp claim form for Tyler McGlinchy Action payroll emails and update query sheet"/>
    <x v="1"/>
    <x v="2"/>
  </r>
  <r>
    <d v="2024-03-04T00:00:00"/>
    <x v="39"/>
    <s v="Payroll Processing"/>
    <n v="1.22"/>
    <x v="34"/>
    <s v="Yes"/>
    <s v="AL and LSL liability report"/>
    <x v="1"/>
    <x v="2"/>
  </r>
  <r>
    <d v="2024-03-04T00:00:00"/>
    <x v="39"/>
    <s v="Payroll Processing"/>
    <n v="1.23"/>
    <x v="34"/>
    <s v="Yes"/>
    <s v="Leave liability reports - Feb24"/>
    <x v="1"/>
    <x v="2"/>
  </r>
  <r>
    <d v="2024-03-04T00:00:00"/>
    <x v="41"/>
    <s v="Bookkeeping"/>
    <n v="0.82"/>
    <x v="36"/>
    <s v="Yes"/>
    <s v="AP run"/>
    <x v="1"/>
    <x v="2"/>
  </r>
  <r>
    <d v="2024-03-04T00:00:00"/>
    <x v="41"/>
    <s v="Bookkeeping"/>
    <n v="1.1499999999999999"/>
    <x v="36"/>
    <s v="Yes"/>
    <s v="AP run Cashflow update"/>
    <x v="1"/>
    <x v="2"/>
  </r>
  <r>
    <d v="2024-03-04T00:00:00"/>
    <x v="41"/>
    <s v="Bookkeeping"/>
    <n v="1.38"/>
    <x v="16"/>
    <s v="Yes"/>
    <s v="Inbox mgmt AP Export bank transactions and import to Xero"/>
    <x v="1"/>
    <x v="2"/>
  </r>
  <r>
    <d v="2024-03-04T00:00:00"/>
    <x v="41"/>
    <s v="General"/>
    <n v="0.5"/>
    <x v="11"/>
    <s v="No"/>
    <s v="Paid break"/>
    <x v="1"/>
    <x v="2"/>
  </r>
  <r>
    <d v="2024-03-04T00:00:00"/>
    <x v="41"/>
    <s v="General"/>
    <n v="0.63"/>
    <x v="11"/>
    <s v="No"/>
    <s v="Prepare handover file for MDF"/>
    <x v="1"/>
    <x v="2"/>
  </r>
  <r>
    <d v="2024-03-04T00:00:00"/>
    <x v="41"/>
    <s v="Meetings"/>
    <n v="0.5"/>
    <x v="11"/>
    <s v="No"/>
    <s v="Meeting with Shalini"/>
    <x v="1"/>
    <x v="2"/>
  </r>
  <r>
    <d v="2024-03-04T00:00:00"/>
    <x v="41"/>
    <s v="Payroll Processing"/>
    <n v="1.33"/>
    <x v="64"/>
    <s v="Yes"/>
    <s v="Payroll tax processing"/>
    <x v="1"/>
    <x v="2"/>
  </r>
  <r>
    <d v="2024-03-04T00:00:00"/>
    <x v="41"/>
    <s v="Payroll Processing"/>
    <n v="1.68"/>
    <x v="63"/>
    <s v="Yes"/>
    <s v="Payroll tax processing"/>
    <x v="1"/>
    <x v="2"/>
  </r>
  <r>
    <d v="2024-03-04T00:00:00"/>
    <x v="42"/>
    <s v="General"/>
    <n v="7.6"/>
    <x v="11"/>
    <s v="No"/>
    <s v="Meeting with LM, with SRAC team, with MDF, with Livewire team, meet and greet team, finalise training presentation etc"/>
    <x v="1"/>
    <x v="2"/>
  </r>
  <r>
    <d v="2024-03-04T00:00:00"/>
    <x v="43"/>
    <s v="Bookkeeping"/>
    <n v="0.25"/>
    <x v="15"/>
    <s v="Yes"/>
    <s v="AP Invoice"/>
    <x v="1"/>
    <x v="2"/>
  </r>
  <r>
    <d v="2024-03-04T00:00:00"/>
    <x v="43"/>
    <s v="Bookkeeping"/>
    <n v="0.92"/>
    <x v="15"/>
    <s v="No"/>
    <s v="Shadowing AP Payment run review"/>
    <x v="1"/>
    <x v="2"/>
  </r>
  <r>
    <d v="2024-03-04T00:00:00"/>
    <x v="43"/>
    <s v="Bookkeeping"/>
    <n v="2.25"/>
    <x v="15"/>
    <s v="No"/>
    <s v="Shadowing AP payment Run"/>
    <x v="1"/>
    <x v="2"/>
  </r>
  <r>
    <d v="2024-03-04T00:00:00"/>
    <x v="43"/>
    <s v="General"/>
    <n v="2.08"/>
    <x v="11"/>
    <s v="No"/>
    <s v="Training Month End"/>
    <x v="1"/>
    <x v="2"/>
  </r>
  <r>
    <d v="2024-03-04T00:00:00"/>
    <x v="43"/>
    <s v="Management Reporting"/>
    <n v="2"/>
    <x v="15"/>
    <s v="Yes"/>
    <s v="Cashflow"/>
    <x v="1"/>
    <x v="2"/>
  </r>
  <r>
    <d v="2024-03-04T00:00:00"/>
    <x v="43"/>
    <s v="Meetings"/>
    <n v="0.5"/>
    <x v="11"/>
    <s v="No"/>
    <s v="Catch up Meeting with Nick and Ali"/>
    <x v="1"/>
    <x v="2"/>
  </r>
  <r>
    <d v="2024-03-04T00:00:00"/>
    <x v="44"/>
    <s v="Adhoc Support &amp; Advice"/>
    <n v="0.1"/>
    <x v="66"/>
    <s v="Yes"/>
    <s v="emails Sharat and James / ARC"/>
    <x v="1"/>
    <x v="2"/>
  </r>
  <r>
    <d v="2024-03-04T00:00:00"/>
    <x v="44"/>
    <s v="Bookkeeping"/>
    <n v="0.3"/>
    <x v="16"/>
    <s v="Yes"/>
    <s v="Create shares 3TOP in 3TOP and BAM accounts"/>
    <x v="1"/>
    <x v="2"/>
  </r>
  <r>
    <d v="2024-03-04T00:00:00"/>
    <x v="44"/>
    <s v="Bookkeeping"/>
    <n v="0.8"/>
    <x v="16"/>
    <s v="Yes"/>
    <s v="review BAM BS rec"/>
    <x v="1"/>
    <x v="2"/>
  </r>
  <r>
    <d v="2024-03-04T00:00:00"/>
    <x v="44"/>
    <s v="Bookkeeping"/>
    <n v="1.1000000000000001"/>
    <x v="16"/>
    <s v="Yes"/>
    <s v="BELCR payments, update spreadsheet, pmt ITR, Greg's salary calculation"/>
    <x v="1"/>
    <x v="2"/>
  </r>
  <r>
    <d v="2024-03-04T00:00:00"/>
    <x v="44"/>
    <s v="Bookkeeping"/>
    <n v="1.5"/>
    <x v="16"/>
    <s v="Yes"/>
    <s v="BASS- template invoice to BAML - redo invoices and resend to Addie"/>
    <x v="1"/>
    <x v="2"/>
  </r>
  <r>
    <d v="2024-03-04T00:00:00"/>
    <x v="44"/>
    <s v="Client Manager"/>
    <n v="0.2"/>
    <x v="67"/>
    <s v="Yes"/>
    <s v="ATO statements for Tim"/>
    <x v="1"/>
    <x v="2"/>
  </r>
  <r>
    <d v="2024-03-04T00:00:00"/>
    <x v="44"/>
    <s v="Client Manager"/>
    <n v="0.2"/>
    <x v="67"/>
    <s v="Yes"/>
    <s v="F/up month end with Ann "/>
    <x v="1"/>
    <x v="2"/>
  </r>
  <r>
    <d v="2024-03-04T00:00:00"/>
    <x v="44"/>
    <s v="Client Manager"/>
    <n v="0.8"/>
    <x v="16"/>
    <s v="Yes"/>
    <s v="emails, liaise with Rachele and Sarah"/>
    <x v="1"/>
    <x v="2"/>
  </r>
  <r>
    <d v="2024-03-04T00:00:00"/>
    <x v="44"/>
    <s v="Client Meeting"/>
    <n v="2"/>
    <x v="16"/>
    <s v="Yes"/>
    <s v="catch up Stephen x2"/>
    <x v="1"/>
    <x v="2"/>
  </r>
  <r>
    <d v="2024-03-04T00:00:00"/>
    <x v="44"/>
    <s v="General"/>
    <n v="0.7"/>
    <x v="11"/>
    <s v="No"/>
    <s v="Asana, teams, emails, timesheet"/>
    <x v="1"/>
    <x v="2"/>
  </r>
  <r>
    <d v="2024-03-04T00:00:00"/>
    <x v="45"/>
    <s v="General"/>
    <n v="4"/>
    <x v="11"/>
    <s v="No"/>
    <e v="#NAME?"/>
    <x v="1"/>
    <x v="2"/>
  </r>
  <r>
    <d v="2024-03-04T00:00:00"/>
    <x v="45"/>
    <s v="HR/Recuitment"/>
    <n v="4"/>
    <x v="11"/>
    <s v="No"/>
    <e v="#NAME?"/>
    <x v="1"/>
    <x v="2"/>
  </r>
  <r>
    <d v="2024-03-05T00:00:00"/>
    <x v="0"/>
    <s v="Bookkeeping"/>
    <n v="0.08"/>
    <x v="7"/>
    <s v="Yes"/>
    <s v="Accounts Receivable"/>
    <x v="1"/>
    <x v="3"/>
  </r>
  <r>
    <d v="2024-03-05T00:00:00"/>
    <x v="0"/>
    <s v="Bookkeeping"/>
    <n v="0.1"/>
    <x v="7"/>
    <s v="Yes"/>
    <s v="Email"/>
    <x v="1"/>
    <x v="3"/>
  </r>
  <r>
    <d v="2024-03-05T00:00:00"/>
    <x v="0"/>
    <s v="Bookkeeping"/>
    <n v="0.13"/>
    <x v="3"/>
    <s v="Yes"/>
    <s v="Bank Reconciliation"/>
    <x v="1"/>
    <x v="3"/>
  </r>
  <r>
    <d v="2024-03-05T00:00:00"/>
    <x v="0"/>
    <s v="Bookkeeping"/>
    <n v="0.2"/>
    <x v="6"/>
    <s v="Yes"/>
    <s v="Emails"/>
    <x v="1"/>
    <x v="3"/>
  </r>
  <r>
    <d v="2024-03-05T00:00:00"/>
    <x v="0"/>
    <s v="Bookkeeping"/>
    <n v="0.23"/>
    <x v="5"/>
    <s v="Yes"/>
    <s v="Recode transactions"/>
    <x v="1"/>
    <x v="3"/>
  </r>
  <r>
    <d v="2024-03-05T00:00:00"/>
    <x v="0"/>
    <s v="Bookkeeping"/>
    <n v="0.45"/>
    <x v="4"/>
    <s v="Yes"/>
    <s v="Bank Reconciliation"/>
    <x v="1"/>
    <x v="3"/>
  </r>
  <r>
    <d v="2024-03-05T00:00:00"/>
    <x v="0"/>
    <s v="Bookkeeping"/>
    <n v="0.52"/>
    <x v="5"/>
    <s v="Yes"/>
    <s v="Re-code transactions"/>
    <x v="1"/>
    <x v="3"/>
  </r>
  <r>
    <d v="2024-03-05T00:00:00"/>
    <x v="0"/>
    <s v="Bookkeeping"/>
    <n v="1.22"/>
    <x v="4"/>
    <s v="Yes"/>
    <s v="Accounts Payable"/>
    <x v="1"/>
    <x v="3"/>
  </r>
  <r>
    <d v="2024-03-05T00:00:00"/>
    <x v="0"/>
    <s v="Bookkeeping"/>
    <n v="1.58"/>
    <x v="9"/>
    <s v="Yes"/>
    <s v="Enter bills in Sage"/>
    <x v="1"/>
    <x v="3"/>
  </r>
  <r>
    <d v="2024-03-05T00:00:00"/>
    <x v="0"/>
    <s v="Bookkeeping"/>
    <n v="1.67"/>
    <x v="5"/>
    <s v="Yes"/>
    <s v="Bank Reconciliation"/>
    <x v="1"/>
    <x v="3"/>
  </r>
  <r>
    <d v="2024-03-05T00:00:00"/>
    <x v="0"/>
    <s v="Learning &amp; Development"/>
    <n v="0.4"/>
    <x v="11"/>
    <s v="No"/>
    <s v="Handover Process Training"/>
    <x v="1"/>
    <x v="3"/>
  </r>
  <r>
    <d v="2024-03-05T00:00:00"/>
    <x v="0"/>
    <s v="Learning &amp; Development"/>
    <n v="0.53"/>
    <x v="11"/>
    <s v="No"/>
    <s v="EOFY Wrap Up Training"/>
    <x v="1"/>
    <x v="3"/>
  </r>
  <r>
    <d v="2024-03-05T00:00:00"/>
    <x v="0"/>
    <s v="Payroll Processing"/>
    <n v="7.0000000000000007E-2"/>
    <x v="80"/>
    <s v="Yes"/>
    <m/>
    <x v="1"/>
    <x v="3"/>
  </r>
  <r>
    <d v="2024-03-05T00:00:00"/>
    <x v="0"/>
    <s v="Payroll Processing"/>
    <n v="0.22"/>
    <x v="8"/>
    <s v="Yes"/>
    <m/>
    <x v="1"/>
    <x v="3"/>
  </r>
  <r>
    <d v="2024-03-05T00:00:00"/>
    <x v="0"/>
    <s v="Payroll Processing"/>
    <n v="0.27"/>
    <x v="12"/>
    <s v="Yes"/>
    <s v="Payroll Tax"/>
    <x v="1"/>
    <x v="3"/>
  </r>
  <r>
    <d v="2024-03-05T00:00:00"/>
    <x v="0"/>
    <s v="Payroll Processing"/>
    <n v="0.33"/>
    <x v="12"/>
    <s v="Yes"/>
    <m/>
    <x v="1"/>
    <x v="3"/>
  </r>
  <r>
    <d v="2024-03-05T00:00:00"/>
    <x v="1"/>
    <s v="P&amp;C Advisory - Group"/>
    <n v="0.57999999999999996"/>
    <x v="14"/>
    <s v="Yes"/>
    <s v="Correspondence re. staff (employment status) for remuneration review) Remuneration review spreadsheet Status report template"/>
    <x v="1"/>
    <x v="3"/>
  </r>
  <r>
    <d v="2024-03-05T00:00:00"/>
    <x v="1"/>
    <s v="P&amp;C Advisory - Nederman PT"/>
    <n v="0.17"/>
    <x v="14"/>
    <s v="Yes"/>
    <s v="Correspondence re. PT's remote working policy"/>
    <x v="1"/>
    <x v="3"/>
  </r>
  <r>
    <d v="2024-03-05T00:00:00"/>
    <x v="1"/>
    <s v="P&amp;C Advisory - Nordfab"/>
    <n v="1"/>
    <x v="14"/>
    <s v="Yes"/>
    <s v="Correspondence re. CSG role and internal appointment Correspondence re. disciplinary meeting Correspondence re. role change Draft letter for investigatory meeting"/>
    <x v="1"/>
    <x v="3"/>
  </r>
  <r>
    <d v="2024-03-05T00:00:00"/>
    <x v="2"/>
    <s v="Bookkeeping"/>
    <n v="0.08"/>
    <x v="67"/>
    <s v="Yes"/>
    <s v="check Xero support"/>
    <x v="1"/>
    <x v="3"/>
  </r>
  <r>
    <d v="2024-03-05T00:00:00"/>
    <x v="2"/>
    <s v="Bookkeeping"/>
    <n v="0.17"/>
    <x v="67"/>
    <s v="Yes"/>
    <s v="raise issue to Xero support - CFM"/>
    <x v="1"/>
    <x v="3"/>
  </r>
  <r>
    <d v="2024-03-05T00:00:00"/>
    <x v="2"/>
    <s v="Bookkeeping"/>
    <n v="0.3"/>
    <x v="67"/>
    <s v="Yes"/>
    <s v="Respond to Nick's query, emails"/>
    <x v="1"/>
    <x v="3"/>
  </r>
  <r>
    <d v="2024-03-05T00:00:00"/>
    <x v="2"/>
    <s v="Bookkeeping"/>
    <n v="0.57999999999999996"/>
    <x v="33"/>
    <s v="No"/>
    <s v="team catchup"/>
    <x v="1"/>
    <x v="3"/>
  </r>
  <r>
    <d v="2024-03-05T00:00:00"/>
    <x v="2"/>
    <s v="Bookkeeping"/>
    <n v="0.62"/>
    <x v="58"/>
    <s v="Yes"/>
    <m/>
    <x v="1"/>
    <x v="3"/>
  </r>
  <r>
    <d v="2024-03-05T00:00:00"/>
    <x v="2"/>
    <s v="Bookkeeping"/>
    <n v="0.8"/>
    <x v="67"/>
    <s v="Yes"/>
    <s v="Loans rec"/>
    <x v="1"/>
    <x v="3"/>
  </r>
  <r>
    <d v="2024-03-05T00:00:00"/>
    <x v="2"/>
    <s v="Bookkeeping"/>
    <n v="1.85"/>
    <x v="67"/>
    <s v="Yes"/>
    <s v="Unit register rec"/>
    <x v="1"/>
    <x v="3"/>
  </r>
  <r>
    <d v="2024-03-05T00:00:00"/>
    <x v="2"/>
    <s v="General"/>
    <n v="0.22"/>
    <x v="11"/>
    <s v="No"/>
    <m/>
    <x v="1"/>
    <x v="3"/>
  </r>
  <r>
    <d v="2024-03-05T00:00:00"/>
    <x v="2"/>
    <s v="General"/>
    <n v="0.32"/>
    <x v="11"/>
    <s v="No"/>
    <s v="Sprout, Asana, emails, chats, etc"/>
    <x v="1"/>
    <x v="3"/>
  </r>
  <r>
    <d v="2024-03-05T00:00:00"/>
    <x v="2"/>
    <s v="General"/>
    <n v="0.63"/>
    <x v="11"/>
    <s v="No"/>
    <s v="capacity file review and update, chats, check meeting schedules and raise conflicting scheds"/>
    <x v="1"/>
    <x v="3"/>
  </r>
  <r>
    <d v="2024-03-05T00:00:00"/>
    <x v="2"/>
    <s v="General"/>
    <n v="0.63"/>
    <x v="11"/>
    <s v="No"/>
    <s v="update capacity, EOM nomination, chats re concerns, follow ups, etc"/>
    <x v="1"/>
    <x v="3"/>
  </r>
  <r>
    <d v="2024-03-05T00:00:00"/>
    <x v="2"/>
    <s v="Learning &amp; Development"/>
    <n v="1.93"/>
    <x v="11"/>
    <s v="No"/>
    <s v="trainings"/>
    <x v="1"/>
    <x v="3"/>
  </r>
  <r>
    <d v="2024-03-05T00:00:00"/>
    <x v="3"/>
    <s v="Business Development"/>
    <n v="8"/>
    <x v="11"/>
    <s v="No"/>
    <s v="meeting with Miguel : Intranet QMS folder  continuation of flows /manual"/>
    <x v="1"/>
    <x v="3"/>
  </r>
  <r>
    <d v="2024-03-05T00:00:00"/>
    <x v="4"/>
    <s v="Business Development"/>
    <n v="7"/>
    <x v="11"/>
    <s v="No"/>
    <m/>
    <x v="1"/>
    <x v="3"/>
  </r>
  <r>
    <d v="2024-03-05T00:00:00"/>
    <x v="5"/>
    <s v="Bookkeeping"/>
    <n v="1.77"/>
    <x v="15"/>
    <s v="Yes"/>
    <s v="Email Management "/>
    <x v="1"/>
    <x v="3"/>
  </r>
  <r>
    <d v="2024-03-05T00:00:00"/>
    <x v="5"/>
    <s v="Bookkeeping"/>
    <n v="2.27"/>
    <x v="15"/>
    <s v="Yes"/>
    <s v="AP Processing "/>
    <x v="1"/>
    <x v="3"/>
  </r>
  <r>
    <d v="2024-03-05T00:00:00"/>
    <x v="5"/>
    <s v="Bookkeeping"/>
    <n v="3.52"/>
    <x v="15"/>
    <s v="Yes"/>
    <s v="Continuation of pending invoices lists "/>
    <x v="1"/>
    <x v="3"/>
  </r>
  <r>
    <d v="2024-03-05T00:00:00"/>
    <x v="5"/>
    <s v="Meetings"/>
    <n v="1"/>
    <x v="11"/>
    <s v="No"/>
    <s v="Handover Process - with Shalini "/>
    <x v="1"/>
    <x v="3"/>
  </r>
  <r>
    <d v="2024-03-05T00:00:00"/>
    <x v="6"/>
    <s v="Automations"/>
    <n v="3"/>
    <x v="11"/>
    <s v="No"/>
    <s v="SimproReportsAutomationV3 • Used the “text exists” activity to replace the “check app state” activity in the Xero Login • Updated sequences and activities • Tested and ran the bot for possible errors  EmmaAutomationUpdateInvoiceAndPurchaseOrder • Used the “text exists” activity to replace the “check app state” activity in the Xero Login • Updated sequences and activities • Tested and ran the bot for possible errors"/>
    <x v="1"/>
    <x v="3"/>
  </r>
  <r>
    <d v="2024-03-05T00:00:00"/>
    <x v="6"/>
    <s v="Automations - Pinnacle"/>
    <n v="5"/>
    <x v="11"/>
    <s v="No"/>
    <s v="XeroDownloadReportsAutomation • Updated sequences and activities • Added delay and rename sheet activities to rename each sheet of the downloaded files before consolidation • Tested and ran the bot for possible errors"/>
    <x v="1"/>
    <x v="3"/>
  </r>
  <r>
    <d v="2024-03-05T00:00:00"/>
    <x v="9"/>
    <s v="Automations - Alliance"/>
    <n v="9"/>
    <x v="11"/>
    <s v="No"/>
    <s v="Alliance Report Demo and testing."/>
    <x v="1"/>
    <x v="3"/>
  </r>
  <r>
    <d v="2024-03-05T00:00:00"/>
    <x v="10"/>
    <s v="Sick Leave"/>
    <n v="8"/>
    <x v="11"/>
    <s v="No"/>
    <s v="I had a fever"/>
    <x v="1"/>
    <x v="3"/>
  </r>
  <r>
    <d v="2024-03-05T00:00:00"/>
    <x v="11"/>
    <s v="Bookkeeping"/>
    <n v="0.13"/>
    <x v="12"/>
    <s v="Yes"/>
    <s v="resolving bank integration issue"/>
    <x v="1"/>
    <x v="3"/>
  </r>
  <r>
    <d v="2024-03-05T00:00:00"/>
    <x v="11"/>
    <s v="Bookkeeping"/>
    <n v="0.37"/>
    <x v="25"/>
    <s v="Yes"/>
    <s v="queries"/>
    <x v="1"/>
    <x v="3"/>
  </r>
  <r>
    <d v="2024-03-05T00:00:00"/>
    <x v="11"/>
    <s v="Bookkeeping"/>
    <n v="0.55000000000000004"/>
    <x v="27"/>
    <s v="Yes"/>
    <s v="inbox/queries"/>
    <x v="1"/>
    <x v="3"/>
  </r>
  <r>
    <d v="2024-03-05T00:00:00"/>
    <x v="11"/>
    <s v="Bookkeeping"/>
    <n v="1.37"/>
    <x v="42"/>
    <s v="Yes"/>
    <s v="ME tasks"/>
    <x v="1"/>
    <x v="3"/>
  </r>
  <r>
    <d v="2024-03-05T00:00:00"/>
    <x v="11"/>
    <s v="General"/>
    <n v="0.12"/>
    <x v="11"/>
    <s v="No"/>
    <s v="emails/ admin"/>
    <x v="1"/>
    <x v="3"/>
  </r>
  <r>
    <d v="2024-03-05T00:00:00"/>
    <x v="11"/>
    <s v="General"/>
    <n v="0.15"/>
    <x v="11"/>
    <s v="No"/>
    <s v="inbox"/>
    <x v="1"/>
    <x v="3"/>
  </r>
  <r>
    <d v="2024-03-05T00:00:00"/>
    <x v="11"/>
    <s v="General"/>
    <n v="0.33"/>
    <x v="11"/>
    <s v="No"/>
    <s v="emails/tams/queries"/>
    <x v="1"/>
    <x v="3"/>
  </r>
  <r>
    <d v="2024-03-05T00:00:00"/>
    <x v="11"/>
    <s v="General"/>
    <n v="0.35"/>
    <x v="11"/>
    <s v="No"/>
    <s v="monitor and ff up BAS &amp; IAS"/>
    <x v="1"/>
    <x v="3"/>
  </r>
  <r>
    <d v="2024-03-05T00:00:00"/>
    <x v="11"/>
    <s v="General"/>
    <n v="0.5"/>
    <x v="11"/>
    <s v="No"/>
    <s v="break"/>
    <x v="1"/>
    <x v="3"/>
  </r>
  <r>
    <d v="2024-03-05T00:00:00"/>
    <x v="11"/>
    <s v="HR/Recuitment"/>
    <n v="0.47"/>
    <x v="11"/>
    <s v="No"/>
    <s v="technical assessment of Karen Odiongan"/>
    <x v="1"/>
    <x v="3"/>
  </r>
  <r>
    <d v="2024-03-05T00:00:00"/>
    <x v="11"/>
    <s v="Learning &amp; Development"/>
    <n v="2.13"/>
    <x v="11"/>
    <s v="No"/>
    <s v="training sessions with Shalini"/>
    <x v="1"/>
    <x v="3"/>
  </r>
  <r>
    <d v="2024-03-05T00:00:00"/>
    <x v="11"/>
    <s v="Meetings"/>
    <n v="1.53"/>
    <x v="11"/>
    <s v="No"/>
    <s v="1:1 with Nick and Ali"/>
    <x v="1"/>
    <x v="3"/>
  </r>
  <r>
    <d v="2024-03-05T00:00:00"/>
    <x v="12"/>
    <s v="General"/>
    <n v="9.5299999999999994"/>
    <x v="11"/>
    <s v="No"/>
    <e v="#NAME?"/>
    <x v="1"/>
    <x v="3"/>
  </r>
  <r>
    <d v="2024-03-05T00:00:00"/>
    <x v="13"/>
    <s v="Bookkeeping"/>
    <n v="0.87"/>
    <x v="29"/>
    <s v="Yes"/>
    <s v="Ap invoices"/>
    <x v="1"/>
    <x v="3"/>
  </r>
  <r>
    <d v="2024-03-05T00:00:00"/>
    <x v="13"/>
    <s v="Bookkeeping"/>
    <n v="0.93"/>
    <x v="30"/>
    <s v="Yes"/>
    <s v="bank recon AP report"/>
    <x v="1"/>
    <x v="3"/>
  </r>
  <r>
    <d v="2024-03-05T00:00:00"/>
    <x v="13"/>
    <s v="Bookkeeping"/>
    <n v="1.5"/>
    <x v="28"/>
    <s v="Yes"/>
    <s v="ap invoices"/>
    <x v="1"/>
    <x v="3"/>
  </r>
  <r>
    <d v="2024-03-05T00:00:00"/>
    <x v="13"/>
    <s v="Bookkeeping"/>
    <n v="1.7"/>
    <x v="71"/>
    <s v="Yes"/>
    <s v="ap invoices"/>
    <x v="1"/>
    <x v="3"/>
  </r>
  <r>
    <d v="2024-03-05T00:00:00"/>
    <x v="13"/>
    <s v="Bookkeeping - AP"/>
    <n v="0.67"/>
    <x v="31"/>
    <s v="Yes"/>
    <s v="approve ap invoices"/>
    <x v="1"/>
    <x v="3"/>
  </r>
  <r>
    <d v="2024-03-05T00:00:00"/>
    <x v="13"/>
    <s v="Bookkeeping - AP"/>
    <n v="0.77"/>
    <x v="31"/>
    <s v="Yes"/>
    <s v="ap invoices"/>
    <x v="1"/>
    <x v="3"/>
  </r>
  <r>
    <d v="2024-03-05T00:00:00"/>
    <x v="13"/>
    <s v="General"/>
    <n v="0.5"/>
    <x v="11"/>
    <s v="No"/>
    <s v="break"/>
    <x v="1"/>
    <x v="3"/>
  </r>
  <r>
    <d v="2024-03-05T00:00:00"/>
    <x v="13"/>
    <s v="Learning &amp; Development"/>
    <n v="1.07"/>
    <x v="11"/>
    <s v="No"/>
    <s v="training with Shalini Hand over EOFY"/>
    <x v="1"/>
    <x v="3"/>
  </r>
  <r>
    <d v="2024-03-05T00:00:00"/>
    <x v="14"/>
    <s v="Bookkeeping"/>
    <n v="0.23"/>
    <x v="73"/>
    <s v="Yes"/>
    <s v="Bank recs"/>
    <x v="1"/>
    <x v="3"/>
  </r>
  <r>
    <d v="2024-03-05T00:00:00"/>
    <x v="14"/>
    <s v="Bookkeeping"/>
    <n v="0.28000000000000003"/>
    <x v="32"/>
    <s v="Yes"/>
    <s v="AR invoice"/>
    <x v="1"/>
    <x v="3"/>
  </r>
  <r>
    <d v="2024-03-05T00:00:00"/>
    <x v="14"/>
    <s v="Bookkeeping"/>
    <n v="0.57999999999999996"/>
    <x v="32"/>
    <s v="Yes"/>
    <s v="Checking super payment docs as requested by client"/>
    <x v="1"/>
    <x v="3"/>
  </r>
  <r>
    <d v="2024-03-05T00:00:00"/>
    <x v="14"/>
    <s v="Bookkeeping"/>
    <n v="0.67"/>
    <x v="32"/>
    <s v="Yes"/>
    <s v="Bank recs, recording of invoices"/>
    <x v="1"/>
    <x v="3"/>
  </r>
  <r>
    <d v="2024-03-05T00:00:00"/>
    <x v="14"/>
    <s v="Bookkeeping"/>
    <n v="0.73"/>
    <x v="73"/>
    <s v="Yes"/>
    <s v="Bank rec queries, bank recs"/>
    <x v="1"/>
    <x v="3"/>
  </r>
  <r>
    <d v="2024-03-05T00:00:00"/>
    <x v="14"/>
    <s v="Client Meeting"/>
    <n v="0.6"/>
    <x v="33"/>
    <s v="No"/>
    <s v="Weekly meeting with Shalini"/>
    <x v="1"/>
    <x v="3"/>
  </r>
  <r>
    <d v="2024-03-05T00:00:00"/>
    <x v="14"/>
    <s v="General"/>
    <n v="0.23"/>
    <x v="11"/>
    <s v="No"/>
    <s v="Checking emails, asana, fixing sprout logs"/>
    <x v="1"/>
    <x v="3"/>
  </r>
  <r>
    <d v="2024-03-05T00:00:00"/>
    <x v="14"/>
    <s v="Learning &amp; Development"/>
    <n v="1.78"/>
    <x v="11"/>
    <s v="No"/>
    <s v="Training with Shalini"/>
    <x v="1"/>
    <x v="3"/>
  </r>
  <r>
    <d v="2024-03-05T00:00:00"/>
    <x v="14"/>
    <s v="Payroll Processing"/>
    <n v="2.88"/>
    <x v="34"/>
    <s v="Yes"/>
    <s v="Payroll"/>
    <x v="1"/>
    <x v="3"/>
  </r>
  <r>
    <d v="2024-03-05T00:00:00"/>
    <x v="15"/>
    <s v="Client Meeting"/>
    <n v="0.13"/>
    <x v="18"/>
    <s v="No"/>
    <s v="respond to client - email invite"/>
    <x v="1"/>
    <x v="3"/>
  </r>
  <r>
    <d v="2024-03-05T00:00:00"/>
    <x v="15"/>
    <s v="Client Meeting"/>
    <n v="2.0299999999999998"/>
    <x v="18"/>
    <s v="No"/>
    <s v="review onboarding client information checklist, prepare"/>
    <x v="1"/>
    <x v="3"/>
  </r>
  <r>
    <d v="2024-03-05T00:00:00"/>
    <x v="15"/>
    <s v="Financial Statements"/>
    <n v="0.65"/>
    <x v="68"/>
    <s v="Yes"/>
    <s v="update journals"/>
    <x v="1"/>
    <x v="3"/>
  </r>
  <r>
    <d v="2024-03-05T00:00:00"/>
    <x v="15"/>
    <s v="General"/>
    <n v="0.65"/>
    <x v="11"/>
    <s v="No"/>
    <s v="emails, asana, chat"/>
    <x v="1"/>
    <x v="3"/>
  </r>
  <r>
    <d v="2024-03-05T00:00:00"/>
    <x v="15"/>
    <s v="General"/>
    <n v="3.82"/>
    <x v="11"/>
    <s v="No"/>
    <s v="review onboarding checklist, meeting with yacht life on going training with Shalini"/>
    <x v="1"/>
    <x v="3"/>
  </r>
  <r>
    <d v="2024-03-05T00:00:00"/>
    <x v="15"/>
    <s v="Learning &amp; Development"/>
    <n v="1.1200000000000001"/>
    <x v="11"/>
    <s v="No"/>
    <s v="handover training, eofy wrap up with shalini"/>
    <x v="1"/>
    <x v="3"/>
  </r>
  <r>
    <d v="2024-03-05T00:00:00"/>
    <x v="16"/>
    <s v="Bookkeeping"/>
    <n v="6.12"/>
    <x v="35"/>
    <s v="Yes"/>
    <m/>
    <x v="1"/>
    <x v="3"/>
  </r>
  <r>
    <d v="2024-03-05T00:00:00"/>
    <x v="16"/>
    <s v="Learning &amp; Development"/>
    <n v="1.4"/>
    <x v="11"/>
    <s v="No"/>
    <s v="Training Session- Shalni"/>
    <x v="1"/>
    <x v="3"/>
  </r>
  <r>
    <d v="2024-03-05T00:00:00"/>
    <x v="16"/>
    <s v="Meetings"/>
    <n v="0.5"/>
    <x v="11"/>
    <s v="No"/>
    <s v="Catch up- NIck"/>
    <x v="1"/>
    <x v="3"/>
  </r>
  <r>
    <d v="2024-03-05T00:00:00"/>
    <x v="17"/>
    <s v="P&amp;C Advisory"/>
    <n v="9.33"/>
    <x v="34"/>
    <s v="Yes"/>
    <s v="Phone screens 1 x recruitment interview 1 x investigation interview Inbox &amp; phone calls Handover mtg with Dex Salary Review mtg MD "/>
    <x v="1"/>
    <x v="3"/>
  </r>
  <r>
    <d v="2024-03-05T00:00:00"/>
    <x v="18"/>
    <s v="Bookkeeping"/>
    <n v="0.15"/>
    <x v="37"/>
    <s v="Yes"/>
    <m/>
    <x v="1"/>
    <x v="3"/>
  </r>
  <r>
    <d v="2024-03-05T00:00:00"/>
    <x v="18"/>
    <s v="Bookkeeping"/>
    <n v="0.3"/>
    <x v="40"/>
    <s v="Yes"/>
    <s v="import missing transactions not sent through CSV by client"/>
    <x v="1"/>
    <x v="3"/>
  </r>
  <r>
    <d v="2024-03-05T00:00:00"/>
    <x v="18"/>
    <s v="Bookkeeping"/>
    <n v="0.38"/>
    <x v="36"/>
    <s v="Yes"/>
    <s v="Month end sales invoices, bank recon, ap items"/>
    <x v="1"/>
    <x v="3"/>
  </r>
  <r>
    <d v="2024-03-05T00:00:00"/>
    <x v="18"/>
    <s v="Bookkeeping"/>
    <n v="0.53"/>
    <x v="40"/>
    <s v="Yes"/>
    <s v="Reconciled CC4195, 1925, 6146, 0405"/>
    <x v="1"/>
    <x v="3"/>
  </r>
  <r>
    <d v="2024-03-05T00:00:00"/>
    <x v="18"/>
    <s v="Bookkeeping"/>
    <n v="0.55000000000000004"/>
    <x v="27"/>
    <s v="Yes"/>
    <s v="Livewire &amp; Fintech finalise forecast report"/>
    <x v="1"/>
    <x v="3"/>
  </r>
  <r>
    <d v="2024-03-05T00:00:00"/>
    <x v="18"/>
    <s v="Bookkeeping"/>
    <n v="0.65"/>
    <x v="40"/>
    <s v="Yes"/>
    <s v="upload and reconcile February 2024 transactions and sent to client items for queries"/>
    <x v="1"/>
    <x v="3"/>
  </r>
  <r>
    <d v="2024-03-05T00:00:00"/>
    <x v="18"/>
    <s v="Bookkeeping"/>
    <n v="1.05"/>
    <x v="40"/>
    <s v="Yes"/>
    <s v="invoices from procore"/>
    <x v="1"/>
    <x v="3"/>
  </r>
  <r>
    <d v="2024-03-05T00:00:00"/>
    <x v="18"/>
    <s v="Bookkeeping"/>
    <n v="1.18"/>
    <x v="41"/>
    <s v="Yes"/>
    <m/>
    <x v="1"/>
    <x v="3"/>
  </r>
  <r>
    <d v="2024-03-05T00:00:00"/>
    <x v="18"/>
    <s v="Bookkeeping"/>
    <n v="2.92"/>
    <x v="27"/>
    <s v="Yes"/>
    <m/>
    <x v="1"/>
    <x v="3"/>
  </r>
  <r>
    <d v="2024-03-05T00:00:00"/>
    <x v="18"/>
    <s v="Learning &amp; Development"/>
    <n v="1.02"/>
    <x v="11"/>
    <s v="No"/>
    <s v="Handover Process - with Shalini &amp; End of Financial Year Wrap Up - with Shalini"/>
    <x v="1"/>
    <x v="3"/>
  </r>
  <r>
    <d v="2024-03-05T00:00:00"/>
    <x v="19"/>
    <s v="Automations - Surefire"/>
    <n v="8"/>
    <x v="11"/>
    <s v="No"/>
    <s v="SureFire Services Automation."/>
    <x v="1"/>
    <x v="3"/>
  </r>
  <r>
    <d v="2024-03-05T00:00:00"/>
    <x v="20"/>
    <s v="Automations"/>
    <n v="8"/>
    <x v="11"/>
    <s v="No"/>
    <m/>
    <x v="1"/>
    <x v="3"/>
  </r>
  <r>
    <d v="2024-03-05T00:00:00"/>
    <x v="21"/>
    <s v="Automations"/>
    <n v="8"/>
    <x v="11"/>
    <s v="No"/>
    <s v="Run: Lack of Color Dev: Primebuild Payroll Processing Dev: Oporto Automation"/>
    <x v="1"/>
    <x v="3"/>
  </r>
  <r>
    <d v="2024-03-05T00:00:00"/>
    <x v="22"/>
    <s v="Bookkeeping"/>
    <n v="7.0000000000000007E-2"/>
    <x v="26"/>
    <s v="Yes"/>
    <s v="Review bank rec queries"/>
    <x v="1"/>
    <x v="3"/>
  </r>
  <r>
    <d v="2024-03-05T00:00:00"/>
    <x v="22"/>
    <s v="Bookkeeping"/>
    <n v="0.12"/>
    <x v="49"/>
    <s v="Yes"/>
    <s v="Journals for ATO and email to Eric"/>
    <x v="1"/>
    <x v="3"/>
  </r>
  <r>
    <d v="2024-03-05T00:00:00"/>
    <x v="22"/>
    <s v="Bookkeeping"/>
    <n v="0.13"/>
    <x v="50"/>
    <s v="Yes"/>
    <s v="Journals and reconcile ATO account"/>
    <x v="1"/>
    <x v="3"/>
  </r>
  <r>
    <d v="2024-03-05T00:00:00"/>
    <x v="22"/>
    <s v="Bookkeeping"/>
    <n v="0.17"/>
    <x v="19"/>
    <s v="Yes"/>
    <s v="Reconcile ICA and add bank details"/>
    <x v="1"/>
    <x v="3"/>
  </r>
  <r>
    <d v="2024-03-05T00:00:00"/>
    <x v="22"/>
    <s v="Bookkeeping"/>
    <n v="0.2"/>
    <x v="20"/>
    <s v="Yes"/>
    <s v="Journals for IAS"/>
    <x v="1"/>
    <x v="3"/>
  </r>
  <r>
    <d v="2024-03-05T00:00:00"/>
    <x v="22"/>
    <s v="Bookkeeping"/>
    <n v="0.35"/>
    <x v="20"/>
    <s v="Yes"/>
    <s v="End of month journals and process"/>
    <x v="1"/>
    <x v="3"/>
  </r>
  <r>
    <d v="2024-03-05T00:00:00"/>
    <x v="22"/>
    <s v="Bookkeeping"/>
    <n v="0.37"/>
    <x v="19"/>
    <s v="Yes"/>
    <s v="End of month process and journals - 43 mins total 3.18 to 4pm, split to Ulladulla ./ Warrawong."/>
    <x v="1"/>
    <x v="3"/>
  </r>
  <r>
    <d v="2024-03-05T00:00:00"/>
    <x v="22"/>
    <s v="Client Manager"/>
    <n v="0.27"/>
    <x v="43"/>
    <s v="Yes"/>
    <s v="Email re payroll and fees"/>
    <x v="1"/>
    <x v="3"/>
  </r>
  <r>
    <d v="2024-03-05T00:00:00"/>
    <x v="22"/>
    <s v="General"/>
    <n v="0.17"/>
    <x v="11"/>
    <s v="No"/>
    <s v="Teams and review email to check nothing urgent"/>
    <x v="1"/>
    <x v="3"/>
  </r>
  <r>
    <d v="2024-03-05T00:00:00"/>
    <x v="22"/>
    <s v="General"/>
    <n v="0.25"/>
    <x v="11"/>
    <s v="No"/>
    <s v="Emails, Teams"/>
    <x v="1"/>
    <x v="3"/>
  </r>
  <r>
    <d v="2024-03-05T00:00:00"/>
    <x v="22"/>
    <s v="General"/>
    <n v="0.27"/>
    <x v="11"/>
    <s v="No"/>
    <s v="Emails, Asana tasks"/>
    <x v="1"/>
    <x v="3"/>
  </r>
  <r>
    <d v="2024-03-05T00:00:00"/>
    <x v="22"/>
    <s v="General"/>
    <n v="0.42"/>
    <x v="11"/>
    <s v="No"/>
    <s v="Emails"/>
    <x v="1"/>
    <x v="3"/>
  </r>
  <r>
    <d v="2024-03-05T00:00:00"/>
    <x v="22"/>
    <s v="General"/>
    <n v="0.45"/>
    <x v="11"/>
    <s v="No"/>
    <s v="Login to Angie Mchugh - employee setup - error based on trial file - log with Mark Aider screenshots for Nikhil and cancellation of subscription"/>
    <x v="1"/>
    <x v="3"/>
  </r>
  <r>
    <d v="2024-03-05T00:00:00"/>
    <x v="22"/>
    <s v="IAS/BAS Preparation &amp; Lodgement - Feb"/>
    <n v="7.0000000000000007E-2"/>
    <x v="20"/>
    <s v="Yes"/>
    <s v="Add IAS journal and add bank details to ATO portal for refund"/>
    <x v="1"/>
    <x v="3"/>
  </r>
  <r>
    <d v="2024-03-05T00:00:00"/>
    <x v="22"/>
    <s v="Meetings"/>
    <n v="0.22"/>
    <x v="11"/>
    <s v="No"/>
    <s v="Call with Nick re BX"/>
    <x v="1"/>
    <x v="3"/>
  </r>
  <r>
    <d v="2024-03-05T00:00:00"/>
    <x v="22"/>
    <s v="Payroll Processing"/>
    <n v="0.48"/>
    <x v="43"/>
    <s v="Yes"/>
    <s v="Review payroll, review inbox and respond to some messages.  Update Kate Gillam employment details"/>
    <x v="1"/>
    <x v="3"/>
  </r>
  <r>
    <d v="2024-03-05T00:00:00"/>
    <x v="22"/>
    <s v="Payroll Processing"/>
    <n v="1.08"/>
    <x v="81"/>
    <s v="Yes"/>
    <s v="Review employee information sent through -set up Calendar in Xero payroll and set up employee record for Rinka Review payments to Frank and 'correct' payments - calculate amounts owing including review of tax tables to determine correct tax amounts. Email to Angie with summary of information."/>
    <x v="1"/>
    <x v="3"/>
  </r>
  <r>
    <d v="2024-03-05T00:00:00"/>
    <x v="22"/>
    <s v="Payroll Processing"/>
    <n v="1.58"/>
    <x v="34"/>
    <s v="Yes"/>
    <s v="Payroll review, update timesheets for non-C locations Update process for reporting of non-C locations."/>
    <x v="1"/>
    <x v="3"/>
  </r>
  <r>
    <d v="2024-03-05T00:00:00"/>
    <x v="23"/>
    <s v="Client Meeting"/>
    <n v="0.75"/>
    <x v="11"/>
    <s v="No"/>
    <s v="Meeting with Nick ( 1 on 1 )"/>
    <x v="1"/>
    <x v="3"/>
  </r>
  <r>
    <d v="2024-03-05T00:00:00"/>
    <x v="23"/>
    <s v="General"/>
    <n v="0.25"/>
    <x v="11"/>
    <s v="No"/>
    <s v="AFTERNOON Break: 15 mins coffee breaks as paid per Labor Code of the Philippines, Article 85"/>
    <x v="1"/>
    <x v="3"/>
  </r>
  <r>
    <d v="2024-03-05T00:00:00"/>
    <x v="23"/>
    <s v="General"/>
    <n v="0.25"/>
    <x v="11"/>
    <s v="No"/>
    <s v="MORNING Break: 15 mins coffee breaks as paid per Labor Code of the Philippines, Article 85."/>
    <x v="1"/>
    <x v="3"/>
  </r>
  <r>
    <d v="2024-03-05T00:00:00"/>
    <x v="23"/>
    <s v="General"/>
    <n v="0.28000000000000003"/>
    <x v="11"/>
    <s v="No"/>
    <s v="XPM "/>
    <x v="1"/>
    <x v="3"/>
  </r>
  <r>
    <d v="2024-03-05T00:00:00"/>
    <x v="23"/>
    <s v="General"/>
    <n v="0.5"/>
    <x v="11"/>
    <s v="No"/>
    <s v="Client Portfolio"/>
    <x v="1"/>
    <x v="3"/>
  </r>
  <r>
    <d v="2024-03-05T00:00:00"/>
    <x v="23"/>
    <s v="General"/>
    <n v="0.75"/>
    <x v="11"/>
    <s v="No"/>
    <s v="&gt;Helping Gen and other team activity. &gt;Compose message to team &gt;Location map &gt;other adhoc "/>
    <x v="1"/>
    <x v="3"/>
  </r>
  <r>
    <d v="2024-03-05T00:00:00"/>
    <x v="23"/>
    <s v="General"/>
    <n v="1.23"/>
    <x v="11"/>
    <s v="No"/>
    <s v="Email and other adhoc"/>
    <x v="1"/>
    <x v="3"/>
  </r>
  <r>
    <d v="2024-03-05T00:00:00"/>
    <x v="23"/>
    <s v="IAS/BAS Preparation &amp; Lodgement - Feb"/>
    <n v="0.13"/>
    <x v="5"/>
    <s v="Yes"/>
    <s v="IAS"/>
    <x v="1"/>
    <x v="3"/>
  </r>
  <r>
    <d v="2024-03-05T00:00:00"/>
    <x v="23"/>
    <s v="IAS/BAS Preparation &amp; Lodgement - Feb"/>
    <n v="0.13"/>
    <x v="82"/>
    <s v="Yes"/>
    <m/>
    <x v="1"/>
    <x v="3"/>
  </r>
  <r>
    <d v="2024-03-05T00:00:00"/>
    <x v="23"/>
    <s v="IAS/BAS Preparation &amp; Lodgement - Feb"/>
    <n v="0.15"/>
    <x v="83"/>
    <s v="Yes"/>
    <m/>
    <x v="1"/>
    <x v="3"/>
  </r>
  <r>
    <d v="2024-03-05T00:00:00"/>
    <x v="23"/>
    <s v="IAS/BAS Preparation &amp; Lodgement - Feb"/>
    <n v="0.15"/>
    <x v="79"/>
    <s v="Yes"/>
    <m/>
    <x v="1"/>
    <x v="3"/>
  </r>
  <r>
    <d v="2024-03-05T00:00:00"/>
    <x v="23"/>
    <s v="IAS/BAS Preparation &amp; Lodgement - Feb"/>
    <n v="0.15"/>
    <x v="26"/>
    <s v="Yes"/>
    <m/>
    <x v="1"/>
    <x v="3"/>
  </r>
  <r>
    <d v="2024-03-05T00:00:00"/>
    <x v="23"/>
    <s v="Learning &amp; Development"/>
    <n v="0.22"/>
    <x v="11"/>
    <s v="No"/>
    <s v="Traininng"/>
    <x v="1"/>
    <x v="3"/>
  </r>
  <r>
    <d v="2024-03-05T00:00:00"/>
    <x v="23"/>
    <s v="Learning &amp; Development"/>
    <n v="0.25"/>
    <x v="11"/>
    <s v="No"/>
    <s v="Refreshing payroll process "/>
    <x v="1"/>
    <x v="3"/>
  </r>
  <r>
    <d v="2024-03-05T00:00:00"/>
    <x v="23"/>
    <s v="Learning &amp; Development"/>
    <n v="0.33"/>
    <x v="11"/>
    <s v="No"/>
    <s v="Training"/>
    <x v="1"/>
    <x v="3"/>
  </r>
  <r>
    <d v="2024-03-05T00:00:00"/>
    <x v="23"/>
    <s v="Learning &amp; Development"/>
    <n v="0.98"/>
    <x v="11"/>
    <s v="No"/>
    <s v="Shalini's training"/>
    <x v="1"/>
    <x v="3"/>
  </r>
  <r>
    <d v="2024-03-05T00:00:00"/>
    <x v="23"/>
    <s v="Meetings"/>
    <n v="0.57999999999999996"/>
    <x v="11"/>
    <s v="No"/>
    <s v="Meeting with Con"/>
    <x v="1"/>
    <x v="3"/>
  </r>
  <r>
    <d v="2024-03-05T00:00:00"/>
    <x v="23"/>
    <s v="Tax Admin"/>
    <n v="0.92"/>
    <x v="11"/>
    <s v="No"/>
    <s v="Asana updates ( all clients ) Team Lead"/>
    <x v="1"/>
    <x v="3"/>
  </r>
  <r>
    <d v="2024-03-05T00:00:00"/>
    <x v="48"/>
    <s v="HR/Recuitment"/>
    <n v="2"/>
    <x v="11"/>
    <s v="No"/>
    <s v="Interview candidate for HR Advisory role, and write up interview notes."/>
    <x v="1"/>
    <x v="3"/>
  </r>
  <r>
    <d v="2024-03-05T00:00:00"/>
    <x v="48"/>
    <s v="P&amp;C Advisory"/>
    <n v="6"/>
    <x v="9"/>
    <s v="Yes"/>
    <s v="Teams chat with Receptionist.  Develop full MKP organisation chart for HR files and future requests.  Employee Connect probationary review for Coex employee - chase up completion with employee and Manager and answer queries.  Review Employee Connect reports and testing of birthday leave alerts applicability in system.  HR employee files review on line for compliance.  Review turnover reports - add recent resignations to statistics."/>
    <x v="1"/>
    <x v="3"/>
  </r>
  <r>
    <d v="2024-03-05T00:00:00"/>
    <x v="24"/>
    <s v="Bookkeeping"/>
    <n v="0.73"/>
    <x v="54"/>
    <s v="Yes"/>
    <m/>
    <x v="1"/>
    <x v="3"/>
  </r>
  <r>
    <d v="2024-03-05T00:00:00"/>
    <x v="24"/>
    <s v="Bookkeeping"/>
    <n v="0.78"/>
    <x v="46"/>
    <s v="Yes"/>
    <m/>
    <x v="1"/>
    <x v="3"/>
  </r>
  <r>
    <d v="2024-03-05T00:00:00"/>
    <x v="24"/>
    <s v="Bookkeeping"/>
    <n v="7.38"/>
    <x v="15"/>
    <s v="Yes"/>
    <m/>
    <x v="1"/>
    <x v="3"/>
  </r>
  <r>
    <d v="2024-03-05T00:00:00"/>
    <x v="25"/>
    <s v="Bookkeeping"/>
    <n v="1.1499999999999999"/>
    <x v="16"/>
    <s v="Yes"/>
    <s v="FY 24 - Jan BS recs"/>
    <x v="1"/>
    <x v="3"/>
  </r>
  <r>
    <d v="2024-03-05T00:00:00"/>
    <x v="26"/>
    <s v="Debt Collection"/>
    <n v="3.5"/>
    <x v="11"/>
    <s v="No"/>
    <m/>
    <x v="1"/>
    <x v="3"/>
  </r>
  <r>
    <d v="2024-03-05T00:00:00"/>
    <x v="26"/>
    <s v="Debt Collection"/>
    <n v="4"/>
    <x v="15"/>
    <s v="Yes"/>
    <m/>
    <x v="1"/>
    <x v="3"/>
  </r>
  <r>
    <d v="2024-03-05T00:00:00"/>
    <x v="26"/>
    <s v="General"/>
    <n v="0.5"/>
    <x v="11"/>
    <s v="No"/>
    <s v="Break"/>
    <x v="1"/>
    <x v="3"/>
  </r>
  <r>
    <d v="2024-03-05T00:00:00"/>
    <x v="27"/>
    <s v="Bookkeeping"/>
    <n v="0.6"/>
    <x v="15"/>
    <s v="Yes"/>
    <m/>
    <x v="1"/>
    <x v="3"/>
  </r>
  <r>
    <d v="2024-03-05T00:00:00"/>
    <x v="27"/>
    <s v="General"/>
    <n v="1.25"/>
    <x v="11"/>
    <s v="No"/>
    <s v="went BDO Bank &amp; Spaces"/>
    <x v="1"/>
    <x v="3"/>
  </r>
  <r>
    <d v="2024-03-05T00:00:00"/>
    <x v="27"/>
    <s v="General"/>
    <n v="1.95"/>
    <x v="11"/>
    <s v="No"/>
    <s v="handover"/>
    <x v="1"/>
    <x v="3"/>
  </r>
  <r>
    <d v="2024-03-05T00:00:00"/>
    <x v="27"/>
    <s v="General"/>
    <n v="3.83"/>
    <x v="11"/>
    <s v="No"/>
    <s v="emails / catch up / month-end / handover "/>
    <x v="1"/>
    <x v="3"/>
  </r>
  <r>
    <d v="2024-03-05T00:00:00"/>
    <x v="27"/>
    <s v="Management Reporting"/>
    <n v="0.5"/>
    <x v="15"/>
    <s v="Yes"/>
    <s v="Dashboard"/>
    <x v="1"/>
    <x v="3"/>
  </r>
  <r>
    <d v="2024-03-05T00:00:00"/>
    <x v="28"/>
    <s v="Bookkeeping"/>
    <n v="0.47"/>
    <x v="57"/>
    <s v="Yes"/>
    <s v="Continuation of clearing account of Paypal domestic Check and approve sales to a2x postscripts transactions  "/>
    <x v="1"/>
    <x v="3"/>
  </r>
  <r>
    <d v="2024-03-05T00:00:00"/>
    <x v="28"/>
    <s v="Bookkeeping"/>
    <n v="6.08"/>
    <x v="57"/>
    <s v="Yes"/>
    <s v="Email Management Bills raise to Xero Check and approved sales to a2x Check Shopify taxes and send to Ivan Bank Reconciliation BM and LOC Inc Checked google statement account Clearing Account Domestic -Afterpay -Klarna -Shopify -Paypal  "/>
    <x v="1"/>
    <x v="3"/>
  </r>
  <r>
    <d v="2024-03-05T00:00:00"/>
    <x v="28"/>
    <s v="General"/>
    <n v="0.5"/>
    <x v="11"/>
    <s v="No"/>
    <s v="Break"/>
    <x v="1"/>
    <x v="3"/>
  </r>
  <r>
    <d v="2024-03-05T00:00:00"/>
    <x v="28"/>
    <s v="Learning &amp; Development"/>
    <n v="0.45"/>
    <x v="11"/>
    <s v="No"/>
    <s v="Client handover process"/>
    <x v="1"/>
    <x v="3"/>
  </r>
  <r>
    <d v="2024-03-05T00:00:00"/>
    <x v="28"/>
    <s v="Learning &amp; Development"/>
    <n v="0.5"/>
    <x v="11"/>
    <s v="No"/>
    <s v="EOFY Wrap UP"/>
    <x v="1"/>
    <x v="3"/>
  </r>
  <r>
    <d v="2024-03-05T00:00:00"/>
    <x v="29"/>
    <s v="IT"/>
    <n v="9"/>
    <x v="11"/>
    <s v="No"/>
    <s v="Support with team"/>
    <x v="1"/>
    <x v="3"/>
  </r>
  <r>
    <d v="2024-03-05T00:00:00"/>
    <x v="30"/>
    <s v="Bookkeeping"/>
    <n v="4.55"/>
    <x v="58"/>
    <s v="Yes"/>
    <s v="Email Management Bills Processing Bank / Credit Card Recon Process Payroll Tax"/>
    <x v="1"/>
    <x v="3"/>
  </r>
  <r>
    <d v="2024-03-05T00:00:00"/>
    <x v="30"/>
    <s v="General"/>
    <n v="0.87"/>
    <x v="11"/>
    <s v="No"/>
    <s v="Email Management Asana Task cleanup "/>
    <x v="1"/>
    <x v="3"/>
  </r>
  <r>
    <d v="2024-03-05T00:00:00"/>
    <x v="30"/>
    <s v="Learning &amp; Development"/>
    <n v="0.92"/>
    <x v="11"/>
    <s v="No"/>
    <s v="Training With Shalini  - Process Handover -  EOFY Wrap Up "/>
    <x v="1"/>
    <x v="3"/>
  </r>
  <r>
    <d v="2024-03-05T00:00:00"/>
    <x v="30"/>
    <s v="Payroll Processing"/>
    <n v="1.67"/>
    <x v="43"/>
    <s v="Yes"/>
    <s v="Email Management Uploading of Timesheets"/>
    <x v="1"/>
    <x v="3"/>
  </r>
  <r>
    <d v="2024-03-05T00:00:00"/>
    <x v="31"/>
    <s v="Accounts"/>
    <n v="0.53"/>
    <x v="56"/>
    <s v="No"/>
    <s v="Bills processing and others"/>
    <x v="1"/>
    <x v="3"/>
  </r>
  <r>
    <d v="2024-03-05T00:00:00"/>
    <x v="31"/>
    <s v="Accounts"/>
    <n v="0.83"/>
    <x v="11"/>
    <s v="No"/>
    <s v="Catch up emails outside (Pantry)"/>
    <x v="1"/>
    <x v="3"/>
  </r>
  <r>
    <d v="2024-03-05T00:00:00"/>
    <x v="31"/>
    <s v="Bookkeeping"/>
    <n v="1.33"/>
    <x v="11"/>
    <s v="No"/>
    <s v="Process bills and check other emails and respond/Compliance invoicing update"/>
    <x v="1"/>
    <x v="3"/>
  </r>
  <r>
    <d v="2024-03-05T00:00:00"/>
    <x v="31"/>
    <s v="Meetings"/>
    <n v="0.6"/>
    <x v="56"/>
    <s v="No"/>
    <s v="Catch up with Nick"/>
    <x v="1"/>
    <x v="3"/>
  </r>
  <r>
    <d v="2024-03-05T00:00:00"/>
    <x v="31"/>
    <s v="Payroll Processing"/>
    <n v="0.75"/>
    <x v="56"/>
    <s v="No"/>
    <s v="Payroll processing - continue"/>
    <x v="1"/>
    <x v="3"/>
  </r>
  <r>
    <d v="2024-03-05T00:00:00"/>
    <x v="31"/>
    <s v="Payroll Processing"/>
    <n v="0.9"/>
    <x v="56"/>
    <s v="No"/>
    <s v="Fixed all MP2 setup on Sprout Payroll. Payroll processing - initial discussion with RJ"/>
    <x v="1"/>
    <x v="3"/>
  </r>
  <r>
    <d v="2024-03-05T00:00:00"/>
    <x v="31"/>
    <s v="Payroll Processing"/>
    <n v="0.95"/>
    <x v="56"/>
    <s v="No"/>
    <s v="Final pay email preparation/account email checking."/>
    <x v="1"/>
    <x v="3"/>
  </r>
  <r>
    <d v="2024-03-05T00:00:00"/>
    <x v="31"/>
    <s v="Payroll Processing"/>
    <n v="2.3199999999999998"/>
    <x v="56"/>
    <s v="No"/>
    <s v="Process payroll and all the working papers and manual journal. Email Nick and request funds."/>
    <x v="1"/>
    <x v="3"/>
  </r>
  <r>
    <d v="2024-03-05T00:00:00"/>
    <x v="32"/>
    <s v="Web"/>
    <n v="10"/>
    <x v="11"/>
    <s v="No"/>
    <s v=" ✅ update the email templates on Zoho CRM    🟨 needed email templates will be updated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Details Chemika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x v="1"/>
    <x v="3"/>
  </r>
  <r>
    <d v="2024-03-05T00:00:00"/>
    <x v="33"/>
    <s v="Sick Leave"/>
    <n v="5"/>
    <x v="11"/>
    <s v="No"/>
    <m/>
    <x v="1"/>
    <x v="3"/>
  </r>
  <r>
    <d v="2024-03-05T00:00:00"/>
    <x v="34"/>
    <s v="Client Manager"/>
    <n v="0.05"/>
    <x v="84"/>
    <s v="No"/>
    <s v="follow up on question from Camilla"/>
    <x v="1"/>
    <x v="3"/>
  </r>
  <r>
    <d v="2024-03-05T00:00:00"/>
    <x v="34"/>
    <s v="Client Manager"/>
    <n v="2"/>
    <x v="0"/>
    <s v="No"/>
    <s v="EOM report process"/>
    <x v="1"/>
    <x v="3"/>
  </r>
  <r>
    <d v="2024-03-05T00:00:00"/>
    <x v="34"/>
    <s v="Client Meeting"/>
    <n v="1"/>
    <x v="75"/>
    <s v="Yes"/>
    <s v="Meeting with Scott and Jenny on commissions"/>
    <x v="1"/>
    <x v="3"/>
  </r>
  <r>
    <d v="2024-03-05T00:00:00"/>
    <x v="34"/>
    <s v="General"/>
    <n v="2.4700000000000002"/>
    <x v="11"/>
    <s v="No"/>
    <s v="emails, teams, Asana"/>
    <x v="1"/>
    <x v="3"/>
  </r>
  <r>
    <d v="2024-03-05T00:00:00"/>
    <x v="35"/>
    <s v="Bookkeeping"/>
    <n v="0.25"/>
    <x v="33"/>
    <s v="Yes"/>
    <s v="emails,AP"/>
    <x v="1"/>
    <x v="3"/>
  </r>
  <r>
    <d v="2024-03-05T00:00:00"/>
    <x v="35"/>
    <s v="Bookkeeping"/>
    <n v="0.48"/>
    <x v="33"/>
    <s v="Yes"/>
    <s v="Update KID January Account transactions from Taiana update email "/>
    <x v="1"/>
    <x v="3"/>
  </r>
  <r>
    <d v="2024-03-05T00:00:00"/>
    <x v="35"/>
    <s v="Bookkeeping"/>
    <n v="1.17"/>
    <x v="33"/>
    <s v="Yes"/>
    <s v="BR"/>
    <x v="1"/>
    <x v="3"/>
  </r>
  <r>
    <d v="2024-03-05T00:00:00"/>
    <x v="35"/>
    <s v="Bookkeeping"/>
    <n v="5.07"/>
    <x v="33"/>
    <s v="Yes"/>
    <m/>
    <x v="1"/>
    <x v="3"/>
  </r>
  <r>
    <d v="2024-03-05T00:00:00"/>
    <x v="35"/>
    <s v="Client Meeting"/>
    <n v="0.18"/>
    <x v="62"/>
    <s v="Yes"/>
    <s v="call with silvana"/>
    <x v="1"/>
    <x v="3"/>
  </r>
  <r>
    <d v="2024-03-05T00:00:00"/>
    <x v="35"/>
    <s v="Meetings"/>
    <n v="0.98"/>
    <x v="11"/>
    <s v="No"/>
    <s v="Trainings with Shalini"/>
    <x v="1"/>
    <x v="3"/>
  </r>
  <r>
    <d v="2024-03-05T00:00:00"/>
    <x v="36"/>
    <s v="General"/>
    <n v="0.28000000000000003"/>
    <x v="11"/>
    <s v="No"/>
    <s v="dex emails"/>
    <x v="1"/>
    <x v="3"/>
  </r>
  <r>
    <d v="2024-03-05T00:00:00"/>
    <x v="36"/>
    <s v="Learning &amp; Development"/>
    <n v="2.0499999999999998"/>
    <x v="11"/>
    <s v="No"/>
    <s v="End of Financial Year Wrap Up Handover process Client Management review                                                                                            "/>
    <x v="1"/>
    <x v="3"/>
  </r>
  <r>
    <d v="2024-03-05T00:00:00"/>
    <x v="36"/>
    <s v="Management Reporting"/>
    <n v="1.92"/>
    <x v="16"/>
    <s v="Yes"/>
    <s v="BELCR BS recs - Dec 23"/>
    <x v="1"/>
    <x v="3"/>
  </r>
  <r>
    <d v="2024-03-05T00:00:00"/>
    <x v="36"/>
    <s v="Management Reporting"/>
    <n v="4.68"/>
    <x v="35"/>
    <s v="Yes"/>
    <m/>
    <x v="1"/>
    <x v="3"/>
  </r>
  <r>
    <d v="2024-03-05T00:00:00"/>
    <x v="37"/>
    <s v="General"/>
    <n v="3.95"/>
    <x v="11"/>
    <s v="No"/>
    <s v="Payroll specialist role technical assessment review  Capacity file update  Global team meeting file/list update  Employee of the month nomination"/>
    <x v="1"/>
    <x v="3"/>
  </r>
  <r>
    <d v="2024-03-05T00:00:00"/>
    <x v="37"/>
    <s v="Meetings"/>
    <n v="0.5"/>
    <x v="11"/>
    <s v="No"/>
    <s v="Payroll handover-mel shadow"/>
    <x v="1"/>
    <x v="3"/>
  </r>
  <r>
    <d v="2024-03-05T00:00:00"/>
    <x v="37"/>
    <s v="Meetings"/>
    <n v="1.02"/>
    <x v="11"/>
    <s v="No"/>
    <s v="Con handover BS recon"/>
    <x v="1"/>
    <x v="3"/>
  </r>
  <r>
    <d v="2024-03-05T00:00:00"/>
    <x v="37"/>
    <s v="Meetings"/>
    <n v="2.83"/>
    <x v="11"/>
    <s v="No"/>
    <s v="Handover con, mel  Training with Shalini - handover process, year end wrap-up "/>
    <x v="1"/>
    <x v="3"/>
  </r>
  <r>
    <d v="2024-03-05T00:00:00"/>
    <x v="38"/>
    <s v="Bookkeeping"/>
    <n v="9.4499999999999993"/>
    <x v="15"/>
    <s v="Yes"/>
    <m/>
    <x v="1"/>
    <x v="3"/>
  </r>
  <r>
    <d v="2024-03-05T00:00:00"/>
    <x v="38"/>
    <s v="Meetings"/>
    <n v="0.68"/>
    <x v="11"/>
    <s v="No"/>
    <s v="Meeting with Nick"/>
    <x v="1"/>
    <x v="3"/>
  </r>
  <r>
    <d v="2024-03-05T00:00:00"/>
    <x v="39"/>
    <s v="General"/>
    <n v="0.5"/>
    <x v="11"/>
    <s v="No"/>
    <s v="Break"/>
    <x v="1"/>
    <x v="3"/>
  </r>
  <r>
    <d v="2024-03-05T00:00:00"/>
    <x v="39"/>
    <s v="Learning &amp; Development"/>
    <n v="2.35"/>
    <x v="11"/>
    <s v="No"/>
    <s v="Training with Shalini"/>
    <x v="1"/>
    <x v="3"/>
  </r>
  <r>
    <d v="2024-03-05T00:00:00"/>
    <x v="39"/>
    <s v="Payroll Processing"/>
    <n v="0.12"/>
    <x v="34"/>
    <s v="Yes"/>
    <s v="Update live file"/>
    <x v="1"/>
    <x v="3"/>
  </r>
  <r>
    <d v="2024-03-05T00:00:00"/>
    <x v="39"/>
    <s v="Payroll Processing"/>
    <n v="0.33"/>
    <x v="34"/>
    <s v="Yes"/>
    <s v="Unapproved/Unallocated Timesheets report"/>
    <x v="1"/>
    <x v="3"/>
  </r>
  <r>
    <d v="2024-03-05T00:00:00"/>
    <x v="39"/>
    <s v="Payroll Processing"/>
    <n v="1.55"/>
    <x v="34"/>
    <s v="Yes"/>
    <s v="Payroll processing and queries to managers"/>
    <x v="1"/>
    <x v="3"/>
  </r>
  <r>
    <d v="2024-03-05T00:00:00"/>
    <x v="39"/>
    <s v="Payroll Processing"/>
    <n v="3.18"/>
    <x v="34"/>
    <s v="Yes"/>
    <s v="Payroll processing"/>
    <x v="1"/>
    <x v="3"/>
  </r>
  <r>
    <d v="2024-03-05T00:00:00"/>
    <x v="41"/>
    <s v="Bookkeeping"/>
    <n v="0.17"/>
    <x v="36"/>
    <s v="Yes"/>
    <s v="Review Amex transactions"/>
    <x v="1"/>
    <x v="3"/>
  </r>
  <r>
    <d v="2024-03-05T00:00:00"/>
    <x v="41"/>
    <s v="Bookkeeping"/>
    <n v="0.2"/>
    <x v="36"/>
    <s v="Yes"/>
    <s v="Review payments"/>
    <x v="1"/>
    <x v="3"/>
  </r>
  <r>
    <d v="2024-03-05T00:00:00"/>
    <x v="41"/>
    <s v="Bookkeeping"/>
    <n v="0.22"/>
    <x v="36"/>
    <s v="Yes"/>
    <s v="Email"/>
    <x v="1"/>
    <x v="3"/>
  </r>
  <r>
    <d v="2024-03-05T00:00:00"/>
    <x v="41"/>
    <s v="Bookkeeping"/>
    <n v="0.27"/>
    <x v="47"/>
    <s v="Yes"/>
    <s v="Bank rec"/>
    <x v="1"/>
    <x v="3"/>
  </r>
  <r>
    <d v="2024-03-05T00:00:00"/>
    <x v="41"/>
    <s v="Bookkeeping"/>
    <n v="0.55000000000000004"/>
    <x v="36"/>
    <s v="Yes"/>
    <m/>
    <x v="1"/>
    <x v="3"/>
  </r>
  <r>
    <d v="2024-03-05T00:00:00"/>
    <x v="41"/>
    <s v="Bookkeeping"/>
    <n v="2.67"/>
    <x v="16"/>
    <s v="Yes"/>
    <s v="Inbox mgmt AP Bank rec AP run"/>
    <x v="1"/>
    <x v="3"/>
  </r>
  <r>
    <d v="2024-03-05T00:00:00"/>
    <x v="41"/>
    <s v="General"/>
    <n v="0.5"/>
    <x v="11"/>
    <s v="No"/>
    <s v="Paid break"/>
    <x v="1"/>
    <x v="3"/>
  </r>
  <r>
    <d v="2024-03-05T00:00:00"/>
    <x v="41"/>
    <s v="Learning &amp; Development"/>
    <n v="2"/>
    <x v="11"/>
    <s v="No"/>
    <s v="Trainings with Shalini"/>
    <x v="1"/>
    <x v="3"/>
  </r>
  <r>
    <d v="2024-03-05T00:00:00"/>
    <x v="41"/>
    <s v="Payroll Processing"/>
    <n v="7.0000000000000007E-2"/>
    <x v="51"/>
    <s v="Yes"/>
    <s v="Process payroll Email client"/>
    <x v="1"/>
    <x v="3"/>
  </r>
  <r>
    <d v="2024-03-05T00:00:00"/>
    <x v="41"/>
    <s v="Payroll Processing"/>
    <n v="0.08"/>
    <x v="20"/>
    <s v="Yes"/>
    <s v="Process payroll"/>
    <x v="1"/>
    <x v="3"/>
  </r>
  <r>
    <d v="2024-03-05T00:00:00"/>
    <x v="41"/>
    <s v="Payroll Processing"/>
    <n v="0.2"/>
    <x v="50"/>
    <s v="Yes"/>
    <s v="Process payroll Email client"/>
    <x v="1"/>
    <x v="3"/>
  </r>
  <r>
    <d v="2024-03-05T00:00:00"/>
    <x v="41"/>
    <s v="Payroll Processing"/>
    <n v="0.32"/>
    <x v="19"/>
    <s v="Yes"/>
    <s v="Process payroll Send query to client"/>
    <x v="1"/>
    <x v="3"/>
  </r>
  <r>
    <d v="2024-03-05T00:00:00"/>
    <x v="41"/>
    <s v="Payroll Processing"/>
    <n v="0.42"/>
    <x v="47"/>
    <s v="Yes"/>
    <s v="Answer payroll queries"/>
    <x v="1"/>
    <x v="3"/>
  </r>
  <r>
    <d v="2024-03-05T00:00:00"/>
    <x v="41"/>
    <s v="Payroll Processing"/>
    <n v="0.45"/>
    <x v="47"/>
    <s v="Yes"/>
    <s v="Process payroll"/>
    <x v="1"/>
    <x v="3"/>
  </r>
  <r>
    <d v="2024-03-05T00:00:00"/>
    <x v="42"/>
    <s v="Client Manager"/>
    <n v="0.33"/>
    <x v="85"/>
    <s v="Yes"/>
    <s v="Reinstate employee as per email from Kerry and advise accordingly "/>
    <x v="1"/>
    <x v="3"/>
  </r>
  <r>
    <d v="2024-03-05T00:00:00"/>
    <x v="42"/>
    <s v="Client Manager"/>
    <n v="0.33"/>
    <x v="33"/>
    <s v="Yes"/>
    <s v="Upload payables and email Katherine/Shalisa for approval"/>
    <x v="1"/>
    <x v="3"/>
  </r>
  <r>
    <d v="2024-03-05T00:00:00"/>
    <x v="42"/>
    <s v="General"/>
    <n v="7.25"/>
    <x v="11"/>
    <s v="No"/>
    <s v="Training presentation, meet and greet team, weekly invoices, etc"/>
    <x v="1"/>
    <x v="3"/>
  </r>
  <r>
    <d v="2024-03-05T00:00:00"/>
    <x v="43"/>
    <s v="Adhoc Support &amp; Advice"/>
    <n v="0.63"/>
    <x v="15"/>
    <s v="No"/>
    <s v="Review BS Recs"/>
    <x v="1"/>
    <x v="3"/>
  </r>
  <r>
    <d v="2024-03-05T00:00:00"/>
    <x v="43"/>
    <s v="Adhoc Support &amp; Advice"/>
    <n v="0.78"/>
    <x v="15"/>
    <s v="No"/>
    <s v="checking accounts mailbox"/>
    <x v="1"/>
    <x v="3"/>
  </r>
  <r>
    <d v="2024-03-05T00:00:00"/>
    <x v="43"/>
    <s v="Adhoc Support &amp; Advice"/>
    <n v="1.2"/>
    <x v="15"/>
    <s v="No"/>
    <s v="checking Recon files for month end preparation"/>
    <x v="1"/>
    <x v="3"/>
  </r>
  <r>
    <d v="2024-03-05T00:00:00"/>
    <x v="43"/>
    <s v="Adhoc Support &amp; Advice"/>
    <n v="1.6"/>
    <x v="15"/>
    <s v="No"/>
    <s v="Reviewing training materials for month end preparation"/>
    <x v="1"/>
    <x v="3"/>
  </r>
  <r>
    <d v="2024-03-05T00:00:00"/>
    <x v="43"/>
    <s v="Bookkeeping"/>
    <n v="0.35"/>
    <x v="15"/>
    <s v="No"/>
    <s v="Checking GST Coding"/>
    <x v="1"/>
    <x v="3"/>
  </r>
  <r>
    <d v="2024-03-05T00:00:00"/>
    <x v="43"/>
    <s v="Management Reporting"/>
    <n v="0.42"/>
    <x v="15"/>
    <s v="Yes"/>
    <s v="Cashflow"/>
    <x v="1"/>
    <x v="3"/>
  </r>
  <r>
    <d v="2024-03-05T00:00:00"/>
    <x v="43"/>
    <s v="Management Reporting"/>
    <n v="0.43"/>
    <x v="15"/>
    <s v="No"/>
    <s v="Alliance Dashboard Report Demo"/>
    <x v="1"/>
    <x v="3"/>
  </r>
  <r>
    <d v="2024-03-05T00:00:00"/>
    <x v="43"/>
    <s v="Meetings"/>
    <n v="3"/>
    <x v="11"/>
    <s v="No"/>
    <s v="Training with Shalini  Client Manager review Handover process review EOFY Wrap up"/>
    <x v="1"/>
    <x v="3"/>
  </r>
  <r>
    <d v="2024-03-05T00:00:00"/>
    <x v="44"/>
    <s v="Adhoc Support &amp; Advice"/>
    <n v="0.4"/>
    <x v="66"/>
    <s v="Yes"/>
    <s v="ITR documents: gather last doc from Mel and Cathro and send to ARC, liaise with Mel"/>
    <x v="1"/>
    <x v="3"/>
  </r>
  <r>
    <d v="2024-03-05T00:00:00"/>
    <x v="44"/>
    <s v="Adhoc Support &amp; Advice"/>
    <n v="0.9"/>
    <x v="66"/>
    <s v="Yes"/>
    <s v="Doc for ITR 2023 and 2024, email to Mel for missing doc"/>
    <x v="1"/>
    <x v="3"/>
  </r>
  <r>
    <d v="2024-03-05T00:00:00"/>
    <x v="44"/>
    <s v="Adhoc Support &amp; Advice"/>
    <n v="1.1000000000000001"/>
    <x v="66"/>
    <s v="Yes"/>
    <s v="SHPL - Doc for ITR FY 2023 and FY 2024"/>
    <x v="1"/>
    <x v="3"/>
  </r>
  <r>
    <d v="2024-03-05T00:00:00"/>
    <x v="44"/>
    <s v="Bookkeeping"/>
    <n v="1"/>
    <x v="16"/>
    <s v="Yes"/>
    <s v="Review BAM BS rec, look into tax"/>
    <x v="1"/>
    <x v="3"/>
  </r>
  <r>
    <d v="2024-03-05T00:00:00"/>
    <x v="44"/>
    <s v="Bookkeeping"/>
    <n v="1.7"/>
    <x v="16"/>
    <s v="Yes"/>
    <s v="BASS- Recharge invoices- queries Addie- update inv template, redo all invoices, check bills"/>
    <x v="1"/>
    <x v="3"/>
  </r>
  <r>
    <d v="2024-03-05T00:00:00"/>
    <x v="44"/>
    <s v="Client Manager"/>
    <n v="0.5"/>
    <x v="16"/>
    <s v="Yes"/>
    <s v="Liaise with team, emails"/>
    <x v="1"/>
    <x v="3"/>
  </r>
  <r>
    <d v="2024-03-05T00:00:00"/>
    <x v="44"/>
    <s v="Client Manager"/>
    <n v="0.5"/>
    <x v="16"/>
    <s v="Yes"/>
    <s v="OMS Xero subscription, liaise with Mark and Stephen"/>
    <x v="1"/>
    <x v="3"/>
  </r>
  <r>
    <d v="2024-03-05T00:00:00"/>
    <x v="44"/>
    <s v="Client Manager"/>
    <n v="0.7"/>
    <x v="6"/>
    <s v="Yes"/>
    <s v="Query re new employee, Imogen, salary calculation x2"/>
    <x v="1"/>
    <x v="3"/>
  </r>
  <r>
    <d v="2024-03-05T00:00:00"/>
    <x v="44"/>
    <s v="Client Manager"/>
    <n v="0.8"/>
    <x v="16"/>
    <s v="Yes"/>
    <s v="OMS Xero subscription, emails, liaise with Mark and Xero support"/>
    <x v="1"/>
    <x v="3"/>
  </r>
  <r>
    <d v="2024-03-05T00:00:00"/>
    <x v="44"/>
    <s v="Financial Statements"/>
    <n v="0.4"/>
    <x v="68"/>
    <s v="Yes"/>
    <s v="Review and adjust JPE, send to Josh"/>
    <x v="1"/>
    <x v="3"/>
  </r>
  <r>
    <d v="2024-03-05T00:00:00"/>
    <x v="44"/>
    <s v="General"/>
    <n v="0.5"/>
    <x v="11"/>
    <s v="No"/>
    <s v="Asana, timesheet"/>
    <x v="1"/>
    <x v="3"/>
  </r>
  <r>
    <d v="2024-03-05T00:00:00"/>
    <x v="45"/>
    <s v="General"/>
    <n v="4"/>
    <x v="11"/>
    <s v="No"/>
    <e v="#NAME?"/>
    <x v="1"/>
    <x v="3"/>
  </r>
  <r>
    <d v="2024-03-05T00:00:00"/>
    <x v="45"/>
    <s v="HR/Recuitment"/>
    <n v="4"/>
    <x v="11"/>
    <s v="No"/>
    <e v="#NAME?"/>
    <x v="1"/>
    <x v="3"/>
  </r>
  <r>
    <d v="2024-03-06T00:00:00"/>
    <x v="0"/>
    <s v="Bookkeeping"/>
    <n v="0.05"/>
    <x v="5"/>
    <s v="Yes"/>
    <s v="Email"/>
    <x v="1"/>
    <x v="4"/>
  </r>
  <r>
    <d v="2024-03-06T00:00:00"/>
    <x v="0"/>
    <s v="Bookkeeping"/>
    <n v="7.0000000000000007E-2"/>
    <x v="2"/>
    <s v="Yes"/>
    <s v="Email"/>
    <x v="1"/>
    <x v="4"/>
  </r>
  <r>
    <d v="2024-03-06T00:00:00"/>
    <x v="0"/>
    <s v="Bookkeeping"/>
    <n v="0.1"/>
    <x v="86"/>
    <s v="Yes"/>
    <s v="Email"/>
    <x v="1"/>
    <x v="4"/>
  </r>
  <r>
    <d v="2024-03-06T00:00:00"/>
    <x v="0"/>
    <s v="Bookkeeping"/>
    <n v="0.1"/>
    <x v="5"/>
    <s v="Yes"/>
    <s v="Send RA to suppliers"/>
    <x v="1"/>
    <x v="4"/>
  </r>
  <r>
    <d v="2024-03-06T00:00:00"/>
    <x v="0"/>
    <s v="Bookkeeping"/>
    <n v="0.12"/>
    <x v="4"/>
    <s v="Yes"/>
    <s v="Import CFM bank feed in Xero"/>
    <x v="1"/>
    <x v="4"/>
  </r>
  <r>
    <d v="2024-03-06T00:00:00"/>
    <x v="0"/>
    <s v="Bookkeeping"/>
    <n v="0.13"/>
    <x v="6"/>
    <s v="Yes"/>
    <s v="Download bank statements"/>
    <x v="1"/>
    <x v="4"/>
  </r>
  <r>
    <d v="2024-03-06T00:00:00"/>
    <x v="0"/>
    <s v="Bookkeeping"/>
    <n v="0.15"/>
    <x v="5"/>
    <s v="Yes"/>
    <s v="Bank Reconciliation"/>
    <x v="1"/>
    <x v="4"/>
  </r>
  <r>
    <d v="2024-03-06T00:00:00"/>
    <x v="0"/>
    <s v="Bookkeeping"/>
    <n v="0.17"/>
    <x v="5"/>
    <s v="Yes"/>
    <s v="Emails"/>
    <x v="1"/>
    <x v="4"/>
  </r>
  <r>
    <d v="2024-03-06T00:00:00"/>
    <x v="0"/>
    <s v="Bookkeeping"/>
    <n v="0.18"/>
    <x v="5"/>
    <s v="Yes"/>
    <s v="Accounts Payable"/>
    <x v="1"/>
    <x v="4"/>
  </r>
  <r>
    <d v="2024-03-06T00:00:00"/>
    <x v="0"/>
    <s v="Bookkeeping"/>
    <n v="0.2"/>
    <x v="0"/>
    <s v="Yes"/>
    <s v="Amend invoice amount and PO"/>
    <x v="1"/>
    <x v="4"/>
  </r>
  <r>
    <d v="2024-03-06T00:00:00"/>
    <x v="0"/>
    <s v="Bookkeeping"/>
    <n v="0.22"/>
    <x v="1"/>
    <s v="Yes"/>
    <s v="Email"/>
    <x v="1"/>
    <x v="4"/>
  </r>
  <r>
    <d v="2024-03-06T00:00:00"/>
    <x v="0"/>
    <s v="Bookkeeping"/>
    <n v="0.27"/>
    <x v="4"/>
    <s v="Yes"/>
    <s v="Download bank statements"/>
    <x v="1"/>
    <x v="4"/>
  </r>
  <r>
    <d v="2024-03-06T00:00:00"/>
    <x v="0"/>
    <s v="Bookkeeping"/>
    <n v="0.57999999999999996"/>
    <x v="9"/>
    <s v="Yes"/>
    <s v="Accounts Payable"/>
    <x v="1"/>
    <x v="4"/>
  </r>
  <r>
    <d v="2024-03-06T00:00:00"/>
    <x v="0"/>
    <s v="Bookkeeping"/>
    <n v="0.73"/>
    <x v="1"/>
    <s v="Yes"/>
    <s v="Clear AP inbox and Submit bills for approval in Xero"/>
    <x v="1"/>
    <x v="4"/>
  </r>
  <r>
    <d v="2024-03-06T00:00:00"/>
    <x v="0"/>
    <s v="Bookkeeping"/>
    <n v="0.87"/>
    <x v="8"/>
    <s v="Yes"/>
    <s v="Bank Reconciliation"/>
    <x v="1"/>
    <x v="4"/>
  </r>
  <r>
    <d v="2024-03-06T00:00:00"/>
    <x v="0"/>
    <s v="Bookkeeping"/>
    <n v="0.97"/>
    <x v="9"/>
    <s v="Yes"/>
    <s v="Enter bills in Sage"/>
    <x v="1"/>
    <x v="4"/>
  </r>
  <r>
    <d v="2024-03-06T00:00:00"/>
    <x v="0"/>
    <s v="Meetings"/>
    <n v="0.52"/>
    <x v="11"/>
    <s v="No"/>
    <s v="Catch up with Ali"/>
    <x v="1"/>
    <x v="4"/>
  </r>
  <r>
    <d v="2024-03-06T00:00:00"/>
    <x v="0"/>
    <s v="Meetings"/>
    <n v="1.77"/>
    <x v="11"/>
    <s v="No"/>
    <s v="Meeting with Nick"/>
    <x v="1"/>
    <x v="4"/>
  </r>
  <r>
    <d v="2024-03-06T00:00:00"/>
    <x v="0"/>
    <s v="Payroll Processing"/>
    <n v="0.05"/>
    <x v="8"/>
    <s v="Yes"/>
    <s v="Review"/>
    <x v="1"/>
    <x v="4"/>
  </r>
  <r>
    <d v="2024-03-06T00:00:00"/>
    <x v="0"/>
    <s v="Payroll Processing"/>
    <n v="0.1"/>
    <x v="2"/>
    <s v="Yes"/>
    <m/>
    <x v="1"/>
    <x v="4"/>
  </r>
  <r>
    <d v="2024-03-06T00:00:00"/>
    <x v="0"/>
    <s v="Payroll Processing"/>
    <n v="0.32"/>
    <x v="12"/>
    <s v="Yes"/>
    <s v="Email"/>
    <x v="1"/>
    <x v="4"/>
  </r>
  <r>
    <d v="2024-03-06T00:00:00"/>
    <x v="0"/>
    <s v="Payroll Processing"/>
    <n v="0.35"/>
    <x v="80"/>
    <s v="Yes"/>
    <m/>
    <x v="1"/>
    <x v="4"/>
  </r>
  <r>
    <d v="2024-03-06T00:00:00"/>
    <x v="1"/>
    <s v="P&amp;C Advisory - Group"/>
    <n v="1.17"/>
    <x v="14"/>
    <s v="Yes"/>
    <s v="Update of intranet (org charts) Revised policies for signoff"/>
    <x v="1"/>
    <x v="4"/>
  </r>
  <r>
    <d v="2024-03-06T00:00:00"/>
    <x v="1"/>
    <s v="P&amp;C Advisory - Nederman PT"/>
    <n v="0.5"/>
    <x v="14"/>
    <s v="Yes"/>
    <s v="Draft outcome letters for office closure"/>
    <x v="1"/>
    <x v="4"/>
  </r>
  <r>
    <d v="2024-03-06T00:00:00"/>
    <x v="1"/>
    <s v="P&amp;C Advisory - Nordfab"/>
    <n v="0.57999999999999996"/>
    <x v="14"/>
    <s v="Yes"/>
    <s v="Correspondence re. reporting lines Liaising with candidate/Hiring Manager re. Sheet Metal Recruitment"/>
    <x v="1"/>
    <x v="4"/>
  </r>
  <r>
    <d v="2024-03-06T00:00:00"/>
    <x v="2"/>
    <s v="Bookkeeping"/>
    <n v="7.0000000000000007E-2"/>
    <x v="67"/>
    <s v="Yes"/>
    <s v="CFM bank - check Xero support's response and bank feeds"/>
    <x v="1"/>
    <x v="4"/>
  </r>
  <r>
    <d v="2024-03-06T00:00:00"/>
    <x v="2"/>
    <s v="Bookkeeping"/>
    <n v="2.2000000000000002"/>
    <x v="58"/>
    <s v="Yes"/>
    <m/>
    <x v="1"/>
    <x v="4"/>
  </r>
  <r>
    <d v="2024-03-06T00:00:00"/>
    <x v="2"/>
    <s v="Bookkeeping"/>
    <n v="3.83"/>
    <x v="67"/>
    <s v="Yes"/>
    <s v="loans rec"/>
    <x v="1"/>
    <x v="4"/>
  </r>
  <r>
    <d v="2024-03-06T00:00:00"/>
    <x v="2"/>
    <s v="General"/>
    <n v="0.12"/>
    <x v="11"/>
    <s v="No"/>
    <s v="Check Ef's capacity and update"/>
    <x v="1"/>
    <x v="4"/>
  </r>
  <r>
    <d v="2024-03-06T00:00:00"/>
    <x v="2"/>
    <s v="General"/>
    <n v="0.88"/>
    <x v="11"/>
    <s v="No"/>
    <m/>
    <x v="1"/>
    <x v="4"/>
  </r>
  <r>
    <d v="2024-03-06T00:00:00"/>
    <x v="2"/>
    <s v="General"/>
    <n v="1"/>
    <x v="11"/>
    <s v="No"/>
    <s v="lunch out"/>
    <x v="1"/>
    <x v="4"/>
  </r>
  <r>
    <d v="2024-03-06T00:00:00"/>
    <x v="3"/>
    <s v="Business Development"/>
    <n v="8"/>
    <x v="11"/>
    <s v="No"/>
    <s v="meeting with Miguel : Intranet QMS folder  continuation of flows /manual  *AI data security FAQ data"/>
    <x v="1"/>
    <x v="4"/>
  </r>
  <r>
    <d v="2024-03-06T00:00:00"/>
    <x v="4"/>
    <s v="Business Development"/>
    <n v="8"/>
    <x v="11"/>
    <s v="No"/>
    <m/>
    <x v="1"/>
    <x v="4"/>
  </r>
  <r>
    <d v="2024-03-06T00:00:00"/>
    <x v="5"/>
    <s v="Bookkeeping"/>
    <n v="0.53"/>
    <x v="15"/>
    <s v="Yes"/>
    <s v="Leave Reports "/>
    <x v="1"/>
    <x v="4"/>
  </r>
  <r>
    <d v="2024-03-06T00:00:00"/>
    <x v="5"/>
    <s v="Bookkeeping"/>
    <n v="1.73"/>
    <x v="15"/>
    <s v="Yes"/>
    <s v="Email Management "/>
    <x v="1"/>
    <x v="4"/>
  </r>
  <r>
    <d v="2024-03-06T00:00:00"/>
    <x v="5"/>
    <s v="Bookkeeping"/>
    <n v="2.4"/>
    <x v="15"/>
    <s v="Yes"/>
    <s v="Posting of Pending invoices "/>
    <x v="1"/>
    <x v="4"/>
  </r>
  <r>
    <d v="2024-03-06T00:00:00"/>
    <x v="5"/>
    <s v="Bookkeeping"/>
    <n v="2.63"/>
    <x v="15"/>
    <s v="Yes"/>
    <s v="AP Processing"/>
    <x v="1"/>
    <x v="4"/>
  </r>
  <r>
    <d v="2024-03-06T00:00:00"/>
    <x v="5"/>
    <s v="Meetings"/>
    <n v="2"/>
    <x v="11"/>
    <s v="No"/>
    <s v="Meeting with Nick"/>
    <x v="1"/>
    <x v="4"/>
  </r>
  <r>
    <d v="2024-03-06T00:00:00"/>
    <x v="6"/>
    <s v="Automations"/>
    <n v="3"/>
    <x v="11"/>
    <s v="No"/>
    <m/>
    <x v="1"/>
    <x v="4"/>
  </r>
  <r>
    <d v="2024-03-06T00:00:00"/>
    <x v="6"/>
    <s v="Automations - Pinnacle"/>
    <n v="3"/>
    <x v="11"/>
    <s v="No"/>
    <s v="XeroDownloadReportsAutomation • Update the bot in VM (Added delay activity and rename sheet activity to rename each sheet of the downloaded files before consolidation) • Tested and ran the bot in VM for possible errors"/>
    <x v="1"/>
    <x v="4"/>
  </r>
  <r>
    <d v="2024-03-06T00:00:00"/>
    <x v="6"/>
    <s v="Meetings"/>
    <n v="2"/>
    <x v="11"/>
    <s v="No"/>
    <s v="Productivity and Automation facilitated by Nick"/>
    <x v="1"/>
    <x v="4"/>
  </r>
  <r>
    <d v="2024-03-06T00:00:00"/>
    <x v="9"/>
    <s v="Automations - Alliance"/>
    <n v="9.18"/>
    <x v="11"/>
    <s v="No"/>
    <s v="Alliance Report Automation additional functions development."/>
    <x v="1"/>
    <x v="4"/>
  </r>
  <r>
    <d v="2024-03-06T00:00:00"/>
    <x v="10"/>
    <s v="Bookkeeping"/>
    <n v="0.17"/>
    <x v="42"/>
    <s v="No"/>
    <s v="Reviewing month end steps"/>
    <x v="1"/>
    <x v="4"/>
  </r>
  <r>
    <d v="2024-03-06T00:00:00"/>
    <x v="10"/>
    <s v="Bookkeeping"/>
    <n v="0.33"/>
    <x v="50"/>
    <s v="Yes"/>
    <s v="Pushing bills from HubDoc, bank recon"/>
    <x v="1"/>
    <x v="4"/>
  </r>
  <r>
    <d v="2024-03-06T00:00:00"/>
    <x v="10"/>
    <s v="Bookkeeping"/>
    <n v="0.42"/>
    <x v="23"/>
    <s v="Yes"/>
    <s v="Checking emails, AL and LSL provision"/>
    <x v="1"/>
    <x v="4"/>
  </r>
  <r>
    <d v="2024-03-06T00:00:00"/>
    <x v="10"/>
    <s v="Bookkeeping"/>
    <n v="0.57999999999999996"/>
    <x v="85"/>
    <s v="No"/>
    <s v="Re-watching the handover video, checking the accounts and familiarizing myself"/>
    <x v="1"/>
    <x v="4"/>
  </r>
  <r>
    <d v="2024-03-06T00:00:00"/>
    <x v="10"/>
    <s v="Bookkeeping"/>
    <n v="0.75"/>
    <x v="22"/>
    <s v="Yes"/>
    <s v="Pushing bills from HubDoc, bank recon"/>
    <x v="1"/>
    <x v="4"/>
  </r>
  <r>
    <d v="2024-03-06T00:00:00"/>
    <x v="10"/>
    <s v="Bookkeeping"/>
    <n v="1.08"/>
    <x v="85"/>
    <s v="Yes"/>
    <s v="Loading bills from HubDoc, bank recon, AP payment"/>
    <x v="1"/>
    <x v="4"/>
  </r>
  <r>
    <d v="2024-03-06T00:00:00"/>
    <x v="10"/>
    <s v="Bookkeeping"/>
    <n v="1.25"/>
    <x v="20"/>
    <s v="Yes"/>
    <s v="Pushing bills from HubDoc, bank recon"/>
    <x v="1"/>
    <x v="4"/>
  </r>
  <r>
    <d v="2024-03-06T00:00:00"/>
    <x v="10"/>
    <s v="Bookkeeping"/>
    <n v="2.58"/>
    <x v="42"/>
    <s v="Yes"/>
    <s v="Checking emails, loading bills, bank recon, month end tasks"/>
    <x v="1"/>
    <x v="4"/>
  </r>
  <r>
    <d v="2024-03-06T00:00:00"/>
    <x v="10"/>
    <s v="General"/>
    <n v="0.5"/>
    <x v="11"/>
    <s v="No"/>
    <s v="break"/>
    <x v="1"/>
    <x v="4"/>
  </r>
  <r>
    <d v="2024-03-06T00:00:00"/>
    <x v="10"/>
    <s v="Payroll Processing"/>
    <n v="0.33"/>
    <x v="42"/>
    <s v="Yes"/>
    <s v="FN payroll"/>
    <x v="1"/>
    <x v="4"/>
  </r>
  <r>
    <d v="2024-03-06T00:00:00"/>
    <x v="46"/>
    <s v="CFO Advisory"/>
    <n v="2"/>
    <x v="3"/>
    <s v="Yes"/>
    <m/>
    <x v="1"/>
    <x v="4"/>
  </r>
  <r>
    <d v="2024-03-06T00:00:00"/>
    <x v="46"/>
    <s v="CFO Advisory"/>
    <n v="3"/>
    <x v="3"/>
    <s v="Yes"/>
    <s v="On-site meeting with Eli and Vishal (auditor) re: aligning accounting with Trust Deed terms + agree on required actions  Call ACNC re: updates on appearing on the website, update Max Freeman Start implementing actions from the meeting with Eli/Vishal - recode transactions, change P&amp;L structure, review transactions/investigate/take corrective action (eg enter-entity transfers (request + post journals)"/>
    <x v="1"/>
    <x v="4"/>
  </r>
  <r>
    <d v="2024-03-06T00:00:00"/>
    <x v="46"/>
    <s v="CFO001 - CFO Services"/>
    <n v="0.5"/>
    <x v="5"/>
    <s v="Yes"/>
    <s v="Feb'23 month-end actions. Update Xero chart of accounts and expense claim modules to resolve miscoding issues + recode transactions for consistency. Respond to queries"/>
    <x v="1"/>
    <x v="4"/>
  </r>
  <r>
    <d v="2024-03-06T00:00:00"/>
    <x v="11"/>
    <s v="Bookkeeping"/>
    <n v="0.32"/>
    <x v="73"/>
    <s v="Yes"/>
    <s v="Skype/ Dadworld sale review"/>
    <x v="1"/>
    <x v="4"/>
  </r>
  <r>
    <d v="2024-03-06T00:00:00"/>
    <x v="11"/>
    <s v="Bookkeeping"/>
    <n v="1.8"/>
    <x v="42"/>
    <s v="Yes"/>
    <s v="ME tasks"/>
    <x v="1"/>
    <x v="4"/>
  </r>
  <r>
    <d v="2024-03-06T00:00:00"/>
    <x v="11"/>
    <s v="Bookkeeping - Emails"/>
    <n v="0.45"/>
    <x v="31"/>
    <s v="Yes"/>
    <s v="billing distro - remove Mali"/>
    <x v="1"/>
    <x v="4"/>
  </r>
  <r>
    <d v="2024-03-06T00:00:00"/>
    <x v="11"/>
    <s v="General"/>
    <n v="0.5"/>
    <x v="11"/>
    <s v="No"/>
    <s v="break"/>
    <x v="1"/>
    <x v="4"/>
  </r>
  <r>
    <d v="2024-03-06T00:00:00"/>
    <x v="11"/>
    <s v="General"/>
    <n v="1.85"/>
    <x v="11"/>
    <s v="No"/>
    <s v="team activity - farewell luncheon"/>
    <x v="1"/>
    <x v="4"/>
  </r>
  <r>
    <d v="2024-03-06T00:00:00"/>
    <x v="11"/>
    <s v="Management Reporting"/>
    <n v="0.27"/>
    <x v="27"/>
    <s v="Yes"/>
    <s v="Sales actuals"/>
    <x v="1"/>
    <x v="4"/>
  </r>
  <r>
    <d v="2024-03-06T00:00:00"/>
    <x v="11"/>
    <s v="Management Reporting"/>
    <n v="1.67"/>
    <x v="42"/>
    <s v="Yes"/>
    <s v="ME tasks"/>
    <x v="1"/>
    <x v="4"/>
  </r>
  <r>
    <d v="2024-03-06T00:00:00"/>
    <x v="11"/>
    <s v="Management Reporting - Process"/>
    <n v="1.1499999999999999"/>
    <x v="31"/>
    <s v="Yes"/>
    <s v="reports sent to Tom"/>
    <x v="1"/>
    <x v="4"/>
  </r>
  <r>
    <d v="2024-03-06T00:00:00"/>
    <x v="12"/>
    <s v="General"/>
    <n v="9.5"/>
    <x v="11"/>
    <s v="No"/>
    <s v="- ATO - ASIC - Update of Carly's LinkedIn Network greetings - Admin Task   - Preparation for the FArewell Lunch Party for Con"/>
    <x v="1"/>
    <x v="4"/>
  </r>
  <r>
    <d v="2024-03-06T00:00:00"/>
    <x v="13"/>
    <s v="Bookkeeping"/>
    <n v="0.17"/>
    <x v="29"/>
    <s v="Yes"/>
    <s v="sending remittances"/>
    <x v="1"/>
    <x v="4"/>
  </r>
  <r>
    <d v="2024-03-06T00:00:00"/>
    <x v="13"/>
    <s v="Bookkeeping"/>
    <n v="0.45"/>
    <x v="31"/>
    <s v="Yes"/>
    <s v="inbox checking of invoices"/>
    <x v="1"/>
    <x v="4"/>
  </r>
  <r>
    <d v="2024-03-06T00:00:00"/>
    <x v="13"/>
    <s v="Bookkeeping"/>
    <n v="1.62"/>
    <x v="28"/>
    <s v="No"/>
    <s v="searching ways to import a bank transactions using import file reckon system"/>
    <x v="1"/>
    <x v="4"/>
  </r>
  <r>
    <d v="2024-03-06T00:00:00"/>
    <x v="13"/>
    <s v="Bookkeeping"/>
    <n v="1.78"/>
    <x v="30"/>
    <s v="Yes"/>
    <s v="bank recon emails process ap invoices from inbox"/>
    <x v="1"/>
    <x v="4"/>
  </r>
  <r>
    <d v="2024-03-06T00:00:00"/>
    <x v="13"/>
    <s v="Bookkeeping"/>
    <n v="2.83"/>
    <x v="29"/>
    <s v="Yes"/>
    <s v="ap batch payment ap report emails bank recon"/>
    <x v="1"/>
    <x v="4"/>
  </r>
  <r>
    <d v="2024-03-06T00:00:00"/>
    <x v="13"/>
    <s v="Bookkeeping - Bank Recs"/>
    <n v="0.38"/>
    <x v="31"/>
    <s v="Yes"/>
    <s v="bank recon"/>
    <x v="1"/>
    <x v="4"/>
  </r>
  <r>
    <d v="2024-03-06T00:00:00"/>
    <x v="13"/>
    <s v="General"/>
    <n v="0.25"/>
    <x v="56"/>
    <s v="Yes"/>
    <s v="break"/>
    <x v="1"/>
    <x v="4"/>
  </r>
  <r>
    <d v="2024-03-06T00:00:00"/>
    <x v="13"/>
    <s v="General"/>
    <n v="0.25"/>
    <x v="11"/>
    <s v="No"/>
    <s v="break"/>
    <x v="1"/>
    <x v="4"/>
  </r>
  <r>
    <d v="2024-03-06T00:00:00"/>
    <x v="13"/>
    <s v="General"/>
    <n v="0.27"/>
    <x v="11"/>
    <s v="No"/>
    <s v="internal emails"/>
    <x v="1"/>
    <x v="4"/>
  </r>
  <r>
    <d v="2024-03-06T00:00:00"/>
    <x v="14"/>
    <s v="Bookkeeping"/>
    <n v="0.33"/>
    <x v="25"/>
    <s v="Yes"/>
    <s v="Checking payments, bank recs"/>
    <x v="1"/>
    <x v="4"/>
  </r>
  <r>
    <d v="2024-03-06T00:00:00"/>
    <x v="14"/>
    <s v="Bookkeeping"/>
    <n v="0.4"/>
    <x v="25"/>
    <s v="Yes"/>
    <s v="Exporting payroll/PAYG reports for IAS, checking accounts"/>
    <x v="1"/>
    <x v="4"/>
  </r>
  <r>
    <d v="2024-03-06T00:00:00"/>
    <x v="14"/>
    <s v="Bookkeeping"/>
    <n v="0.88"/>
    <x v="32"/>
    <s v="Yes"/>
    <s v="Pulling out payroll reports, checking of accounts for month-end closing"/>
    <x v="1"/>
    <x v="4"/>
  </r>
  <r>
    <d v="2024-03-06T00:00:00"/>
    <x v="14"/>
    <s v="Bookkeeping"/>
    <n v="0.93"/>
    <x v="32"/>
    <s v="Yes"/>
    <s v="Bank recs, checking of accounts"/>
    <x v="1"/>
    <x v="4"/>
  </r>
  <r>
    <d v="2024-03-06T00:00:00"/>
    <x v="14"/>
    <s v="Bookkeeping"/>
    <n v="1.05"/>
    <x v="73"/>
    <s v="Yes"/>
    <s v="Bank recs, updating AP"/>
    <x v="1"/>
    <x v="4"/>
  </r>
  <r>
    <d v="2024-03-06T00:00:00"/>
    <x v="14"/>
    <s v="Bookkeeping"/>
    <n v="1.6"/>
    <x v="73"/>
    <s v="Yes"/>
    <s v="Bank recs"/>
    <x v="1"/>
    <x v="4"/>
  </r>
  <r>
    <d v="2024-03-06T00:00:00"/>
    <x v="14"/>
    <s v="Learning &amp; Development"/>
    <n v="0.82"/>
    <x v="11"/>
    <s v="No"/>
    <s v="Training with Nick"/>
    <x v="1"/>
    <x v="4"/>
  </r>
  <r>
    <d v="2024-03-06T00:00:00"/>
    <x v="14"/>
    <s v="Meetings"/>
    <n v="0.15"/>
    <x v="11"/>
    <s v="No"/>
    <s v="Call with Ef for some queries"/>
    <x v="1"/>
    <x v="4"/>
  </r>
  <r>
    <d v="2024-03-06T00:00:00"/>
    <x v="14"/>
    <s v="Payroll Processing"/>
    <n v="0.56999999999999995"/>
    <x v="34"/>
    <s v="Yes"/>
    <s v="Payroll"/>
    <x v="1"/>
    <x v="4"/>
  </r>
  <r>
    <d v="2024-03-06T00:00:00"/>
    <x v="14"/>
    <s v="Payroll Processing"/>
    <n v="0.57999999999999996"/>
    <x v="34"/>
    <s v="Yes"/>
    <s v="Finalising payroll"/>
    <x v="1"/>
    <x v="4"/>
  </r>
  <r>
    <d v="2024-03-06T00:00:00"/>
    <x v="14"/>
    <s v="Payroll Processing"/>
    <n v="0.68"/>
    <x v="33"/>
    <s v="Yes"/>
    <s v="Checking payroll accounts and manual journal "/>
    <x v="1"/>
    <x v="4"/>
  </r>
  <r>
    <d v="2024-03-06T00:00:00"/>
    <x v="15"/>
    <s v="Bookkeeping"/>
    <n v="2.72"/>
    <x v="22"/>
    <s v="Yes"/>
    <m/>
    <x v="1"/>
    <x v="4"/>
  </r>
  <r>
    <d v="2024-03-06T00:00:00"/>
    <x v="15"/>
    <s v="Learning &amp; Development"/>
    <n v="1.17"/>
    <x v="11"/>
    <s v="No"/>
    <s v="training"/>
    <x v="1"/>
    <x v="4"/>
  </r>
  <r>
    <d v="2024-03-06T00:00:00"/>
    <x v="15"/>
    <s v="Meetings"/>
    <n v="2.02"/>
    <x v="11"/>
    <s v="No"/>
    <s v="2:1 Shalini and Ali, Meeting with Nick, 1:1 with Nick"/>
    <x v="1"/>
    <x v="4"/>
  </r>
  <r>
    <d v="2024-03-06T00:00:00"/>
    <x v="15"/>
    <s v="Meetings"/>
    <n v="2.12"/>
    <x v="11"/>
    <s v="No"/>
    <s v="1:1 with Nick, meeting with Jordan and Dan and assist on automation. Check emails"/>
    <x v="1"/>
    <x v="4"/>
  </r>
  <r>
    <d v="2024-03-06T00:00:00"/>
    <x v="16"/>
    <s v="Bookkeeping"/>
    <n v="1.93"/>
    <x v="35"/>
    <s v="Yes"/>
    <m/>
    <x v="1"/>
    <x v="4"/>
  </r>
  <r>
    <d v="2024-03-06T00:00:00"/>
    <x v="16"/>
    <s v="Payroll Processing"/>
    <n v="6.03"/>
    <x v="1"/>
    <s v="Yes"/>
    <m/>
    <x v="1"/>
    <x v="4"/>
  </r>
  <r>
    <d v="2024-03-06T00:00:00"/>
    <x v="17"/>
    <s v="P&amp;C Advisory"/>
    <n v="7.17"/>
    <x v="34"/>
    <s v="Yes"/>
    <s v="Shortlisting CV's HR Daily mtg Handover cont. Updating links, templates etc in readiness for Dex engagements"/>
    <x v="1"/>
    <x v="4"/>
  </r>
  <r>
    <d v="2024-03-06T00:00:00"/>
    <x v="18"/>
    <s v="Bookkeeping"/>
    <n v="0.32"/>
    <x v="37"/>
    <s v="Yes"/>
    <m/>
    <x v="1"/>
    <x v="4"/>
  </r>
  <r>
    <d v="2024-03-06T00:00:00"/>
    <x v="18"/>
    <s v="Bookkeeping"/>
    <n v="0.38"/>
    <x v="41"/>
    <s v="Yes"/>
    <s v="dext prep, ap items, bank recon"/>
    <x v="1"/>
    <x v="4"/>
  </r>
  <r>
    <d v="2024-03-06T00:00:00"/>
    <x v="18"/>
    <s v="Bookkeeping"/>
    <n v="0.63"/>
    <x v="36"/>
    <s v="Yes"/>
    <m/>
    <x v="1"/>
    <x v="4"/>
  </r>
  <r>
    <d v="2024-03-06T00:00:00"/>
    <x v="18"/>
    <s v="Bookkeeping"/>
    <n v="0.67"/>
    <x v="27"/>
    <s v="Yes"/>
    <m/>
    <x v="1"/>
    <x v="4"/>
  </r>
  <r>
    <d v="2024-03-06T00:00:00"/>
    <x v="18"/>
    <s v="Bookkeeping"/>
    <n v="2.67"/>
    <x v="40"/>
    <s v="Yes"/>
    <s v="AP Items from email &amp; procore, draft payroll for final pay as per client, sort of emails in inboxes, hubdoc, bank recon &amp; JE to transfer cost for Feb204 to Spaceful Xero from A&amp;E"/>
    <x v="1"/>
    <x v="4"/>
  </r>
  <r>
    <d v="2024-03-06T00:00:00"/>
    <x v="18"/>
    <s v="Learning &amp; Development"/>
    <n v="1.73"/>
    <x v="11"/>
    <s v="No"/>
    <s v="Meeting with Nick"/>
    <x v="1"/>
    <x v="4"/>
  </r>
  <r>
    <d v="2024-03-06T00:00:00"/>
    <x v="18"/>
    <s v="Management Reporting"/>
    <n v="1.55"/>
    <x v="41"/>
    <s v="Yes"/>
    <s v="Balance sheet recon finalise, ap queries to close out Feb24 items"/>
    <x v="1"/>
    <x v="4"/>
  </r>
  <r>
    <d v="2024-03-06T00:00:00"/>
    <x v="18"/>
    <s v="Payroll Processing"/>
    <n v="0.32"/>
    <x v="40"/>
    <s v="Yes"/>
    <m/>
    <x v="1"/>
    <x v="4"/>
  </r>
  <r>
    <d v="2024-03-06T00:00:00"/>
    <x v="19"/>
    <s v="Automations - Surefire"/>
    <n v="8"/>
    <x v="11"/>
    <s v="No"/>
    <s v="SureFire Services Automation."/>
    <x v="1"/>
    <x v="4"/>
  </r>
  <r>
    <d v="2024-03-06T00:00:00"/>
    <x v="20"/>
    <s v="Automations"/>
    <n v="8"/>
    <x v="11"/>
    <s v="No"/>
    <m/>
    <x v="1"/>
    <x v="4"/>
  </r>
  <r>
    <d v="2024-03-06T00:00:00"/>
    <x v="21"/>
    <s v="Automations"/>
    <n v="8"/>
    <x v="11"/>
    <s v="No"/>
    <s v="Run: Lack of Color Dev: Primebuild Payroll Processing Dev: Oporto Automation"/>
    <x v="1"/>
    <x v="4"/>
  </r>
  <r>
    <d v="2024-03-06T00:00:00"/>
    <x v="22"/>
    <s v="Bookkeeping"/>
    <n v="0.3"/>
    <x v="26"/>
    <s v="Yes"/>
    <s v="Add GIC from ATO portal, reconcile ATO account including updating payments to account for Pay.com.au fees Email to Mary to check fees going forward"/>
    <x v="1"/>
    <x v="4"/>
  </r>
  <r>
    <d v="2024-03-06T00:00:00"/>
    <x v="22"/>
    <s v="Bookkeeping"/>
    <n v="0.62"/>
    <x v="44"/>
    <s v="Yes"/>
    <s v="review emails and file Setup Kate R super Bank rec report  Respond to Blair email"/>
    <x v="1"/>
    <x v="4"/>
  </r>
  <r>
    <d v="2024-03-06T00:00:00"/>
    <x v="22"/>
    <s v="Bookkeeping"/>
    <n v="0.63"/>
    <x v="42"/>
    <s v="Yes"/>
    <s v="Load payroll and Inform bill to NAB Check accountant queries and send through to Emily Follow up Lucia for Nine contact information"/>
    <x v="1"/>
    <x v="4"/>
  </r>
  <r>
    <d v="2024-03-06T00:00:00"/>
    <x v="22"/>
    <s v="Client Manager"/>
    <n v="0.08"/>
    <x v="50"/>
    <s v="Yes"/>
    <s v="Email to Ef re building depreciation"/>
    <x v="1"/>
    <x v="4"/>
  </r>
  <r>
    <d v="2024-03-06T00:00:00"/>
    <x v="22"/>
    <s v="Client Manager"/>
    <n v="0.12"/>
    <x v="58"/>
    <s v="Yes"/>
    <s v="Proda - download letter and email to Mary with info"/>
    <x v="1"/>
    <x v="4"/>
  </r>
  <r>
    <d v="2024-03-06T00:00:00"/>
    <x v="22"/>
    <s v="Client Manager"/>
    <n v="0.17"/>
    <x v="86"/>
    <s v="Yes"/>
    <s v="REview rec status and tax queries status, liaise with Aileen"/>
    <x v="1"/>
    <x v="4"/>
  </r>
  <r>
    <d v="2024-03-06T00:00:00"/>
    <x v="22"/>
    <s v="Client Manager"/>
    <n v="0.55000000000000004"/>
    <x v="24"/>
    <s v="Yes"/>
    <s v="Bookkeping invoices to Xero, review for payments and email to Marianne"/>
    <x v="1"/>
    <x v="4"/>
  </r>
  <r>
    <d v="2024-03-06T00:00:00"/>
    <x v="22"/>
    <s v="General"/>
    <n v="0.15"/>
    <x v="11"/>
    <s v="No"/>
    <m/>
    <x v="1"/>
    <x v="4"/>
  </r>
  <r>
    <d v="2024-03-06T00:00:00"/>
    <x v="22"/>
    <s v="General"/>
    <n v="0.17"/>
    <x v="11"/>
    <s v="No"/>
    <s v="Emails and Asana"/>
    <x v="1"/>
    <x v="4"/>
  </r>
  <r>
    <d v="2024-03-06T00:00:00"/>
    <x v="22"/>
    <s v="General"/>
    <n v="0.3"/>
    <x v="11"/>
    <s v="No"/>
    <s v="Emails"/>
    <x v="1"/>
    <x v="4"/>
  </r>
  <r>
    <d v="2024-03-06T00:00:00"/>
    <x v="22"/>
    <s v="Learning &amp; Development"/>
    <n v="0.48"/>
    <x v="11"/>
    <s v="No"/>
    <s v="Review report template notes from Nica, respond via email with query to Ali"/>
    <x v="1"/>
    <x v="4"/>
  </r>
  <r>
    <d v="2024-03-06T00:00:00"/>
    <x v="22"/>
    <s v="Payroll Processing"/>
    <n v="0.05"/>
    <x v="20"/>
    <s v="Yes"/>
    <s v="Payroll review"/>
    <x v="1"/>
    <x v="4"/>
  </r>
  <r>
    <d v="2024-03-06T00:00:00"/>
    <x v="22"/>
    <s v="Payroll Processing"/>
    <n v="0.08"/>
    <x v="19"/>
    <s v="Yes"/>
    <s v="Review payrun"/>
    <x v="1"/>
    <x v="4"/>
  </r>
  <r>
    <d v="2024-03-06T00:00:00"/>
    <x v="22"/>
    <s v="Payroll Processing"/>
    <n v="0.1"/>
    <x v="34"/>
    <s v="Yes"/>
    <s v="Follow up approvals"/>
    <x v="1"/>
    <x v="4"/>
  </r>
  <r>
    <d v="2024-03-06T00:00:00"/>
    <x v="22"/>
    <s v="Payroll Processing"/>
    <n v="0.17"/>
    <x v="19"/>
    <s v="Yes"/>
    <s v="Review ADI for Melanie Mull - add super details.  Email to Ash to check timesheet"/>
    <x v="1"/>
    <x v="4"/>
  </r>
  <r>
    <d v="2024-03-06T00:00:00"/>
    <x v="22"/>
    <s v="Payroll Processing"/>
    <n v="0.65"/>
    <x v="34"/>
    <s v="Yes"/>
    <s v="Payroll review Check child support and super - update summary table "/>
    <x v="1"/>
    <x v="4"/>
  </r>
  <r>
    <d v="2024-03-06T00:00:00"/>
    <x v="22"/>
    <s v="Payroll Processing"/>
    <n v="0.7"/>
    <x v="34"/>
    <s v="Yes"/>
    <s v="Payroll review, call Darren T re Hannah G and update - emails to Tim and Mohit"/>
    <x v="1"/>
    <x v="4"/>
  </r>
  <r>
    <d v="2024-03-06T00:00:00"/>
    <x v="22"/>
    <s v="Payroll Processing"/>
    <n v="0.9"/>
    <x v="34"/>
    <s v="Yes"/>
    <s v="Load payments to bank including superannuation, child support etc."/>
    <x v="1"/>
    <x v="4"/>
  </r>
  <r>
    <d v="2024-03-06T00:00:00"/>
    <x v="22"/>
    <s v="Payroll Processing"/>
    <n v="2.13"/>
    <x v="34"/>
    <s v="Yes"/>
    <s v="Payroll reviews Email re Sean Lawther pay amounts for FY23 - check Elmo and JobPac, email to Danni"/>
    <x v="1"/>
    <x v="4"/>
  </r>
  <r>
    <d v="2024-03-06T00:00:00"/>
    <x v="23"/>
    <s v="Client Meeting"/>
    <n v="0.05"/>
    <x v="87"/>
    <s v="No"/>
    <s v="Teams chat"/>
    <x v="1"/>
    <x v="4"/>
  </r>
  <r>
    <d v="2024-03-06T00:00:00"/>
    <x v="23"/>
    <s v="Client Meeting"/>
    <n v="0.05"/>
    <x v="48"/>
    <s v="No"/>
    <s v="Teams chat"/>
    <x v="1"/>
    <x v="4"/>
  </r>
  <r>
    <d v="2024-03-06T00:00:00"/>
    <x v="23"/>
    <s v="Client Meeting"/>
    <n v="0.05"/>
    <x v="11"/>
    <s v="No"/>
    <s v="Arriva email training"/>
    <x v="1"/>
    <x v="4"/>
  </r>
  <r>
    <d v="2024-03-06T00:00:00"/>
    <x v="23"/>
    <s v="Client Meeting"/>
    <n v="0.05"/>
    <x v="42"/>
    <s v="No"/>
    <s v="Teams chat"/>
    <x v="1"/>
    <x v="4"/>
  </r>
  <r>
    <d v="2024-03-06T00:00:00"/>
    <x v="23"/>
    <s v="Client Meeting"/>
    <n v="0.05"/>
    <x v="33"/>
    <s v="No"/>
    <s v="Teams chat"/>
    <x v="1"/>
    <x v="4"/>
  </r>
  <r>
    <d v="2024-03-06T00:00:00"/>
    <x v="23"/>
    <s v="General"/>
    <n v="0.05"/>
    <x v="11"/>
    <s v="No"/>
    <s v="Ben's email"/>
    <x v="1"/>
    <x v="4"/>
  </r>
  <r>
    <d v="2024-03-06T00:00:00"/>
    <x v="23"/>
    <s v="General"/>
    <n v="0.05"/>
    <x v="11"/>
    <s v="No"/>
    <s v="MYOB access"/>
    <x v="1"/>
    <x v="4"/>
  </r>
  <r>
    <d v="2024-03-06T00:00:00"/>
    <x v="23"/>
    <s v="General"/>
    <n v="0.25"/>
    <x v="11"/>
    <s v="No"/>
    <s v="MORNING Break: 15 mins coffee breaks as paid per Labor Code of the Philippines, Article 85."/>
    <x v="1"/>
    <x v="4"/>
  </r>
  <r>
    <d v="2024-03-06T00:00:00"/>
    <x v="23"/>
    <s v="General"/>
    <n v="0.33"/>
    <x v="11"/>
    <s v="No"/>
    <s v="adhoc report request by RJ"/>
    <x v="1"/>
    <x v="4"/>
  </r>
  <r>
    <d v="2024-03-06T00:00:00"/>
    <x v="23"/>
    <s v="General"/>
    <n v="1.88"/>
    <x v="11"/>
    <s v="No"/>
    <s v="Gen seeking a help. I am assisting her to finish the Master list for all clients. "/>
    <x v="1"/>
    <x v="4"/>
  </r>
  <r>
    <d v="2024-03-06T00:00:00"/>
    <x v="23"/>
    <s v="IAS/BAS Preparation &amp; Lodgement - Feb"/>
    <n v="0.05"/>
    <x v="88"/>
    <s v="Yes"/>
    <m/>
    <x v="1"/>
    <x v="4"/>
  </r>
  <r>
    <d v="2024-03-06T00:00:00"/>
    <x v="23"/>
    <s v="IAS/BAS Preparation &amp; Lodgement - Feb"/>
    <n v="0.1"/>
    <x v="88"/>
    <s v="Yes"/>
    <s v="IAS"/>
    <x v="1"/>
    <x v="4"/>
  </r>
  <r>
    <d v="2024-03-06T00:00:00"/>
    <x v="23"/>
    <s v="Learning &amp; Development"/>
    <n v="1.03"/>
    <x v="11"/>
    <s v="No"/>
    <s v="Training"/>
    <x v="1"/>
    <x v="4"/>
  </r>
  <r>
    <d v="2024-03-06T00:00:00"/>
    <x v="23"/>
    <s v="Meetings"/>
    <n v="1.85"/>
    <x v="11"/>
    <s v="No"/>
    <s v="Team Activity with Con"/>
    <x v="1"/>
    <x v="4"/>
  </r>
  <r>
    <d v="2024-03-06T00:00:00"/>
    <x v="23"/>
    <s v="Tax Admin"/>
    <n v="0.65"/>
    <x v="11"/>
    <s v="No"/>
    <s v="&gt;Responding to IAS exportation queries &gt;Checking or retrieving of previous email &gt;Updating ASANA IAS clients"/>
    <x v="1"/>
    <x v="4"/>
  </r>
  <r>
    <d v="2024-03-06T00:00:00"/>
    <x v="23"/>
    <s v="Tax Admin"/>
    <n v="1.5"/>
    <x v="11"/>
    <s v="No"/>
    <s v="Creating and Updating list report ( All clients ) request by RJ."/>
    <x v="1"/>
    <x v="4"/>
  </r>
  <r>
    <d v="2024-03-06T00:00:00"/>
    <x v="48"/>
    <s v="P&amp;C Advisory"/>
    <n v="8"/>
    <x v="9"/>
    <s v="Yes"/>
    <s v="Teams call with Receptionist.  Phone call with DK to discuss HR strategies, Board reporting.  Employee connect updates to offboarding 2 employees who resigned.  Conduct exit interview for employee in WA, and type up notes.  Review closing loopholes legislation for Executive and type up word document with HR strategies for potential board items to report on and email to DK.  Reset payroll password for employee.  Type up welcome message to MKP group for new Manila employee and send out welcome message.  Send employee details form to Manila employee for and liaise re emergency contacts, and website photos."/>
    <x v="1"/>
    <x v="4"/>
  </r>
  <r>
    <d v="2024-03-06T00:00:00"/>
    <x v="24"/>
    <s v="Bookkeeping"/>
    <n v="3.93"/>
    <x v="15"/>
    <s v="Yes"/>
    <m/>
    <x v="1"/>
    <x v="4"/>
  </r>
  <r>
    <d v="2024-03-06T00:00:00"/>
    <x v="24"/>
    <s v="Meetings"/>
    <n v="4.3"/>
    <x v="11"/>
    <s v="No"/>
    <m/>
    <x v="1"/>
    <x v="4"/>
  </r>
  <r>
    <d v="2024-03-06T00:00:00"/>
    <x v="25"/>
    <s v="Bookkeeping"/>
    <n v="1.5"/>
    <x v="16"/>
    <s v="Yes"/>
    <s v="FY24 - Jan InterCo variances"/>
    <x v="1"/>
    <x v="4"/>
  </r>
  <r>
    <d v="2024-03-06T00:00:00"/>
    <x v="26"/>
    <s v="Debt Collection"/>
    <n v="1.5"/>
    <x v="11"/>
    <s v="Yes"/>
    <m/>
    <x v="1"/>
    <x v="4"/>
  </r>
  <r>
    <d v="2024-03-06T00:00:00"/>
    <x v="26"/>
    <s v="Debt Collection"/>
    <n v="4"/>
    <x v="15"/>
    <s v="Yes"/>
    <m/>
    <x v="1"/>
    <x v="4"/>
  </r>
  <r>
    <d v="2024-03-06T00:00:00"/>
    <x v="26"/>
    <s v="General"/>
    <n v="0.5"/>
    <x v="11"/>
    <s v="No"/>
    <s v="break"/>
    <x v="1"/>
    <x v="4"/>
  </r>
  <r>
    <d v="2024-03-06T00:00:00"/>
    <x v="26"/>
    <s v="Learning &amp; Development"/>
    <n v="2"/>
    <x v="11"/>
    <s v="No"/>
    <s v="training with Nick"/>
    <x v="1"/>
    <x v="4"/>
  </r>
  <r>
    <d v="2024-03-06T00:00:00"/>
    <x v="27"/>
    <s v="General"/>
    <n v="8.98"/>
    <x v="11"/>
    <s v="No"/>
    <s v="month-end / handover / emails / catchup Nick /"/>
    <x v="1"/>
    <x v="4"/>
  </r>
  <r>
    <d v="2024-03-06T00:00:00"/>
    <x v="28"/>
    <s v="Bookkeeping"/>
    <n v="2.65"/>
    <x v="57"/>
    <s v="Yes"/>
    <s v="Prepared summary report for approval for payment.  call with Ms. Rose regarding the new process of intercompany loan reconciliation. Load payment to COMbizz"/>
    <x v="1"/>
    <x v="4"/>
  </r>
  <r>
    <d v="2024-03-06T00:00:00"/>
    <x v="28"/>
    <s v="Bookkeeping"/>
    <n v="3.13"/>
    <x v="57"/>
    <s v="Yes"/>
    <s v="Email Management Bills raise to xero Bank Reconciliation BM and LOC Inc. Approving sales to a2x  Check all AP's and make plan date. Revised Paypal clearing account Domestic"/>
    <x v="1"/>
    <x v="4"/>
  </r>
  <r>
    <d v="2024-03-06T00:00:00"/>
    <x v="28"/>
    <s v="General"/>
    <n v="0.5"/>
    <x v="11"/>
    <s v="No"/>
    <s v="Break"/>
    <x v="1"/>
    <x v="4"/>
  </r>
  <r>
    <d v="2024-03-06T00:00:00"/>
    <x v="28"/>
    <s v="Learning &amp; Development"/>
    <n v="1.72"/>
    <x v="11"/>
    <s v="No"/>
    <s v="Meeting with Nick and the team. "/>
    <x v="1"/>
    <x v="4"/>
  </r>
  <r>
    <d v="2024-03-06T00:00:00"/>
    <x v="29"/>
    <s v="Annual Leave"/>
    <n v="8"/>
    <x v="11"/>
    <s v="No"/>
    <s v="Paternity Leave"/>
    <x v="1"/>
    <x v="4"/>
  </r>
  <r>
    <d v="2024-03-06T00:00:00"/>
    <x v="30"/>
    <s v="Annual Leave"/>
    <n v="8"/>
    <x v="11"/>
    <s v="No"/>
    <m/>
    <x v="1"/>
    <x v="4"/>
  </r>
  <r>
    <d v="2024-03-06T00:00:00"/>
    <x v="31"/>
    <s v="Accounts"/>
    <n v="1.02"/>
    <x v="56"/>
    <s v="No"/>
    <s v="BDO file uploading and discussion with RJ"/>
    <x v="1"/>
    <x v="4"/>
  </r>
  <r>
    <d v="2024-03-06T00:00:00"/>
    <x v="31"/>
    <s v="Bookkeeping"/>
    <n v="0.48"/>
    <x v="11"/>
    <s v="No"/>
    <s v="Further processing of payables and request to Nick for approval and payment."/>
    <x v="1"/>
    <x v="4"/>
  </r>
  <r>
    <d v="2024-03-06T00:00:00"/>
    <x v="31"/>
    <s v="Bookkeeping"/>
    <n v="2.9"/>
    <x v="11"/>
    <s v="No"/>
    <s v="Process bills and catch up emails."/>
    <x v="1"/>
    <x v="4"/>
  </r>
  <r>
    <d v="2024-03-06T00:00:00"/>
    <x v="31"/>
    <s v="Learning &amp; Development"/>
    <n v="1.75"/>
    <x v="56"/>
    <s v="No"/>
    <s v="Training with Nick "/>
    <x v="1"/>
    <x v="4"/>
  </r>
  <r>
    <d v="2024-03-06T00:00:00"/>
    <x v="31"/>
    <s v="Meetings"/>
    <n v="2.38"/>
    <x v="56"/>
    <s v="No"/>
    <s v="Lunch out with the Team (Ms Con's farewell)"/>
    <x v="1"/>
    <x v="4"/>
  </r>
  <r>
    <d v="2024-03-06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x v="1"/>
    <x v="4"/>
  </r>
  <r>
    <d v="2024-03-06T00:00:00"/>
    <x v="33"/>
    <s v="Bookkeeping"/>
    <n v="0.25"/>
    <x v="59"/>
    <s v="Yes"/>
    <m/>
    <x v="1"/>
    <x v="4"/>
  </r>
  <r>
    <d v="2024-03-06T00:00:00"/>
    <x v="33"/>
    <s v="Bookkeeping"/>
    <n v="0.5"/>
    <x v="48"/>
    <s v="Yes"/>
    <m/>
    <x v="1"/>
    <x v="4"/>
  </r>
  <r>
    <d v="2024-03-06T00:00:00"/>
    <x v="33"/>
    <s v="Bookkeeping"/>
    <n v="1"/>
    <x v="60"/>
    <s v="Yes"/>
    <s v="processing bills and preparing AP list"/>
    <x v="1"/>
    <x v="4"/>
  </r>
  <r>
    <d v="2024-03-06T00:00:00"/>
    <x v="33"/>
    <s v="Bookkeeping"/>
    <n v="2.25"/>
    <x v="9"/>
    <s v="Yes"/>
    <m/>
    <x v="1"/>
    <x v="4"/>
  </r>
  <r>
    <d v="2024-03-06T00:00:00"/>
    <x v="33"/>
    <s v="Payroll Processing"/>
    <n v="0.5"/>
    <x v="60"/>
    <s v="Yes"/>
    <s v="Set up Reilly"/>
    <x v="1"/>
    <x v="4"/>
  </r>
  <r>
    <d v="2024-03-06T00:00:00"/>
    <x v="33"/>
    <s v="Payroll Processing"/>
    <n v="0.5"/>
    <x v="89"/>
    <s v="Yes"/>
    <m/>
    <x v="1"/>
    <x v="4"/>
  </r>
  <r>
    <d v="2024-03-06T00:00:00"/>
    <x v="33"/>
    <s v="Payroll Processing"/>
    <n v="0.5"/>
    <x v="48"/>
    <s v="Yes"/>
    <m/>
    <x v="1"/>
    <x v="4"/>
  </r>
  <r>
    <d v="2024-03-06T00:00:00"/>
    <x v="34"/>
    <s v="Unpaid Leave"/>
    <n v="6"/>
    <x v="11"/>
    <s v="No"/>
    <s v="moving house"/>
    <x v="1"/>
    <x v="4"/>
  </r>
  <r>
    <d v="2024-03-06T00:00:00"/>
    <x v="35"/>
    <s v="Bookkeeping"/>
    <n v="0.1"/>
    <x v="33"/>
    <s v="Yes"/>
    <m/>
    <x v="1"/>
    <x v="4"/>
  </r>
  <r>
    <d v="2024-03-06T00:00:00"/>
    <x v="35"/>
    <s v="Bookkeeping"/>
    <n v="0.3"/>
    <x v="62"/>
    <s v="Yes"/>
    <s v="email"/>
    <x v="1"/>
    <x v="4"/>
  </r>
  <r>
    <d v="2024-03-06T00:00:00"/>
    <x v="35"/>
    <s v="Bookkeeping"/>
    <n v="0.43"/>
    <x v="62"/>
    <s v="Yes"/>
    <m/>
    <x v="1"/>
    <x v="4"/>
  </r>
  <r>
    <d v="2024-03-06T00:00:00"/>
    <x v="35"/>
    <s v="Bookkeeping"/>
    <n v="0.75"/>
    <x v="33"/>
    <s v="Yes"/>
    <s v="Other debtor &amp; Suspense"/>
    <x v="1"/>
    <x v="4"/>
  </r>
  <r>
    <d v="2024-03-06T00:00:00"/>
    <x v="35"/>
    <s v="Bookkeeping"/>
    <n v="0.95"/>
    <x v="33"/>
    <s v="Yes"/>
    <s v=" SRAC -BR"/>
    <x v="1"/>
    <x v="4"/>
  </r>
  <r>
    <d v="2024-03-06T00:00:00"/>
    <x v="35"/>
    <s v="Bookkeeping"/>
    <n v="1.22"/>
    <x v="33"/>
    <s v="Yes"/>
    <s v="BR"/>
    <x v="1"/>
    <x v="4"/>
  </r>
  <r>
    <d v="2024-03-06T00:00:00"/>
    <x v="35"/>
    <s v="Bookkeeping"/>
    <n v="2.1800000000000002"/>
    <x v="62"/>
    <s v="Yes"/>
    <s v="AP"/>
    <x v="1"/>
    <x v="4"/>
  </r>
  <r>
    <d v="2024-03-06T00:00:00"/>
    <x v="35"/>
    <s v="Meetings"/>
    <n v="1.57"/>
    <x v="11"/>
    <s v="No"/>
    <s v="with Nick"/>
    <x v="1"/>
    <x v="4"/>
  </r>
  <r>
    <d v="2024-03-06T00:00:00"/>
    <x v="35"/>
    <s v="Payroll Processing"/>
    <n v="0.45"/>
    <x v="31"/>
    <s v="Yes"/>
    <s v="Super bounce back query"/>
    <x v="1"/>
    <x v="4"/>
  </r>
  <r>
    <d v="2024-03-06T00:00:00"/>
    <x v="36"/>
    <s v="Bookkeeping"/>
    <n v="1"/>
    <x v="16"/>
    <s v="Yes"/>
    <s v="BELCR recs"/>
    <x v="1"/>
    <x v="4"/>
  </r>
  <r>
    <d v="2024-03-06T00:00:00"/>
    <x v="36"/>
    <s v="General"/>
    <n v="0.27"/>
    <x v="11"/>
    <s v="No"/>
    <s v="dex emails"/>
    <x v="1"/>
    <x v="4"/>
  </r>
  <r>
    <d v="2024-03-06T00:00:00"/>
    <x v="36"/>
    <s v="Payroll Processing"/>
    <n v="0.15"/>
    <x v="1"/>
    <s v="Yes"/>
    <m/>
    <x v="1"/>
    <x v="4"/>
  </r>
  <r>
    <d v="2024-03-06T00:00:00"/>
    <x v="36"/>
    <s v="Payroll Processing"/>
    <n v="7.6"/>
    <x v="35"/>
    <s v="Yes"/>
    <m/>
    <x v="1"/>
    <x v="4"/>
  </r>
  <r>
    <d v="2024-03-06T00:00:00"/>
    <x v="37"/>
    <s v="General"/>
    <n v="2.58"/>
    <x v="11"/>
    <s v="No"/>
    <s v="Payroll specialist technical assessment review  Weekly cashflow review and actual report  "/>
    <x v="1"/>
    <x v="4"/>
  </r>
  <r>
    <d v="2024-03-06T00:00:00"/>
    <x v="37"/>
    <s v="Meetings"/>
    <n v="5.83"/>
    <x v="11"/>
    <s v="No"/>
    <s v="Handover Con- BS recon Payroll BDO upload"/>
    <x v="1"/>
    <x v="4"/>
  </r>
  <r>
    <d v="2024-03-06T00:00:00"/>
    <x v="38"/>
    <s v="Bookkeeping"/>
    <n v="2.68"/>
    <x v="15"/>
    <s v="Yes"/>
    <s v="Payroll Tax - February 2024"/>
    <x v="1"/>
    <x v="4"/>
  </r>
  <r>
    <d v="2024-03-06T00:00:00"/>
    <x v="38"/>
    <s v="Bookkeeping"/>
    <n v="5.48"/>
    <x v="15"/>
    <s v="Yes"/>
    <m/>
    <x v="1"/>
    <x v="4"/>
  </r>
  <r>
    <d v="2024-03-06T00:00:00"/>
    <x v="39"/>
    <s v="Bookkeeping"/>
    <n v="7.0000000000000007E-2"/>
    <x v="30"/>
    <s v="Yes"/>
    <s v="Call with Ge re BAS"/>
    <x v="1"/>
    <x v="4"/>
  </r>
  <r>
    <d v="2024-03-06T00:00:00"/>
    <x v="39"/>
    <s v="Bookkeeping"/>
    <n v="0.52"/>
    <x v="71"/>
    <s v="Yes"/>
    <s v="Cash clearing recon"/>
    <x v="1"/>
    <x v="4"/>
  </r>
  <r>
    <d v="2024-03-06T00:00:00"/>
    <x v="39"/>
    <s v="Bookkeeping"/>
    <n v="1.18"/>
    <x v="71"/>
    <s v="Yes"/>
    <s v="Cash clearing account rec until end of Feb24"/>
    <x v="1"/>
    <x v="4"/>
  </r>
  <r>
    <d v="2024-03-06T00:00:00"/>
    <x v="39"/>
    <s v="Bookkeeping"/>
    <n v="1.27"/>
    <x v="72"/>
    <s v="Yes"/>
    <s v="Entering bank transactions"/>
    <x v="1"/>
    <x v="4"/>
  </r>
  <r>
    <d v="2024-03-06T00:00:00"/>
    <x v="39"/>
    <s v="Bookkeeping"/>
    <n v="1.3"/>
    <x v="72"/>
    <s v="Yes"/>
    <s v="Bank recon"/>
    <x v="1"/>
    <x v="4"/>
  </r>
  <r>
    <d v="2024-03-06T00:00:00"/>
    <x v="39"/>
    <s v="Meetings"/>
    <n v="1.17"/>
    <x v="11"/>
    <s v="No"/>
    <s v="Con's farewell party"/>
    <x v="1"/>
    <x v="4"/>
  </r>
  <r>
    <d v="2024-03-06T00:00:00"/>
    <x v="39"/>
    <s v="Payroll Processing"/>
    <n v="0.13"/>
    <x v="89"/>
    <s v="Yes"/>
    <s v="Load aba file"/>
    <x v="1"/>
    <x v="4"/>
  </r>
  <r>
    <d v="2024-03-06T00:00:00"/>
    <x v="39"/>
    <s v="Payroll Processing"/>
    <n v="0.4"/>
    <x v="34"/>
    <s v="Yes"/>
    <s v="Update pay as per email confirmation from managers"/>
    <x v="1"/>
    <x v="4"/>
  </r>
  <r>
    <d v="2024-03-06T00:00:00"/>
    <x v="39"/>
    <s v="Payroll Processing"/>
    <n v="0.6"/>
    <x v="34"/>
    <s v="Yes"/>
    <s v="Complete Feb24 super Payroll processing, inbox, discussions with Kate"/>
    <x v="1"/>
    <x v="4"/>
  </r>
  <r>
    <d v="2024-03-06T00:00:00"/>
    <x v="39"/>
    <s v="Payroll Processing"/>
    <n v="1.37"/>
    <x v="34"/>
    <s v="Yes"/>
    <s v="Payroll processing, super - Feb24"/>
    <x v="1"/>
    <x v="4"/>
  </r>
  <r>
    <d v="2024-03-06T00:00:00"/>
    <x v="40"/>
    <s v="Tax Admin"/>
    <n v="0.1"/>
    <x v="11"/>
    <s v="No"/>
    <s v="Email Vively 23 ITRs to Michael Pang as requested"/>
    <x v="1"/>
    <x v="4"/>
  </r>
  <r>
    <d v="2024-03-06T00:00:00"/>
    <x v="41"/>
    <s v="Bookkeeping"/>
    <n v="0.22"/>
    <x v="40"/>
    <s v="Yes"/>
    <s v="AP review"/>
    <x v="1"/>
    <x v="4"/>
  </r>
  <r>
    <d v="2024-03-06T00:00:00"/>
    <x v="41"/>
    <s v="Bookkeeping"/>
    <n v="0.43"/>
    <x v="16"/>
    <s v="Yes"/>
    <s v="Download bank statements"/>
    <x v="1"/>
    <x v="4"/>
  </r>
  <r>
    <d v="2024-03-06T00:00:00"/>
    <x v="41"/>
    <s v="Bookkeeping"/>
    <n v="0.78"/>
    <x v="36"/>
    <s v="Yes"/>
    <m/>
    <x v="1"/>
    <x v="4"/>
  </r>
  <r>
    <d v="2024-03-06T00:00:00"/>
    <x v="41"/>
    <s v="Bookkeeping"/>
    <n v="0.83"/>
    <x v="16"/>
    <s v="Yes"/>
    <s v="AP run"/>
    <x v="1"/>
    <x v="4"/>
  </r>
  <r>
    <d v="2024-03-06T00:00:00"/>
    <x v="41"/>
    <s v="Bookkeeping"/>
    <n v="1.5"/>
    <x v="16"/>
    <s v="Yes"/>
    <m/>
    <x v="1"/>
    <x v="4"/>
  </r>
  <r>
    <d v="2024-03-06T00:00:00"/>
    <x v="41"/>
    <s v="Bookkeeping"/>
    <n v="1.67"/>
    <x v="16"/>
    <s v="Yes"/>
    <s v="Accounts rec"/>
    <x v="1"/>
    <x v="4"/>
  </r>
  <r>
    <d v="2024-03-06T00:00:00"/>
    <x v="41"/>
    <s v="General"/>
    <n v="0.5"/>
    <x v="11"/>
    <s v="No"/>
    <s v="Paid break"/>
    <x v="1"/>
    <x v="4"/>
  </r>
  <r>
    <d v="2024-03-06T00:00:00"/>
    <x v="41"/>
    <s v="Meetings"/>
    <n v="0.55000000000000004"/>
    <x v="11"/>
    <s v="No"/>
    <s v="1-on-1 with Alison"/>
    <x v="1"/>
    <x v="4"/>
  </r>
  <r>
    <d v="2024-03-06T00:00:00"/>
    <x v="41"/>
    <s v="Payroll Processing"/>
    <n v="0.1"/>
    <x v="20"/>
    <s v="Yes"/>
    <s v="Process payroll Email reports"/>
    <x v="1"/>
    <x v="4"/>
  </r>
  <r>
    <d v="2024-03-06T00:00:00"/>
    <x v="41"/>
    <s v="Payroll Processing"/>
    <n v="0.17"/>
    <x v="19"/>
    <s v="Yes"/>
    <s v="Process payroll  Email reports"/>
    <x v="1"/>
    <x v="4"/>
  </r>
  <r>
    <d v="2024-03-06T00:00:00"/>
    <x v="41"/>
    <s v="Payroll Processing"/>
    <n v="0.17"/>
    <x v="47"/>
    <s v="Yes"/>
    <s v="Rerun payroll to check Sarah's annual leave balance"/>
    <x v="1"/>
    <x v="4"/>
  </r>
  <r>
    <d v="2024-03-06T00:00:00"/>
    <x v="41"/>
    <s v="Payroll Processing"/>
    <n v="0.25"/>
    <x v="47"/>
    <s v="Yes"/>
    <s v="Process payroll"/>
    <x v="1"/>
    <x v="4"/>
  </r>
  <r>
    <d v="2024-03-06T00:00:00"/>
    <x v="41"/>
    <s v="Payroll Processing"/>
    <n v="1.17"/>
    <x v="63"/>
    <s v="Yes"/>
    <s v="Update file for upcoming salara increase of several employees"/>
    <x v="1"/>
    <x v="4"/>
  </r>
  <r>
    <d v="2024-03-06T00:00:00"/>
    <x v="41"/>
    <s v="Payroll Processing - Senior"/>
    <n v="0.15"/>
    <x v="40"/>
    <s v="Yes"/>
    <s v="Payroll review"/>
    <x v="1"/>
    <x v="4"/>
  </r>
  <r>
    <d v="2024-03-06T00:00:00"/>
    <x v="42"/>
    <s v="Client Manager"/>
    <n v="0.5"/>
    <x v="48"/>
    <s v="Yes"/>
    <s v="Upload payables and payroll and email Zoe for approval."/>
    <x v="1"/>
    <x v="4"/>
  </r>
  <r>
    <d v="2024-03-06T00:00:00"/>
    <x v="42"/>
    <s v="General"/>
    <n v="6.5"/>
    <x v="11"/>
    <s v="No"/>
    <s v="Manila trip, Con's farewell lunch, review proposal for Carly and send feedback etc"/>
    <x v="1"/>
    <x v="4"/>
  </r>
  <r>
    <d v="2024-03-06T00:00:00"/>
    <x v="42"/>
    <s v="IAS/BAS Preparation &amp; Lodgement - Jul-Sep"/>
    <n v="0.5"/>
    <x v="22"/>
    <s v="Yes"/>
    <s v="Review and lodgement of quarterly BAS for Dec 2022, March 2023, June 2023 &amp; Sep 2023"/>
    <x v="1"/>
    <x v="4"/>
  </r>
  <r>
    <d v="2024-03-06T00:00:00"/>
    <x v="42"/>
    <s v="IAS/BAS Preparation &amp; Lodgement - Oct-Dec"/>
    <n v="0.33"/>
    <x v="53"/>
    <s v="Yes"/>
    <s v="Dec 2023 quarter BAS review &amp; lodgement"/>
    <x v="1"/>
    <x v="4"/>
  </r>
  <r>
    <d v="2024-03-06T00:00:00"/>
    <x v="43"/>
    <s v="Adhoc Support &amp; Advice"/>
    <n v="0.33"/>
    <x v="15"/>
    <s v="Yes"/>
    <s v="Cashflow"/>
    <x v="1"/>
    <x v="4"/>
  </r>
  <r>
    <d v="2024-03-06T00:00:00"/>
    <x v="43"/>
    <s v="Adhoc Support &amp; Advice"/>
    <n v="0.33"/>
    <x v="15"/>
    <s v="Yes"/>
    <s v="Client On boarding"/>
    <x v="1"/>
    <x v="4"/>
  </r>
  <r>
    <d v="2024-03-06T00:00:00"/>
    <x v="43"/>
    <s v="Adhoc Support &amp; Advice"/>
    <n v="2.33"/>
    <x v="15"/>
    <s v="No"/>
    <s v="Reviewing reports preparation for month end walkthrough with Con and payroll tax with Rej , Review of Payroll tax with Con"/>
    <x v="1"/>
    <x v="4"/>
  </r>
  <r>
    <d v="2024-03-06T00:00:00"/>
    <x v="43"/>
    <s v="Adhoc Support &amp; Advice"/>
    <n v="2.38"/>
    <x v="15"/>
    <s v="No"/>
    <s v="Review of files"/>
    <x v="1"/>
    <x v="4"/>
  </r>
  <r>
    <d v="2024-03-06T00:00:00"/>
    <x v="43"/>
    <s v="Bookkeeping"/>
    <n v="0.25"/>
    <x v="15"/>
    <s v="Yes"/>
    <s v="Invoice with Issue created receipt to Simpro Client on boarding"/>
    <x v="1"/>
    <x v="4"/>
  </r>
  <r>
    <d v="2024-03-06T00:00:00"/>
    <x v="43"/>
    <s v="General"/>
    <n v="0.42"/>
    <x v="11"/>
    <s v="No"/>
    <s v="Checking files"/>
    <x v="1"/>
    <x v="4"/>
  </r>
  <r>
    <d v="2024-03-06T00:00:00"/>
    <x v="43"/>
    <s v="General"/>
    <n v="2"/>
    <x v="11"/>
    <s v="No"/>
    <s v="Meeting with Nick"/>
    <x v="1"/>
    <x v="4"/>
  </r>
  <r>
    <d v="2024-03-06T00:00:00"/>
    <x v="44"/>
    <s v="Adhoc Support &amp; Advice"/>
    <n v="0.2"/>
    <x v="66"/>
    <s v="Yes"/>
    <s v="Email Sharat, run TB, check ATO"/>
    <x v="1"/>
    <x v="4"/>
  </r>
  <r>
    <d v="2024-03-06T00:00:00"/>
    <x v="44"/>
    <s v="Bookkeeping"/>
    <n v="0.1"/>
    <x v="16"/>
    <s v="Yes"/>
    <s v="Send BANA invoices to wider group"/>
    <x v="1"/>
    <x v="4"/>
  </r>
  <r>
    <d v="2024-03-06T00:00:00"/>
    <x v="44"/>
    <s v="Bookkeeping"/>
    <n v="0.3"/>
    <x v="16"/>
    <s v="Yes"/>
    <s v="AP payments "/>
    <x v="1"/>
    <x v="4"/>
  </r>
  <r>
    <d v="2024-03-06T00:00:00"/>
    <x v="44"/>
    <s v="Bookkeeping"/>
    <n v="0.8"/>
    <x v="16"/>
    <s v="Yes"/>
    <s v="OMS Xero subscription - Xero support"/>
    <x v="1"/>
    <x v="4"/>
  </r>
  <r>
    <d v="2024-03-06T00:00:00"/>
    <x v="44"/>
    <s v="Bookkeeping"/>
    <n v="0.8"/>
    <x v="16"/>
    <s v="Yes"/>
    <s v="Term deposit interest BAM and BELCR"/>
    <x v="1"/>
    <x v="4"/>
  </r>
  <r>
    <d v="2024-03-06T00:00:00"/>
    <x v="44"/>
    <s v="Bookkeeping"/>
    <n v="1.5"/>
    <x v="16"/>
    <s v="Yes"/>
    <s v="BAM BS Rec / Tax rec"/>
    <x v="1"/>
    <x v="4"/>
  </r>
  <r>
    <d v="2024-03-06T00:00:00"/>
    <x v="44"/>
    <s v="Client Admin"/>
    <n v="0.1"/>
    <x v="11"/>
    <s v="No"/>
    <s v="Asana task - billing JPE trust"/>
    <x v="1"/>
    <x v="4"/>
  </r>
  <r>
    <d v="2024-03-06T00:00:00"/>
    <x v="44"/>
    <s v="Client Admin"/>
    <n v="0.1"/>
    <x v="11"/>
    <s v="No"/>
    <s v="Review Logika's invoice"/>
    <x v="1"/>
    <x v="4"/>
  </r>
  <r>
    <d v="2024-03-06T00:00:00"/>
    <x v="44"/>
    <s v="Client Manager"/>
    <n v="0.5"/>
    <x v="16"/>
    <s v="Yes"/>
    <s v="Liaise with team, emails"/>
    <x v="1"/>
    <x v="4"/>
  </r>
  <r>
    <d v="2024-03-06T00:00:00"/>
    <x v="44"/>
    <s v="Financial Statements"/>
    <n v="0.2"/>
    <x v="68"/>
    <s v="Yes"/>
    <s v="Liaise with Josh &amp; Nick re resignation as director"/>
    <x v="1"/>
    <x v="4"/>
  </r>
  <r>
    <d v="2024-03-06T00:00:00"/>
    <x v="44"/>
    <s v="Sick Leave"/>
    <n v="3"/>
    <x v="11"/>
    <s v="No"/>
    <s v="Medical appointment"/>
    <x v="1"/>
    <x v="4"/>
  </r>
  <r>
    <d v="2024-03-06T00:00:00"/>
    <x v="45"/>
    <s v="General"/>
    <n v="4"/>
    <x v="11"/>
    <s v="No"/>
    <e v="#NAME?"/>
    <x v="1"/>
    <x v="4"/>
  </r>
  <r>
    <d v="2024-03-06T00:00:00"/>
    <x v="45"/>
    <s v="HR/Recuitment"/>
    <n v="3.5"/>
    <x v="11"/>
    <s v="No"/>
    <e v="#NAME?"/>
    <x v="1"/>
    <x v="4"/>
  </r>
  <r>
    <d v="2024-03-06T00:00:00"/>
    <x v="45"/>
    <s v="Meetings"/>
    <n v="0.5"/>
    <x v="11"/>
    <s v="No"/>
    <s v="Catch up with Ali"/>
    <x v="1"/>
    <x v="4"/>
  </r>
  <r>
    <d v="2024-03-07T00:00:00"/>
    <x v="0"/>
    <s v="Bookkeeping"/>
    <n v="0.03"/>
    <x v="5"/>
    <s v="Yes"/>
    <s v="Email"/>
    <x v="1"/>
    <x v="5"/>
  </r>
  <r>
    <d v="2024-03-07T00:00:00"/>
    <x v="0"/>
    <s v="Bookkeeping"/>
    <n v="0.1"/>
    <x v="4"/>
    <s v="Yes"/>
    <s v="Upload ABA file in NAB"/>
    <x v="1"/>
    <x v="5"/>
  </r>
  <r>
    <d v="2024-03-07T00:00:00"/>
    <x v="0"/>
    <s v="Bookkeeping"/>
    <n v="0.12"/>
    <x v="0"/>
    <s v="Yes"/>
    <s v="Copy contacts from AgriChain to Xero"/>
    <x v="1"/>
    <x v="5"/>
  </r>
  <r>
    <d v="2024-03-07T00:00:00"/>
    <x v="0"/>
    <s v="Bookkeeping"/>
    <n v="0.37"/>
    <x v="0"/>
    <s v="Yes"/>
    <s v="Manual Journals"/>
    <x v="1"/>
    <x v="5"/>
  </r>
  <r>
    <d v="2024-03-07T00:00:00"/>
    <x v="0"/>
    <s v="Bookkeeping"/>
    <n v="0.9"/>
    <x v="0"/>
    <s v="Yes"/>
    <s v="Mark PO as billed and copy to bills in Xero Publish bills in Hubdoc"/>
    <x v="1"/>
    <x v="5"/>
  </r>
  <r>
    <d v="2024-03-07T00:00:00"/>
    <x v="0"/>
    <s v="Bookkeeping"/>
    <n v="0.95"/>
    <x v="6"/>
    <s v="Yes"/>
    <s v="Accounts Payable"/>
    <x v="1"/>
    <x v="5"/>
  </r>
  <r>
    <d v="2024-03-07T00:00:00"/>
    <x v="0"/>
    <s v="Bookkeeping"/>
    <n v="1.32"/>
    <x v="0"/>
    <s v="Yes"/>
    <s v="Bank Reconciliation"/>
    <x v="1"/>
    <x v="5"/>
  </r>
  <r>
    <d v="2024-03-07T00:00:00"/>
    <x v="0"/>
    <s v="Bookkeeping"/>
    <n v="1.4"/>
    <x v="9"/>
    <s v="Yes"/>
    <s v="Enter bills in Sage"/>
    <x v="1"/>
    <x v="5"/>
  </r>
  <r>
    <d v="2024-03-07T00:00:00"/>
    <x v="0"/>
    <s v="Bookkeeping"/>
    <n v="2.82"/>
    <x v="0"/>
    <s v="Yes"/>
    <s v="Check Brokerage Income, Freight, and Purchases balances in Xero vs AgriChain"/>
    <x v="1"/>
    <x v="5"/>
  </r>
  <r>
    <d v="2024-03-07T00:00:00"/>
    <x v="1"/>
    <s v="P&amp;C Advisory - Group"/>
    <n v="2.83"/>
    <x v="14"/>
    <s v="Yes"/>
    <s v="Develop handling difficult conversations presentation Draft script for performance concerns discussion Performance and salary review spreadsheet"/>
    <x v="1"/>
    <x v="5"/>
  </r>
  <r>
    <d v="2024-03-07T00:00:00"/>
    <x v="1"/>
    <s v="P&amp;C Advisory - Nederman PT"/>
    <n v="0.42"/>
    <x v="14"/>
    <s v="Yes"/>
    <s v="Correspondence re. redundancy calculations and information for personnel files"/>
    <x v="1"/>
    <x v="5"/>
  </r>
  <r>
    <d v="2024-03-07T00:00:00"/>
    <x v="1"/>
    <s v="P&amp;C Advisory - Nordfab"/>
    <n v="1.17"/>
    <x v="14"/>
    <s v="Yes"/>
    <s v="Draft script re. attendance concerns Correspondence re. org chart  Correspondence re. former employment concerns "/>
    <x v="1"/>
    <x v="5"/>
  </r>
  <r>
    <d v="2024-03-07T00:00:00"/>
    <x v="2"/>
    <s v="Bookkeeping"/>
    <n v="0.42"/>
    <x v="58"/>
    <s v="Yes"/>
    <m/>
    <x v="1"/>
    <x v="5"/>
  </r>
  <r>
    <d v="2024-03-07T00:00:00"/>
    <x v="2"/>
    <s v="Bookkeeping"/>
    <n v="1.32"/>
    <x v="67"/>
    <s v="Yes"/>
    <s v="loans rec"/>
    <x v="1"/>
    <x v="5"/>
  </r>
  <r>
    <d v="2024-03-07T00:00:00"/>
    <x v="2"/>
    <s v="General"/>
    <n v="0.18"/>
    <x v="11"/>
    <s v="No"/>
    <s v="chats, Asana"/>
    <x v="1"/>
    <x v="5"/>
  </r>
  <r>
    <d v="2024-03-07T00:00:00"/>
    <x v="2"/>
    <s v="General"/>
    <n v="0.33"/>
    <x v="11"/>
    <s v="No"/>
    <s v="review team's Asana, attend to concerns"/>
    <x v="1"/>
    <x v="5"/>
  </r>
  <r>
    <d v="2024-03-07T00:00:00"/>
    <x v="2"/>
    <s v="General"/>
    <n v="0.62"/>
    <x v="11"/>
    <s v="No"/>
    <s v="complete training surveys, chats, emails, Sprout, Asana"/>
    <x v="1"/>
    <x v="5"/>
  </r>
  <r>
    <d v="2024-03-07T00:00:00"/>
    <x v="2"/>
    <s v="General"/>
    <n v="1.02"/>
    <x v="11"/>
    <s v="No"/>
    <s v="chats re concerns, check email from Ben, find who is handling Regcentric and coordinate Ben's request, check Regcentric files in onedrive"/>
    <x v="1"/>
    <x v="5"/>
  </r>
  <r>
    <d v="2024-03-07T00:00:00"/>
    <x v="2"/>
    <s v="General"/>
    <n v="1.25"/>
    <x v="11"/>
    <s v="No"/>
    <s v="Things to improve productivity, review capacity vs actual hrs, etc"/>
    <x v="1"/>
    <x v="5"/>
  </r>
  <r>
    <d v="2024-03-07T00:00:00"/>
    <x v="2"/>
    <s v="Meetings"/>
    <n v="2.73"/>
    <x v="11"/>
    <s v="No"/>
    <s v="management team meeting"/>
    <x v="1"/>
    <x v="5"/>
  </r>
  <r>
    <d v="2024-03-07T00:00:00"/>
    <x v="2"/>
    <s v="Payroll Processing"/>
    <n v="0.18"/>
    <x v="58"/>
    <s v="Yes"/>
    <m/>
    <x v="1"/>
    <x v="5"/>
  </r>
  <r>
    <d v="2024-03-07T00:00:00"/>
    <x v="3"/>
    <s v="Business Development"/>
    <n v="8"/>
    <x v="11"/>
    <s v="No"/>
    <s v="Management Team meeting : w/ Nick &amp; Alison  Meeting with Nica: QMS flow videos  * Revision 1 : AI data security FAQ data"/>
    <x v="1"/>
    <x v="5"/>
  </r>
  <r>
    <d v="2024-03-07T00:00:00"/>
    <x v="4"/>
    <s v="Business Development"/>
    <n v="8"/>
    <x v="11"/>
    <s v="No"/>
    <m/>
    <x v="1"/>
    <x v="5"/>
  </r>
  <r>
    <d v="2024-03-07T00:00:00"/>
    <x v="5"/>
    <s v="Bookkeeping"/>
    <n v="1.65"/>
    <x v="15"/>
    <s v="Yes"/>
    <s v="Statement checking "/>
    <x v="1"/>
    <x v="5"/>
  </r>
  <r>
    <d v="2024-03-07T00:00:00"/>
    <x v="5"/>
    <s v="Bookkeeping"/>
    <n v="1.88"/>
    <x v="15"/>
    <s v="Yes"/>
    <s v="Email Management "/>
    <x v="1"/>
    <x v="5"/>
  </r>
  <r>
    <d v="2024-03-07T00:00:00"/>
    <x v="5"/>
    <s v="Bookkeeping"/>
    <n v="2.73"/>
    <x v="15"/>
    <s v="Yes"/>
    <s v="Posting of Invoices"/>
    <x v="1"/>
    <x v="5"/>
  </r>
  <r>
    <d v="2024-03-07T00:00:00"/>
    <x v="5"/>
    <s v="Bookkeeping"/>
    <n v="2.83"/>
    <x v="15"/>
    <s v="Yes"/>
    <s v="Checking and Reviewing of February Pending Lists "/>
    <x v="1"/>
    <x v="5"/>
  </r>
  <r>
    <d v="2024-03-07T00:00:00"/>
    <x v="6"/>
    <s v="Automations - Pinnacle"/>
    <n v="8"/>
    <x v="11"/>
    <s v="No"/>
    <s v="XeroDownloadReportsAutomation - changed the scope of the variables for flexibility - updated Excel VBA code to delete the first row of the first sheet of the consolidated report - encountered a file not found error for renaming sheets, added condition logic for it - started to add other options for PL - started to add the 'Uncoded Statement Lines' report"/>
    <x v="1"/>
    <x v="5"/>
  </r>
  <r>
    <d v="2024-03-07T00:00:00"/>
    <x v="7"/>
    <s v="Budget - Monthly"/>
    <n v="0.02"/>
    <x v="68"/>
    <s v="No"/>
    <m/>
    <x v="1"/>
    <x v="5"/>
  </r>
  <r>
    <d v="2024-03-07T00:00:00"/>
    <x v="8"/>
    <s v="Automations"/>
    <n v="4.5"/>
    <x v="11"/>
    <s v="No"/>
    <s v="Run four Alliance automations + AP automation;  Added 7 supplier to Alliance Automation Tax Invoice"/>
    <x v="1"/>
    <x v="5"/>
  </r>
  <r>
    <d v="2024-03-07T00:00:00"/>
    <x v="9"/>
    <s v="Automations - Alliance"/>
    <n v="9.08"/>
    <x v="11"/>
    <s v="No"/>
    <s v="Alliance Report Automation additional functions development."/>
    <x v="1"/>
    <x v="5"/>
  </r>
  <r>
    <d v="2024-03-07T00:00:00"/>
    <x v="10"/>
    <s v="Bookkeeping"/>
    <n v="0.17"/>
    <x v="50"/>
    <s v="Yes"/>
    <s v="Pushing bills from HubDoc, bank recon"/>
    <x v="1"/>
    <x v="5"/>
  </r>
  <r>
    <d v="2024-03-07T00:00:00"/>
    <x v="10"/>
    <s v="Bookkeeping"/>
    <n v="0.5"/>
    <x v="49"/>
    <s v="Yes"/>
    <s v="Pushing bills from HubDoc, bank recon"/>
    <x v="1"/>
    <x v="5"/>
  </r>
  <r>
    <d v="2024-03-07T00:00:00"/>
    <x v="10"/>
    <s v="Bookkeeping"/>
    <n v="0.83"/>
    <x v="19"/>
    <s v="Yes"/>
    <s v="Pushing bills from HubDoc, bank recon"/>
    <x v="1"/>
    <x v="5"/>
  </r>
  <r>
    <d v="2024-03-07T00:00:00"/>
    <x v="10"/>
    <s v="Bookkeeping"/>
    <n v="5.83"/>
    <x v="23"/>
    <s v="Yes"/>
    <s v="Emails, loading bills, bank recon, weekly report"/>
    <x v="1"/>
    <x v="5"/>
  </r>
  <r>
    <d v="2024-03-07T00:00:00"/>
    <x v="10"/>
    <s v="General"/>
    <n v="0.5"/>
    <x v="11"/>
    <s v="No"/>
    <s v="break"/>
    <x v="1"/>
    <x v="5"/>
  </r>
  <r>
    <d v="2024-03-07T00:00:00"/>
    <x v="10"/>
    <s v="Payroll Processing"/>
    <n v="0.17"/>
    <x v="23"/>
    <s v="No"/>
    <s v="weekly payroll"/>
    <x v="1"/>
    <x v="5"/>
  </r>
  <r>
    <d v="2024-03-07T00:00:00"/>
    <x v="46"/>
    <s v="CFO Advisory"/>
    <n v="3.5"/>
    <x v="3"/>
    <s v="Yes"/>
    <s v="Review + recode transactions to align to the Xero P&amp;L structure (clean up the coding), review and amend historical data Send information requests"/>
    <x v="1"/>
    <x v="5"/>
  </r>
  <r>
    <d v="2024-03-07T00:00:00"/>
    <x v="46"/>
    <s v="CFO001 - CFO Services"/>
    <n v="1"/>
    <x v="5"/>
    <s v="Yes"/>
    <s v="Catch up with Lynn + Mary Ann to discuss payroll process + agree on actions"/>
    <x v="1"/>
    <x v="5"/>
  </r>
  <r>
    <d v="2024-03-07T00:00:00"/>
    <x v="47"/>
    <s v="Company Tax Returns"/>
    <n v="0.5"/>
    <x v="70"/>
    <s v="Yes"/>
    <s v="responded to Rebecca's query regarding FBT; checking loan disclosure as per James's instructions; update CTR accordingly "/>
    <x v="1"/>
    <x v="5"/>
  </r>
  <r>
    <d v="2024-03-07T00:00:00"/>
    <x v="11"/>
    <s v="Bookkeeping"/>
    <n v="0.08"/>
    <x v="26"/>
    <s v="Yes"/>
    <s v="email"/>
    <x v="1"/>
    <x v="5"/>
  </r>
  <r>
    <d v="2024-03-07T00:00:00"/>
    <x v="11"/>
    <s v="Bookkeeping"/>
    <n v="0.25"/>
    <x v="25"/>
    <s v="Yes"/>
    <s v="queries"/>
    <x v="1"/>
    <x v="5"/>
  </r>
  <r>
    <d v="2024-03-07T00:00:00"/>
    <x v="11"/>
    <s v="Bookkeeping"/>
    <n v="0.33"/>
    <x v="27"/>
    <s v="Yes"/>
    <s v="emails/queries"/>
    <x v="1"/>
    <x v="5"/>
  </r>
  <r>
    <d v="2024-03-07T00:00:00"/>
    <x v="11"/>
    <s v="Bookkeeping - Emails"/>
    <n v="0.22"/>
    <x v="31"/>
    <s v="Yes"/>
    <m/>
    <x v="1"/>
    <x v="5"/>
  </r>
  <r>
    <d v="2024-03-07T00:00:00"/>
    <x v="11"/>
    <s v="General"/>
    <n v="0.5"/>
    <x v="11"/>
    <s v="No"/>
    <s v="break"/>
    <x v="1"/>
    <x v="5"/>
  </r>
  <r>
    <d v="2024-03-07T00:00:00"/>
    <x v="11"/>
    <s v="General"/>
    <n v="0.7"/>
    <x v="11"/>
    <s v="No"/>
    <s v="emails/teams/queries/sruveys"/>
    <x v="1"/>
    <x v="5"/>
  </r>
  <r>
    <d v="2024-03-07T00:00:00"/>
    <x v="11"/>
    <s v="HR/Recuitment"/>
    <n v="0.35"/>
    <x v="11"/>
    <s v="No"/>
    <s v="tech assessment - Anna"/>
    <x v="1"/>
    <x v="5"/>
  </r>
  <r>
    <d v="2024-03-07T00:00:00"/>
    <x v="11"/>
    <s v="Payroll Processing"/>
    <n v="1.02"/>
    <x v="15"/>
    <s v="Yes"/>
    <s v="review"/>
    <x v="1"/>
    <x v="5"/>
  </r>
  <r>
    <d v="2024-03-07T00:00:00"/>
    <x v="11"/>
    <s v="Payroll Processing"/>
    <n v="3.57"/>
    <x v="15"/>
    <s v="Yes"/>
    <m/>
    <x v="1"/>
    <x v="5"/>
  </r>
  <r>
    <d v="2024-03-07T00:00:00"/>
    <x v="11"/>
    <s v="Trust Tax Returns"/>
    <n v="0.98"/>
    <x v="45"/>
    <s v="Yes"/>
    <s v="EOFY checklist"/>
    <x v="1"/>
    <x v="5"/>
  </r>
  <r>
    <d v="2024-03-07T00:00:00"/>
    <x v="12"/>
    <s v="General"/>
    <n v="9.43"/>
    <x v="11"/>
    <s v="No"/>
    <e v="#NAME?"/>
    <x v="1"/>
    <x v="5"/>
  </r>
  <r>
    <d v="2024-03-07T00:00:00"/>
    <x v="13"/>
    <s v="Bookkeeping"/>
    <n v="0.55000000000000004"/>
    <x v="29"/>
    <s v="No"/>
    <s v="checking of processed invoices"/>
    <x v="1"/>
    <x v="5"/>
  </r>
  <r>
    <d v="2024-03-07T00:00:00"/>
    <x v="13"/>
    <s v="Bookkeeping"/>
    <n v="0.55000000000000004"/>
    <x v="30"/>
    <s v="No"/>
    <s v="checking previous manual journal for stock take report"/>
    <x v="1"/>
    <x v="5"/>
  </r>
  <r>
    <d v="2024-03-07T00:00:00"/>
    <x v="13"/>
    <s v="Bookkeeping"/>
    <n v="0.67"/>
    <x v="30"/>
    <s v="Yes"/>
    <s v="leave liability report"/>
    <x v="1"/>
    <x v="5"/>
  </r>
  <r>
    <d v="2024-03-07T00:00:00"/>
    <x v="13"/>
    <s v="Bookkeeping"/>
    <n v="0.72"/>
    <x v="30"/>
    <s v="Yes"/>
    <s v="bank recon emails"/>
    <x v="1"/>
    <x v="5"/>
  </r>
  <r>
    <d v="2024-03-07T00:00:00"/>
    <x v="13"/>
    <s v="Bookkeeping"/>
    <n v="0.93"/>
    <x v="71"/>
    <s v="Yes"/>
    <s v="emails checking of invoices review training"/>
    <x v="1"/>
    <x v="5"/>
  </r>
  <r>
    <d v="2024-03-07T00:00:00"/>
    <x v="13"/>
    <s v="Bookkeeping"/>
    <n v="1.55"/>
    <x v="28"/>
    <s v="Yes"/>
    <s v="training with Ms.Rose"/>
    <x v="1"/>
    <x v="5"/>
  </r>
  <r>
    <d v="2024-03-07T00:00:00"/>
    <x v="13"/>
    <s v="Bookkeeping - AP"/>
    <n v="0.75"/>
    <x v="31"/>
    <s v="Yes"/>
    <s v="approve ap invoice for batch payment"/>
    <x v="1"/>
    <x v="5"/>
  </r>
  <r>
    <d v="2024-03-07T00:00:00"/>
    <x v="13"/>
    <s v="Bookkeeping - AP"/>
    <n v="1.25"/>
    <x v="31"/>
    <s v="Yes"/>
    <s v="process ap invoices from inbox"/>
    <x v="1"/>
    <x v="5"/>
  </r>
  <r>
    <d v="2024-03-07T00:00:00"/>
    <x v="13"/>
    <s v="General"/>
    <n v="0.25"/>
    <x v="11"/>
    <s v="No"/>
    <s v="email regarding training internal emails "/>
    <x v="1"/>
    <x v="5"/>
  </r>
  <r>
    <d v="2024-03-07T00:00:00"/>
    <x v="13"/>
    <s v="General"/>
    <n v="0.28000000000000003"/>
    <x v="11"/>
    <s v="No"/>
    <s v="asana and checking of emails "/>
    <x v="1"/>
    <x v="5"/>
  </r>
  <r>
    <d v="2024-03-07T00:00:00"/>
    <x v="13"/>
    <s v="General"/>
    <n v="0.5"/>
    <x v="11"/>
    <s v="No"/>
    <s v="break"/>
    <x v="1"/>
    <x v="5"/>
  </r>
  <r>
    <d v="2024-03-07T00:00:00"/>
    <x v="14"/>
    <s v="Bookkeeping"/>
    <n v="0.25"/>
    <x v="32"/>
    <s v="Yes"/>
    <s v="Manual journals"/>
    <x v="1"/>
    <x v="5"/>
  </r>
  <r>
    <d v="2024-03-07T00:00:00"/>
    <x v="14"/>
    <s v="Bookkeeping"/>
    <n v="1.1299999999999999"/>
    <x v="25"/>
    <s v="Yes"/>
    <s v="Saving BAS/IAS reports of all entities to each folders"/>
    <x v="1"/>
    <x v="5"/>
  </r>
  <r>
    <d v="2024-03-07T00:00:00"/>
    <x v="14"/>
    <s v="Bookkeeping"/>
    <n v="1.48"/>
    <x v="25"/>
    <s v="Yes"/>
    <s v="Bank recs, recording of invoices, checking of intercompany accounts"/>
    <x v="1"/>
    <x v="5"/>
  </r>
  <r>
    <d v="2024-03-07T00:00:00"/>
    <x v="14"/>
    <s v="Bookkeeping"/>
    <n v="1.75"/>
    <x v="25"/>
    <s v="Yes"/>
    <s v="Recording of invoices"/>
    <x v="1"/>
    <x v="5"/>
  </r>
  <r>
    <d v="2024-03-07T00:00:00"/>
    <x v="14"/>
    <s v="Management Reporting"/>
    <n v="1.53"/>
    <x v="32"/>
    <s v="Yes"/>
    <s v="Month-end reports"/>
    <x v="1"/>
    <x v="5"/>
  </r>
  <r>
    <d v="2024-03-07T00:00:00"/>
    <x v="14"/>
    <s v="Payroll Processing"/>
    <n v="0.63"/>
    <x v="34"/>
    <s v="Yes"/>
    <s v="Checking exported payroll reports &amp; saving reports"/>
    <x v="1"/>
    <x v="5"/>
  </r>
  <r>
    <d v="2024-03-07T00:00:00"/>
    <x v="14"/>
    <s v="Payroll Processing"/>
    <n v="1.6"/>
    <x v="34"/>
    <s v="Yes"/>
    <s v="Submission of pay runs to ATO, replying to queries from the client, checking inbox"/>
    <x v="1"/>
    <x v="5"/>
  </r>
  <r>
    <d v="2024-03-07T00:00:00"/>
    <x v="15"/>
    <s v="Bookkeeping"/>
    <n v="2.2999999999999998"/>
    <x v="50"/>
    <s v="Yes"/>
    <m/>
    <x v="1"/>
    <x v="5"/>
  </r>
  <r>
    <d v="2024-03-07T00:00:00"/>
    <x v="15"/>
    <s v="General"/>
    <n v="1.52"/>
    <x v="11"/>
    <s v="No"/>
    <s v="emails, asana, XPM, sprout, chat with Kate Pinacle, chat about Loc contract"/>
    <x v="1"/>
    <x v="5"/>
  </r>
  <r>
    <d v="2024-03-07T00:00:00"/>
    <x v="15"/>
    <s v="General"/>
    <n v="2.23"/>
    <x v="11"/>
    <s v="No"/>
    <m/>
    <x v="1"/>
    <x v="5"/>
  </r>
  <r>
    <d v="2024-03-07T00:00:00"/>
    <x v="15"/>
    <s v="Meetings"/>
    <n v="2.2200000000000002"/>
    <x v="11"/>
    <s v="No"/>
    <m/>
    <x v="1"/>
    <x v="5"/>
  </r>
  <r>
    <d v="2024-03-07T00:00:00"/>
    <x v="16"/>
    <s v="Bookkeeping"/>
    <n v="7.8"/>
    <x v="35"/>
    <s v="Yes"/>
    <m/>
    <x v="1"/>
    <x v="5"/>
  </r>
  <r>
    <d v="2024-03-07T00:00:00"/>
    <x v="16"/>
    <s v="Payroll Processing"/>
    <n v="0.28000000000000003"/>
    <x v="1"/>
    <s v="Yes"/>
    <s v="Super"/>
    <x v="1"/>
    <x v="5"/>
  </r>
  <r>
    <d v="2024-03-07T00:00:00"/>
    <x v="17"/>
    <s v="Meetings"/>
    <n v="0.37"/>
    <x v="11"/>
    <s v="No"/>
    <s v="Exit interview"/>
    <x v="1"/>
    <x v="5"/>
  </r>
  <r>
    <d v="2024-03-07T00:00:00"/>
    <x v="17"/>
    <s v="P&amp;C Advisory"/>
    <n v="7.25"/>
    <x v="34"/>
    <s v="Yes"/>
    <s v="Phone screens x 2 estimator CV shortlisting - Finance, Estimating Further updates to salary review project, with incoming late performance data Set up of new Tasks for Louie in accordance with future milestones in the HR calendar  Draft of MD Exec Template complete post-lawyers feedback Investigation mtg Onboarding mtg "/>
    <x v="1"/>
    <x v="5"/>
  </r>
  <r>
    <d v="2024-03-07T00:00:00"/>
    <x v="18"/>
    <s v="Bookkeeping"/>
    <n v="0.1"/>
    <x v="37"/>
    <s v="Yes"/>
    <m/>
    <x v="1"/>
    <x v="5"/>
  </r>
  <r>
    <d v="2024-03-07T00:00:00"/>
    <x v="18"/>
    <s v="Bookkeeping"/>
    <n v="1.32"/>
    <x v="37"/>
    <s v="Yes"/>
    <s v="ap items, bank recon, BS recon"/>
    <x v="1"/>
    <x v="5"/>
  </r>
  <r>
    <d v="2024-03-07T00:00:00"/>
    <x v="18"/>
    <s v="Bookkeeping"/>
    <n v="1.32"/>
    <x v="40"/>
    <s v="Yes"/>
    <s v="ap bills, hubdoc, EH items sync payroll apply payments, sort emails in inboxes email queries"/>
    <x v="1"/>
    <x v="5"/>
  </r>
  <r>
    <d v="2024-03-07T00:00:00"/>
    <x v="18"/>
    <s v="Bookkeeping"/>
    <n v="2.17"/>
    <x v="35"/>
    <s v="Yes"/>
    <s v="ap bills review"/>
    <x v="1"/>
    <x v="5"/>
  </r>
  <r>
    <d v="2024-03-07T00:00:00"/>
    <x v="18"/>
    <s v="Bookkeeping"/>
    <n v="3.1"/>
    <x v="27"/>
    <s v="Yes"/>
    <m/>
    <x v="1"/>
    <x v="5"/>
  </r>
  <r>
    <d v="2024-03-07T00:00:00"/>
    <x v="19"/>
    <s v="Automations - Surefire"/>
    <n v="8"/>
    <x v="11"/>
    <s v="No"/>
    <s v="SureFire Services Automation."/>
    <x v="1"/>
    <x v="5"/>
  </r>
  <r>
    <d v="2024-03-07T00:00:00"/>
    <x v="20"/>
    <s v="Automations"/>
    <n v="6"/>
    <x v="11"/>
    <s v="No"/>
    <m/>
    <x v="1"/>
    <x v="5"/>
  </r>
  <r>
    <d v="2024-03-07T00:00:00"/>
    <x v="20"/>
    <s v="Automations - Skylife"/>
    <n v="2"/>
    <x v="11"/>
    <s v="No"/>
    <m/>
    <x v="1"/>
    <x v="5"/>
  </r>
  <r>
    <d v="2024-03-07T00:00:00"/>
    <x v="21"/>
    <s v="Automations"/>
    <n v="8"/>
    <x v="11"/>
    <s v="No"/>
    <s v="Run: Lack of Color Run: Trial Balance - June 2023 to January 2024 FirstRun/Testing: Primebuild Payroll Processing Dev: Oporto Automation"/>
    <x v="1"/>
    <x v="5"/>
  </r>
  <r>
    <d v="2024-03-07T00:00:00"/>
    <x v="22"/>
    <s v="Bookkeeping"/>
    <n v="0.13"/>
    <x v="44"/>
    <s v="Yes"/>
    <s v="EMail - re Kate Payments"/>
    <x v="1"/>
    <x v="5"/>
  </r>
  <r>
    <d v="2024-03-07T00:00:00"/>
    <x v="22"/>
    <s v="Bookkeeping"/>
    <n v="1.03"/>
    <x v="90"/>
    <s v="Yes"/>
    <s v="Intercompany rec"/>
    <x v="1"/>
    <x v="5"/>
  </r>
  <r>
    <d v="2024-03-07T00:00:00"/>
    <x v="22"/>
    <s v="Client Meeting"/>
    <n v="0.12"/>
    <x v="90"/>
    <s v="Yes"/>
    <s v="Catch up with Tyson"/>
    <x v="1"/>
    <x v="5"/>
  </r>
  <r>
    <d v="2024-03-07T00:00:00"/>
    <x v="22"/>
    <s v="General"/>
    <n v="0.12"/>
    <x v="11"/>
    <s v="No"/>
    <s v="Jordan re report consolidation automation"/>
    <x v="1"/>
    <x v="5"/>
  </r>
  <r>
    <d v="2024-03-07T00:00:00"/>
    <x v="22"/>
    <s v="General"/>
    <n v="0.17"/>
    <x v="11"/>
    <s v="No"/>
    <s v="Emails"/>
    <x v="1"/>
    <x v="5"/>
  </r>
  <r>
    <d v="2024-03-07T00:00:00"/>
    <x v="22"/>
    <s v="General"/>
    <n v="0.5"/>
    <x v="11"/>
    <s v="No"/>
    <s v="emails and review Asana tasks.  Teams chat Check report generated - consolidated PL for multiple entiteis - email to Jordan / Dan"/>
    <x v="1"/>
    <x v="5"/>
  </r>
  <r>
    <d v="2024-03-07T00:00:00"/>
    <x v="22"/>
    <s v="General"/>
    <n v="0.6"/>
    <x v="11"/>
    <s v="No"/>
    <s v="teams. email - LoC notice and messages with Nica, Liaise with Jordan re PI an dsubmit PB initiative for oncost journal automation"/>
    <x v="1"/>
    <x v="5"/>
  </r>
  <r>
    <d v="2024-03-07T00:00:00"/>
    <x v="22"/>
    <s v="General"/>
    <n v="0.62"/>
    <x v="11"/>
    <s v="No"/>
    <s v="Liaise with Irish re Mayday"/>
    <x v="1"/>
    <x v="5"/>
  </r>
  <r>
    <d v="2024-03-07T00:00:00"/>
    <x v="22"/>
    <s v="Payroll Processing"/>
    <n v="0.25"/>
    <x v="43"/>
    <s v="Yes"/>
    <s v="Review Katherine car space deductions and email her"/>
    <x v="1"/>
    <x v="5"/>
  </r>
  <r>
    <d v="2024-03-07T00:00:00"/>
    <x v="22"/>
    <s v="Payroll Processing"/>
    <n v="0.82"/>
    <x v="34"/>
    <s v="Yes"/>
    <s v="REview Steven Pember query, Caleb stubbs, ofther emails"/>
    <x v="1"/>
    <x v="5"/>
  </r>
  <r>
    <d v="2024-03-07T00:00:00"/>
    <x v="22"/>
    <s v="Payroll Processing"/>
    <n v="0.95"/>
    <x v="34"/>
    <s v="Yes"/>
    <s v="Emails for payroll and call to ATO re Sean Lawther - follow up email"/>
    <x v="1"/>
    <x v="5"/>
  </r>
  <r>
    <d v="2024-03-07T00:00:00"/>
    <x v="22"/>
    <s v="Payroll Processing"/>
    <n v="1.48"/>
    <x v="34"/>
    <s v="Yes"/>
    <s v="Oncost journals"/>
    <x v="1"/>
    <x v="5"/>
  </r>
  <r>
    <d v="2024-03-07T00:00:00"/>
    <x v="22"/>
    <s v="Payroll Processing"/>
    <n v="1.65"/>
    <x v="34"/>
    <s v="Yes"/>
    <s v="Payroll oncost journals"/>
    <x v="1"/>
    <x v="5"/>
  </r>
  <r>
    <d v="2024-03-07T00:00:00"/>
    <x v="23"/>
    <s v="Client Meeting"/>
    <n v="0.05"/>
    <x v="41"/>
    <s v="No"/>
    <s v="email "/>
    <x v="1"/>
    <x v="5"/>
  </r>
  <r>
    <d v="2024-03-07T00:00:00"/>
    <x v="23"/>
    <s v="Client Meeting"/>
    <n v="0.05"/>
    <x v="33"/>
    <s v="No"/>
    <s v="email"/>
    <x v="1"/>
    <x v="5"/>
  </r>
  <r>
    <d v="2024-03-07T00:00:00"/>
    <x v="23"/>
    <s v="Client Meeting"/>
    <n v="0.05"/>
    <x v="38"/>
    <s v="No"/>
    <s v="email"/>
    <x v="1"/>
    <x v="5"/>
  </r>
  <r>
    <d v="2024-03-07T00:00:00"/>
    <x v="23"/>
    <s v="Client Meeting"/>
    <n v="0.08"/>
    <x v="91"/>
    <s v="No"/>
    <s v="Email"/>
    <x v="1"/>
    <x v="5"/>
  </r>
  <r>
    <d v="2024-03-07T00:00:00"/>
    <x v="23"/>
    <s v="Client Meeting"/>
    <n v="0.08"/>
    <x v="89"/>
    <s v="No"/>
    <s v="email"/>
    <x v="1"/>
    <x v="5"/>
  </r>
  <r>
    <d v="2024-03-07T00:00:00"/>
    <x v="23"/>
    <s v="Client Meeting"/>
    <n v="0.08"/>
    <x v="92"/>
    <s v="No"/>
    <s v="email"/>
    <x v="1"/>
    <x v="5"/>
  </r>
  <r>
    <d v="2024-03-07T00:00:00"/>
    <x v="23"/>
    <s v="Client Meeting"/>
    <n v="0.08"/>
    <x v="93"/>
    <s v="No"/>
    <s v="Responding to Netti's Email"/>
    <x v="1"/>
    <x v="5"/>
  </r>
  <r>
    <d v="2024-03-07T00:00:00"/>
    <x v="23"/>
    <s v="Client Meeting"/>
    <n v="0.12"/>
    <x v="23"/>
    <s v="No"/>
    <s v="Attending to Rose's queries"/>
    <x v="1"/>
    <x v="5"/>
  </r>
  <r>
    <d v="2024-03-07T00:00:00"/>
    <x v="23"/>
    <s v="Client Meeting"/>
    <n v="0.12"/>
    <x v="23"/>
    <s v="No"/>
    <s v="Queries: Payment extension due date "/>
    <x v="1"/>
    <x v="5"/>
  </r>
  <r>
    <d v="2024-03-07T00:00:00"/>
    <x v="23"/>
    <s v="Client Meeting"/>
    <n v="0.12"/>
    <x v="5"/>
    <s v="No"/>
    <s v="Responding to Ann's email query"/>
    <x v="1"/>
    <x v="5"/>
  </r>
  <r>
    <d v="2024-03-07T00:00:00"/>
    <x v="23"/>
    <s v="Client Meeting"/>
    <n v="0.13"/>
    <x v="4"/>
    <s v="No"/>
    <s v="email"/>
    <x v="1"/>
    <x v="5"/>
  </r>
  <r>
    <d v="2024-03-07T00:00:00"/>
    <x v="23"/>
    <s v="Client Meeting"/>
    <n v="0.17"/>
    <x v="22"/>
    <s v="No"/>
    <s v="Attending to queries"/>
    <x v="1"/>
    <x v="5"/>
  </r>
  <r>
    <d v="2024-03-07T00:00:00"/>
    <x v="23"/>
    <s v="General"/>
    <n v="0.05"/>
    <x v="11"/>
    <s v="No"/>
    <s v="Email. Together Stronger Unstoppable"/>
    <x v="1"/>
    <x v="5"/>
  </r>
  <r>
    <d v="2024-03-07T00:00:00"/>
    <x v="23"/>
    <s v="General"/>
    <n v="0.05"/>
    <x v="11"/>
    <s v="No"/>
    <s v="Leave accrual"/>
    <x v="1"/>
    <x v="5"/>
  </r>
  <r>
    <d v="2024-03-07T00:00:00"/>
    <x v="23"/>
    <s v="General"/>
    <n v="0.08"/>
    <x v="11"/>
    <s v="No"/>
    <s v="Seaforth FC - FY23 ( No XPM details yet )"/>
    <x v="1"/>
    <x v="5"/>
  </r>
  <r>
    <d v="2024-03-07T00:00:00"/>
    <x v="23"/>
    <s v="General"/>
    <n v="0.17"/>
    <x v="11"/>
    <s v="No"/>
    <s v="Time sheet review"/>
    <x v="1"/>
    <x v="5"/>
  </r>
  <r>
    <d v="2024-03-07T00:00:00"/>
    <x v="23"/>
    <s v="General"/>
    <n v="0.25"/>
    <x v="11"/>
    <s v="No"/>
    <s v="AFTERNOON Break: 15 mins coffee breaks as paid per Labor Code of the Philippines, Article 85"/>
    <x v="1"/>
    <x v="5"/>
  </r>
  <r>
    <d v="2024-03-07T00:00:00"/>
    <x v="23"/>
    <s v="General"/>
    <n v="0.25"/>
    <x v="11"/>
    <s v="No"/>
    <s v="MORNING Break: 15 mins coffee breaks as paid per Labor Code of the Philippines, Article 85. "/>
    <x v="1"/>
    <x v="5"/>
  </r>
  <r>
    <d v="2024-03-07T00:00:00"/>
    <x v="23"/>
    <s v="General"/>
    <n v="0.52"/>
    <x v="11"/>
    <s v="No"/>
    <s v="Responding to Nick's queries. Try 3 ways to improve productivity. "/>
    <x v="1"/>
    <x v="5"/>
  </r>
  <r>
    <d v="2024-03-07T00:00:00"/>
    <x v="23"/>
    <s v="General"/>
    <n v="0.98"/>
    <x v="11"/>
    <s v="No"/>
    <m/>
    <x v="1"/>
    <x v="5"/>
  </r>
  <r>
    <d v="2024-03-07T00:00:00"/>
    <x v="23"/>
    <s v="General"/>
    <n v="1.08"/>
    <x v="11"/>
    <s v="No"/>
    <s v="&gt;Team Ann's outing &gt;Other adhoc &gt;checking of other files &gt;slow internet"/>
    <x v="1"/>
    <x v="5"/>
  </r>
  <r>
    <d v="2024-03-07T00:00:00"/>
    <x v="23"/>
    <s v="IAS/BAS Preparation &amp; Lodgement - Feb"/>
    <n v="0.05"/>
    <x v="87"/>
    <s v="Yes"/>
    <m/>
    <x v="1"/>
    <x v="5"/>
  </r>
  <r>
    <d v="2024-03-07T00:00:00"/>
    <x v="23"/>
    <s v="IAS/BAS Preparation &amp; Lodgement - Feb"/>
    <n v="0.05"/>
    <x v="32"/>
    <s v="Yes"/>
    <m/>
    <x v="1"/>
    <x v="5"/>
  </r>
  <r>
    <d v="2024-03-07T00:00:00"/>
    <x v="23"/>
    <s v="IAS/BAS Preparation &amp; Lodgement - Feb"/>
    <n v="7.0000000000000007E-2"/>
    <x v="87"/>
    <s v="Yes"/>
    <s v="IAS"/>
    <x v="1"/>
    <x v="5"/>
  </r>
  <r>
    <d v="2024-03-07T00:00:00"/>
    <x v="23"/>
    <s v="IAS/BAS Preparation &amp; Lodgement - Feb"/>
    <n v="0.12"/>
    <x v="32"/>
    <s v="Yes"/>
    <s v="IAS"/>
    <x v="1"/>
    <x v="5"/>
  </r>
  <r>
    <d v="2024-03-07T00:00:00"/>
    <x v="23"/>
    <s v="IAS/BAS Preparation &amp; Lodgement - Feb"/>
    <n v="0.12"/>
    <x v="33"/>
    <s v="Yes"/>
    <m/>
    <x v="1"/>
    <x v="5"/>
  </r>
  <r>
    <d v="2024-03-07T00:00:00"/>
    <x v="23"/>
    <s v="IAS/BAS Preparation &amp; Lodgement - Feb"/>
    <n v="0.13"/>
    <x v="25"/>
    <s v="Yes"/>
    <m/>
    <x v="1"/>
    <x v="5"/>
  </r>
  <r>
    <d v="2024-03-07T00:00:00"/>
    <x v="23"/>
    <s v="IAS/BAS Preparation &amp; Lodgement - Oct-Dec"/>
    <n v="0.18"/>
    <x v="22"/>
    <s v="No"/>
    <s v="NonBillable reupdating file and fixing drive"/>
    <x v="1"/>
    <x v="5"/>
  </r>
  <r>
    <d v="2024-03-07T00:00:00"/>
    <x v="23"/>
    <s v="IAS/BAS Preparation &amp; Lodgement - Oct-Dec"/>
    <n v="0.18"/>
    <x v="53"/>
    <s v="Yes"/>
    <s v="Reupdating the file"/>
    <x v="1"/>
    <x v="5"/>
  </r>
  <r>
    <d v="2024-03-07T00:00:00"/>
    <x v="23"/>
    <s v="IT"/>
    <n v="0.35"/>
    <x v="11"/>
    <s v="No"/>
    <s v="Fixing spreadsheet and looking for file"/>
    <x v="1"/>
    <x v="5"/>
  </r>
  <r>
    <d v="2024-03-07T00:00:00"/>
    <x v="23"/>
    <s v="Tax Admin"/>
    <n v="0.97"/>
    <x v="11"/>
    <s v="No"/>
    <s v="Asana updates, slow connection and error fix"/>
    <x v="1"/>
    <x v="5"/>
  </r>
  <r>
    <d v="2024-03-07T00:00:00"/>
    <x v="23"/>
    <s v="Tax Admin"/>
    <n v="1.1299999999999999"/>
    <x v="11"/>
    <s v="No"/>
    <s v="&gt;Asana updates, XPM, and email &gt;Sprout &gt;Meeting with Princess &gt;Teams Chat"/>
    <x v="1"/>
    <x v="5"/>
  </r>
  <r>
    <d v="2024-03-07T00:00:00"/>
    <x v="23"/>
    <s v="Unpaid Leave"/>
    <n v="0.08"/>
    <x v="11"/>
    <s v="No"/>
    <s v="Worklate deductible to my salary"/>
    <x v="1"/>
    <x v="5"/>
  </r>
  <r>
    <d v="2024-03-07T00:00:00"/>
    <x v="24"/>
    <s v="Bookkeeping"/>
    <n v="2.42"/>
    <x v="46"/>
    <s v="Yes"/>
    <m/>
    <x v="1"/>
    <x v="5"/>
  </r>
  <r>
    <d v="2024-03-07T00:00:00"/>
    <x v="24"/>
    <s v="Bookkeeping"/>
    <n v="5.05"/>
    <x v="15"/>
    <s v="Yes"/>
    <m/>
    <x v="1"/>
    <x v="5"/>
  </r>
  <r>
    <d v="2024-03-07T00:00:00"/>
    <x v="24"/>
    <s v="General"/>
    <n v="7.0000000000000007E-2"/>
    <x v="11"/>
    <s v="No"/>
    <s v="Training evaluation"/>
    <x v="1"/>
    <x v="5"/>
  </r>
  <r>
    <d v="2024-03-07T00:00:00"/>
    <x v="24"/>
    <s v="General"/>
    <n v="0.52"/>
    <x v="11"/>
    <s v="No"/>
    <s v="Emails, Asana, scedules, checklists"/>
    <x v="1"/>
    <x v="5"/>
  </r>
  <r>
    <d v="2024-03-07T00:00:00"/>
    <x v="25"/>
    <s v="Bookkeeping"/>
    <n v="0.5"/>
    <x v="16"/>
    <s v="Yes"/>
    <s v="Phone with Sylvie to discuss Interco Rec"/>
    <x v="1"/>
    <x v="5"/>
  </r>
  <r>
    <d v="2024-03-07T00:00:00"/>
    <x v="25"/>
    <s v="Bookkeeping"/>
    <n v="1.75"/>
    <x v="16"/>
    <s v="Yes"/>
    <s v="FX rate changes for Intercompany transactions in BAM &amp; BELCR"/>
    <x v="1"/>
    <x v="5"/>
  </r>
  <r>
    <d v="2024-03-07T00:00:00"/>
    <x v="26"/>
    <s v="Debt Collection"/>
    <n v="1.5"/>
    <x v="11"/>
    <s v="No"/>
    <s v="review debtor's list"/>
    <x v="1"/>
    <x v="5"/>
  </r>
  <r>
    <d v="2024-03-07T00:00:00"/>
    <x v="26"/>
    <s v="Debt Collection"/>
    <n v="2"/>
    <x v="11"/>
    <s v="No"/>
    <m/>
    <x v="1"/>
    <x v="5"/>
  </r>
  <r>
    <d v="2024-03-07T00:00:00"/>
    <x v="26"/>
    <s v="Debt Collection"/>
    <n v="4"/>
    <x v="15"/>
    <s v="Yes"/>
    <m/>
    <x v="1"/>
    <x v="5"/>
  </r>
  <r>
    <d v="2024-03-07T00:00:00"/>
    <x v="26"/>
    <s v="General"/>
    <n v="0.5"/>
    <x v="11"/>
    <s v="No"/>
    <s v="break"/>
    <x v="1"/>
    <x v="5"/>
  </r>
  <r>
    <d v="2024-03-07T00:00:00"/>
    <x v="27"/>
    <s v="Annual Leave"/>
    <n v="8"/>
    <x v="11"/>
    <s v="No"/>
    <m/>
    <x v="1"/>
    <x v="5"/>
  </r>
  <r>
    <d v="2024-03-07T00:00:00"/>
    <x v="28"/>
    <s v="Bookkeeping"/>
    <n v="1.38"/>
    <x v="57"/>
    <s v="Yes"/>
    <s v="BS Recs for LOC Inc account Check and approve sales to a2x"/>
    <x v="1"/>
    <x v="5"/>
  </r>
  <r>
    <d v="2024-03-07T00:00:00"/>
    <x v="28"/>
    <s v="Bookkeeping"/>
    <n v="6.15"/>
    <x v="57"/>
    <s v="Yes"/>
    <s v="Email Management Bills raise to xero Bank Reconciliation BM and LOC Inc Sent queries to Lauren for approval.  Clearing Account International - Paypal Afterpay Shopify Klarna Shopify Installment "/>
    <x v="1"/>
    <x v="5"/>
  </r>
  <r>
    <d v="2024-03-07T00:00:00"/>
    <x v="28"/>
    <s v="General"/>
    <n v="0.5"/>
    <x v="11"/>
    <s v="No"/>
    <s v="Break"/>
    <x v="1"/>
    <x v="5"/>
  </r>
  <r>
    <d v="2024-03-07T00:00:00"/>
    <x v="29"/>
    <s v="IT"/>
    <n v="9"/>
    <x v="11"/>
    <s v="No"/>
    <s v="Support"/>
    <x v="1"/>
    <x v="5"/>
  </r>
  <r>
    <d v="2024-03-07T00:00:00"/>
    <x v="30"/>
    <s v="Bookkeeping"/>
    <n v="0.48"/>
    <x v="76"/>
    <s v="Yes"/>
    <s v="Email Management Bills Processing Bank Recon"/>
    <x v="1"/>
    <x v="5"/>
  </r>
  <r>
    <d v="2024-03-07T00:00:00"/>
    <x v="30"/>
    <s v="Bookkeeping"/>
    <n v="0.63"/>
    <x v="26"/>
    <s v="Yes"/>
    <s v="Bank Recon "/>
    <x v="1"/>
    <x v="5"/>
  </r>
  <r>
    <d v="2024-03-07T00:00:00"/>
    <x v="30"/>
    <s v="Bookkeeping"/>
    <n v="5.52"/>
    <x v="58"/>
    <s v="Yes"/>
    <s v="Email Management Bills Processing Invoices Processing' Supplier's Batch Payment Liam's Expense Claim payment Bank and credit Card Recon  Sending out unreconciled bank transactions to Michelle and Nicole"/>
    <x v="1"/>
    <x v="5"/>
  </r>
  <r>
    <d v="2024-03-07T00:00:00"/>
    <x v="30"/>
    <s v="Client Meeting"/>
    <n v="0.55000000000000004"/>
    <x v="5"/>
    <s v="Yes"/>
    <s v="Catch Up Meeting with Elena and Lynn re Payroll concerns "/>
    <x v="1"/>
    <x v="5"/>
  </r>
  <r>
    <d v="2024-03-07T00:00:00"/>
    <x v="30"/>
    <s v="General"/>
    <n v="0.72"/>
    <x v="11"/>
    <s v="No"/>
    <s v="Email Management "/>
    <x v="1"/>
    <x v="5"/>
  </r>
  <r>
    <d v="2024-03-07T00:00:00"/>
    <x v="30"/>
    <s v="Payroll Processing"/>
    <n v="0.17"/>
    <x v="43"/>
    <s v="Yes"/>
    <s v="Sending of STP and checking payroll queries  "/>
    <x v="1"/>
    <x v="5"/>
  </r>
  <r>
    <d v="2024-03-07T00:00:00"/>
    <x v="31"/>
    <s v="Accounts"/>
    <n v="7.0000000000000007E-2"/>
    <x v="11"/>
    <s v="No"/>
    <s v="Partial bank recs"/>
    <x v="1"/>
    <x v="5"/>
  </r>
  <r>
    <d v="2024-03-07T00:00:00"/>
    <x v="31"/>
    <s v="Accounts"/>
    <n v="0.15"/>
    <x v="11"/>
    <s v="No"/>
    <s v="Catch up emails for AU Accounts and respond"/>
    <x v="1"/>
    <x v="5"/>
  </r>
  <r>
    <d v="2024-03-07T00:00:00"/>
    <x v="31"/>
    <s v="Accounts"/>
    <n v="0.18"/>
    <x v="56"/>
    <s v="No"/>
    <s v="Communication with Ms Con regarding instructions with Finance and other things"/>
    <x v="1"/>
    <x v="5"/>
  </r>
  <r>
    <d v="2024-03-07T00:00:00"/>
    <x v="31"/>
    <s v="Accounts"/>
    <n v="0.18"/>
    <x v="11"/>
    <s v="No"/>
    <s v="Short discussion with Jordan re: XPM and Xero invoicing reconciliation"/>
    <x v="1"/>
    <x v="5"/>
  </r>
  <r>
    <d v="2024-03-07T00:00:00"/>
    <x v="31"/>
    <s v="Accounts"/>
    <n v="0.5"/>
    <x v="11"/>
    <s v="No"/>
    <s v="Respond to various emails - send out ASIC invoice to Emily"/>
    <x v="1"/>
    <x v="5"/>
  </r>
  <r>
    <d v="2024-03-07T00:00:00"/>
    <x v="31"/>
    <s v="Bookkeeping"/>
    <n v="0.15"/>
    <x v="11"/>
    <s v="No"/>
    <s v="Process bills for Compass (no issue)"/>
    <x v="1"/>
    <x v="5"/>
  </r>
  <r>
    <d v="2024-03-07T00:00:00"/>
    <x v="31"/>
    <s v="Bookkeeping"/>
    <n v="0.27"/>
    <x v="11"/>
    <s v="No"/>
    <s v="Catch up Asana tasks and billed additional invoicing."/>
    <x v="1"/>
    <x v="5"/>
  </r>
  <r>
    <d v="2024-03-07T00:00:00"/>
    <x v="31"/>
    <s v="Bookkeeping"/>
    <n v="0.63"/>
    <x v="11"/>
    <s v="No"/>
    <s v="Record ASIC service fee and Intercompany setup for both Dexterous Global Pty Ltd and Dexterous Holdings Pty Ltd"/>
    <x v="1"/>
    <x v="5"/>
  </r>
  <r>
    <d v="2024-03-07T00:00:00"/>
    <x v="31"/>
    <s v="Compliance"/>
    <n v="0.52"/>
    <x v="11"/>
    <s v="No"/>
    <s v="Request compass to print the the Change of Accounting Period requirements."/>
    <x v="1"/>
    <x v="5"/>
  </r>
  <r>
    <d v="2024-03-07T00:00:00"/>
    <x v="31"/>
    <s v="Compliance"/>
    <n v="0.62"/>
    <x v="56"/>
    <s v="No"/>
    <s v="Preparation of BIR 1601C and 0619E for the month of February 2024."/>
    <x v="1"/>
    <x v="5"/>
  </r>
  <r>
    <d v="2024-03-07T00:00:00"/>
    <x v="31"/>
    <s v="Compliance"/>
    <n v="0.73"/>
    <x v="94"/>
    <s v="No"/>
    <s v="RO BIR 1601C and 0619E February 2024 working papers and tax filings"/>
    <x v="1"/>
    <x v="5"/>
  </r>
  <r>
    <d v="2024-03-07T00:00:00"/>
    <x v="31"/>
    <s v="General"/>
    <n v="0.62"/>
    <x v="56"/>
    <s v="No"/>
    <s v="Insights with the training (email). Assistance via phone with Con re: PH Branch BDO setup."/>
    <x v="1"/>
    <x v="5"/>
  </r>
  <r>
    <d v="2024-03-07T00:00:00"/>
    <x v="31"/>
    <s v="General"/>
    <n v="1.43"/>
    <x v="56"/>
    <s v="No"/>
    <s v="Assist Ms Con with the Change of Accounting Period requirements/Discussion with Salaries accrual."/>
    <x v="1"/>
    <x v="5"/>
  </r>
  <r>
    <d v="2024-03-07T00:00:00"/>
    <x v="31"/>
    <s v="Management Reporting"/>
    <n v="1.95"/>
    <x v="11"/>
    <s v="No"/>
    <s v="Record all accrual for Feb 2024. Leave balances updating. Coordinating with Jordan/Ms Con re: XPM as per Nick's request to add the reconciliation of invoices."/>
    <x v="1"/>
    <x v="5"/>
  </r>
  <r>
    <d v="2024-03-07T00:00:00"/>
    <x v="31"/>
    <s v="Payroll Processing"/>
    <n v="0.18"/>
    <x v="56"/>
    <s v="No"/>
    <s v="Payroll processing - Sprout payroll approval"/>
    <x v="1"/>
    <x v="5"/>
  </r>
  <r>
    <d v="2024-03-07T00:00:00"/>
    <x v="31"/>
    <s v="Payroll Processing"/>
    <n v="0.62"/>
    <x v="56"/>
    <s v="No"/>
    <s v="BDO payroll uploading and request to Nick for approval. Summary preparation for all request."/>
    <x v="1"/>
    <x v="5"/>
  </r>
  <r>
    <d v="2024-03-07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Thanks so much!  📌 review the notification email for the Application Form on website "/>
    <x v="1"/>
    <x v="5"/>
  </r>
  <r>
    <d v="2024-03-07T00:00:00"/>
    <x v="33"/>
    <s v="Bookkeeping"/>
    <n v="0.5"/>
    <x v="60"/>
    <s v="Yes"/>
    <s v="processing bills and bank reco"/>
    <x v="1"/>
    <x v="5"/>
  </r>
  <r>
    <d v="2024-03-07T00:00:00"/>
    <x v="33"/>
    <s v="Bookkeeping"/>
    <n v="0.5"/>
    <x v="60"/>
    <s v="Yes"/>
    <s v="uploading payments"/>
    <x v="1"/>
    <x v="5"/>
  </r>
  <r>
    <d v="2024-03-07T00:00:00"/>
    <x v="33"/>
    <s v="Bookkeeping"/>
    <n v="0.5"/>
    <x v="48"/>
    <s v="Yes"/>
    <m/>
    <x v="1"/>
    <x v="5"/>
  </r>
  <r>
    <d v="2024-03-07T00:00:00"/>
    <x v="33"/>
    <s v="Bookkeeping"/>
    <n v="0.75"/>
    <x v="59"/>
    <s v="Yes"/>
    <m/>
    <x v="1"/>
    <x v="5"/>
  </r>
  <r>
    <d v="2024-03-07T00:00:00"/>
    <x v="33"/>
    <s v="Bookkeeping"/>
    <n v="1.5"/>
    <x v="9"/>
    <s v="Yes"/>
    <m/>
    <x v="1"/>
    <x v="5"/>
  </r>
  <r>
    <d v="2024-03-07T00:00:00"/>
    <x v="33"/>
    <s v="Payroll Processing"/>
    <n v="0.5"/>
    <x v="60"/>
    <s v="Yes"/>
    <m/>
    <x v="1"/>
    <x v="5"/>
  </r>
  <r>
    <d v="2024-03-07T00:00:00"/>
    <x v="33"/>
    <s v="Payroll Processing"/>
    <n v="1.25"/>
    <x v="95"/>
    <s v="Yes"/>
    <m/>
    <x v="1"/>
    <x v="5"/>
  </r>
  <r>
    <d v="2024-03-07T00:00:00"/>
    <x v="34"/>
    <s v="Client Manager"/>
    <n v="0.12"/>
    <x v="96"/>
    <s v="No"/>
    <s v="prep for meeting"/>
    <x v="1"/>
    <x v="5"/>
  </r>
  <r>
    <d v="2024-03-07T00:00:00"/>
    <x v="34"/>
    <s v="Client Manager"/>
    <n v="0.25"/>
    <x v="61"/>
    <s v="No"/>
    <s v="organising access and handover"/>
    <x v="1"/>
    <x v="5"/>
  </r>
  <r>
    <d v="2024-03-07T00:00:00"/>
    <x v="34"/>
    <s v="Client Manager"/>
    <n v="0.38"/>
    <x v="96"/>
    <s v="Yes"/>
    <s v="Fathom report February"/>
    <x v="1"/>
    <x v="5"/>
  </r>
  <r>
    <d v="2024-03-07T00:00:00"/>
    <x v="34"/>
    <s v="Client Manager"/>
    <n v="0.68"/>
    <x v="0"/>
    <s v="No"/>
    <s v="follow up on Asana tasks"/>
    <x v="1"/>
    <x v="5"/>
  </r>
  <r>
    <d v="2024-03-07T00:00:00"/>
    <x v="34"/>
    <s v="Client Manager"/>
    <n v="1.9"/>
    <x v="0"/>
    <s v="Yes"/>
    <s v="month end file for manual journals"/>
    <x v="1"/>
    <x v="5"/>
  </r>
  <r>
    <d v="2024-03-07T00:00:00"/>
    <x v="34"/>
    <s v="Client Meeting"/>
    <n v="0.55000000000000004"/>
    <x v="0"/>
    <s v="Yes"/>
    <s v="call with Stuart on month end excel"/>
    <x v="1"/>
    <x v="5"/>
  </r>
  <r>
    <d v="2024-03-07T00:00:00"/>
    <x v="34"/>
    <s v="Client Meeting"/>
    <n v="0.83"/>
    <x v="75"/>
    <s v="Yes"/>
    <s v="Meeting with Scott and Jenny on commissions"/>
    <x v="1"/>
    <x v="5"/>
  </r>
  <r>
    <d v="2024-03-07T00:00:00"/>
    <x v="34"/>
    <s v="Client Meeting"/>
    <n v="1.25"/>
    <x v="96"/>
    <s v="Yes"/>
    <s v="Meeting with Josh and Carly"/>
    <x v="1"/>
    <x v="5"/>
  </r>
  <r>
    <d v="2024-03-07T00:00:00"/>
    <x v="34"/>
    <s v="General"/>
    <n v="1.45"/>
    <x v="11"/>
    <s v="No"/>
    <s v="emails, teams, Asana Searching for customer analysis data software integration with Xero"/>
    <x v="1"/>
    <x v="5"/>
  </r>
  <r>
    <d v="2024-03-07T00:00:00"/>
    <x v="35"/>
    <s v="Bookkeeping"/>
    <n v="0.18"/>
    <x v="62"/>
    <s v="Yes"/>
    <s v="email, AP"/>
    <x v="1"/>
    <x v="5"/>
  </r>
  <r>
    <d v="2024-03-07T00:00:00"/>
    <x v="35"/>
    <s v="Bookkeeping"/>
    <n v="0.85"/>
    <x v="33"/>
    <s v="Yes"/>
    <m/>
    <x v="1"/>
    <x v="5"/>
  </r>
  <r>
    <d v="2024-03-07T00:00:00"/>
    <x v="35"/>
    <s v="Bookkeeping"/>
    <n v="1.45"/>
    <x v="33"/>
    <s v="Yes"/>
    <s v="BR"/>
    <x v="1"/>
    <x v="5"/>
  </r>
  <r>
    <d v="2024-03-07T00:00:00"/>
    <x v="35"/>
    <s v="Bookkeeping"/>
    <n v="2.5"/>
    <x v="62"/>
    <s v="Yes"/>
    <s v="AP, emails"/>
    <x v="1"/>
    <x v="5"/>
  </r>
  <r>
    <d v="2024-03-07T00:00:00"/>
    <x v="35"/>
    <s v="Bookkeeping"/>
    <n v="2.73"/>
    <x v="62"/>
    <s v="Yes"/>
    <s v="AP, Files, BR"/>
    <x v="1"/>
    <x v="5"/>
  </r>
  <r>
    <d v="2024-03-07T00:00:00"/>
    <x v="35"/>
    <s v="General"/>
    <n v="0.28000000000000003"/>
    <x v="11"/>
    <s v="No"/>
    <s v="emails &amp; EOM"/>
    <x v="1"/>
    <x v="5"/>
  </r>
  <r>
    <d v="2024-03-07T00:00:00"/>
    <x v="36"/>
    <s v="General"/>
    <n v="0.13"/>
    <x v="11"/>
    <s v="No"/>
    <s v="Dex emails"/>
    <x v="1"/>
    <x v="5"/>
  </r>
  <r>
    <d v="2024-03-07T00:00:00"/>
    <x v="36"/>
    <s v="Management Reporting"/>
    <n v="6.65"/>
    <x v="35"/>
    <s v="Yes"/>
    <m/>
    <x v="1"/>
    <x v="5"/>
  </r>
  <r>
    <d v="2024-03-07T00:00:00"/>
    <x v="36"/>
    <s v="Payroll Processing"/>
    <n v="3.43"/>
    <x v="35"/>
    <s v="Yes"/>
    <m/>
    <x v="1"/>
    <x v="5"/>
  </r>
  <r>
    <d v="2024-03-07T00:00:00"/>
    <x v="37"/>
    <s v="General"/>
    <n v="3.47"/>
    <x v="11"/>
    <s v="No"/>
    <s v="CPR insights Finance meeting RO balance sheet recon"/>
    <x v="1"/>
    <x v="5"/>
  </r>
  <r>
    <d v="2024-03-07T00:00:00"/>
    <x v="37"/>
    <s v="Meetings"/>
    <n v="6.28"/>
    <x v="11"/>
    <s v="No"/>
    <s v="Management meetings 1:1 Handover"/>
    <x v="1"/>
    <x v="5"/>
  </r>
  <r>
    <d v="2024-03-07T00:00:00"/>
    <x v="38"/>
    <s v="Bookkeeping"/>
    <n v="8.6"/>
    <x v="15"/>
    <s v="Yes"/>
    <m/>
    <x v="1"/>
    <x v="5"/>
  </r>
  <r>
    <d v="2024-03-07T00:00:00"/>
    <x v="39"/>
    <s v="Bookkeeping"/>
    <n v="1.75"/>
    <x v="28"/>
    <s v="Yes"/>
    <s v="Feb24 payroll tax processing and lodgment with Gerardo. Overview of Cash clearing account recon"/>
    <x v="1"/>
    <x v="5"/>
  </r>
  <r>
    <d v="2024-03-07T00:00:00"/>
    <x v="39"/>
    <s v="General"/>
    <n v="0.5"/>
    <x v="11"/>
    <s v="No"/>
    <s v="Break"/>
    <x v="1"/>
    <x v="5"/>
  </r>
  <r>
    <d v="2024-03-07T00:00:00"/>
    <x v="39"/>
    <s v="General"/>
    <n v="0.8"/>
    <x v="11"/>
    <s v="No"/>
    <s v="Morning and afternoon emails Various teams messages during the day"/>
    <x v="1"/>
    <x v="5"/>
  </r>
  <r>
    <d v="2024-03-07T00:00:00"/>
    <x v="39"/>
    <s v="Payroll Processing"/>
    <n v="0.12"/>
    <x v="15"/>
    <s v="Yes"/>
    <s v="Finalise payroll, upload payment, email for approval"/>
    <x v="1"/>
    <x v="5"/>
  </r>
  <r>
    <d v="2024-03-07T00:00:00"/>
    <x v="39"/>
    <s v="Payroll Processing"/>
    <n v="0.12"/>
    <x v="34"/>
    <s v="Yes"/>
    <s v="Export reports for payroll journal automation"/>
    <x v="1"/>
    <x v="5"/>
  </r>
  <r>
    <d v="2024-03-07T00:00:00"/>
    <x v="39"/>
    <s v="Payroll Processing"/>
    <n v="0.27"/>
    <x v="34"/>
    <s v="Yes"/>
    <s v="Review payroll journals"/>
    <x v="1"/>
    <x v="5"/>
  </r>
  <r>
    <d v="2024-03-07T00:00:00"/>
    <x v="39"/>
    <s v="Payroll Processing"/>
    <n v="0.28000000000000003"/>
    <x v="15"/>
    <s v="Yes"/>
    <s v="Respond to Adrienne's query"/>
    <x v="1"/>
    <x v="5"/>
  </r>
  <r>
    <d v="2024-03-07T00:00:00"/>
    <x v="39"/>
    <s v="Payroll Processing"/>
    <n v="0.35"/>
    <x v="15"/>
    <s v="Yes"/>
    <s v="Call from Adrienne re  Eri's LWOP. Amend Eri Ng's pay as per Adrienne,"/>
    <x v="1"/>
    <x v="5"/>
  </r>
  <r>
    <d v="2024-03-07T00:00:00"/>
    <x v="39"/>
    <s v="Payroll Processing"/>
    <n v="0.6"/>
    <x v="89"/>
    <s v="Yes"/>
    <s v="Look into redundancy, PPL, and LSL query from client"/>
    <x v="1"/>
    <x v="5"/>
  </r>
  <r>
    <d v="2024-03-07T00:00:00"/>
    <x v="39"/>
    <s v="Payroll Processing"/>
    <n v="0.85"/>
    <x v="15"/>
    <s v="Yes"/>
    <s v="Last minute payroll adjustments"/>
    <x v="1"/>
    <x v="5"/>
  </r>
  <r>
    <d v="2024-03-07T00:00:00"/>
    <x v="39"/>
    <s v="Payroll Processing"/>
    <n v="2.37"/>
    <x v="15"/>
    <s v="Yes"/>
    <s v="Payroll processing and peer review"/>
    <x v="1"/>
    <x v="5"/>
  </r>
  <r>
    <d v="2024-03-07T00:00:00"/>
    <x v="41"/>
    <s v="Bookkeeping"/>
    <n v="0.08"/>
    <x v="47"/>
    <s v="Yes"/>
    <s v="Post AL/LSL provision journal"/>
    <x v="1"/>
    <x v="5"/>
  </r>
  <r>
    <d v="2024-03-07T00:00:00"/>
    <x v="41"/>
    <s v="Bookkeeping"/>
    <n v="0.35"/>
    <x v="36"/>
    <s v="Yes"/>
    <s v="AP and bank rec review Transactions review"/>
    <x v="1"/>
    <x v="5"/>
  </r>
  <r>
    <d v="2024-03-07T00:00:00"/>
    <x v="41"/>
    <s v="Bookkeeping"/>
    <n v="0.67"/>
    <x v="36"/>
    <s v="Yes"/>
    <s v="Cashflow update AP run Bank rec"/>
    <x v="1"/>
    <x v="5"/>
  </r>
  <r>
    <d v="2024-03-07T00:00:00"/>
    <x v="41"/>
    <s v="Bookkeeping"/>
    <n v="1.1000000000000001"/>
    <x v="16"/>
    <s v="Yes"/>
    <s v="Account rec"/>
    <x v="1"/>
    <x v="5"/>
  </r>
  <r>
    <d v="2024-03-07T00:00:00"/>
    <x v="41"/>
    <s v="Bookkeeping"/>
    <n v="1.5"/>
    <x v="64"/>
    <s v="Yes"/>
    <s v="Accounts reconciliation"/>
    <x v="1"/>
    <x v="5"/>
  </r>
  <r>
    <d v="2024-03-07T00:00:00"/>
    <x v="41"/>
    <s v="Bookkeeping"/>
    <n v="1.8"/>
    <x v="16"/>
    <s v="Yes"/>
    <s v="Inbox mgmt Bank rec Ad hoc Month-end rec"/>
    <x v="1"/>
    <x v="5"/>
  </r>
  <r>
    <d v="2024-03-07T00:00:00"/>
    <x v="41"/>
    <s v="Bookkeeping"/>
    <n v="1.83"/>
    <x v="16"/>
    <s v="Yes"/>
    <s v="BS rec"/>
    <x v="1"/>
    <x v="5"/>
  </r>
  <r>
    <d v="2024-03-07T00:00:00"/>
    <x v="41"/>
    <s v="General"/>
    <n v="0.5"/>
    <x v="11"/>
    <s v="No"/>
    <s v="Paid break"/>
    <x v="1"/>
    <x v="5"/>
  </r>
  <r>
    <d v="2024-03-07T00:00:00"/>
    <x v="41"/>
    <s v="Payroll Processing"/>
    <n v="0.03"/>
    <x v="50"/>
    <s v="Yes"/>
    <s v="Email payslips and file STP"/>
    <x v="1"/>
    <x v="5"/>
  </r>
  <r>
    <d v="2024-03-07T00:00:00"/>
    <x v="41"/>
    <s v="Payroll Processing"/>
    <n v="0.13"/>
    <x v="47"/>
    <s v="Yes"/>
    <s v="Update leave and reprocess payroll Email reports to client"/>
    <x v="1"/>
    <x v="5"/>
  </r>
  <r>
    <d v="2024-03-07T00:00:00"/>
    <x v="42"/>
    <s v="Client Manager"/>
    <n v="0.25"/>
    <x v="33"/>
    <s v="Yes"/>
    <s v="Upload payable and email Kathy/Shalisa"/>
    <x v="1"/>
    <x v="5"/>
  </r>
  <r>
    <d v="2024-03-07T00:00:00"/>
    <x v="42"/>
    <s v="Client Manager"/>
    <n v="0.5"/>
    <x v="85"/>
    <s v="Yes"/>
    <s v="Attend to email from Kerry. Update Prue's pay template. Amend payrun for F/E 03/03/2024 for Prue. Process Chanelle's pay again. Advise Kerry on the additional payment for Prue"/>
    <x v="1"/>
    <x v="5"/>
  </r>
  <r>
    <d v="2024-03-07T00:00:00"/>
    <x v="42"/>
    <s v="Client Manager"/>
    <n v="1.5"/>
    <x v="48"/>
    <s v="Yes"/>
    <s v="Review accounts for Feb 2024. Run dep/amortisation for Feb. Update Fathom report, add commentaries and send report to Zoe."/>
    <x v="1"/>
    <x v="5"/>
  </r>
  <r>
    <d v="2024-03-07T00:00:00"/>
    <x v="42"/>
    <s v="General"/>
    <n v="5.25"/>
    <x v="11"/>
    <s v="No"/>
    <s v="Return from Manila"/>
    <x v="1"/>
    <x v="5"/>
  </r>
  <r>
    <d v="2024-03-07T00:00:00"/>
    <x v="43"/>
    <s v="Bookkeeping"/>
    <n v="0.37"/>
    <x v="15"/>
    <s v="Yes"/>
    <s v="checking Invoice with Issue and Cash flow"/>
    <x v="1"/>
    <x v="5"/>
  </r>
  <r>
    <d v="2024-03-07T00:00:00"/>
    <x v="43"/>
    <s v="Management Reporting"/>
    <n v="7.02"/>
    <x v="15"/>
    <s v="No"/>
    <s v="reviewing files for month end prep payroll tax payment"/>
    <x v="1"/>
    <x v="5"/>
  </r>
  <r>
    <d v="2024-03-07T00:00:00"/>
    <x v="43"/>
    <s v="Payroll Processing"/>
    <n v="0.73"/>
    <x v="15"/>
    <s v="No"/>
    <s v="Payroll Tax lodgement training"/>
    <x v="1"/>
    <x v="5"/>
  </r>
  <r>
    <d v="2024-03-07T00:00:00"/>
    <x v="44"/>
    <s v="Bookkeeping"/>
    <n v="0.2"/>
    <x v="16"/>
    <s v="Yes"/>
    <s v="Payments"/>
    <x v="1"/>
    <x v="5"/>
  </r>
  <r>
    <d v="2024-03-07T00:00:00"/>
    <x v="44"/>
    <s v="Bookkeeping"/>
    <n v="0.2"/>
    <x v="16"/>
    <s v="Yes"/>
    <s v="review unreconciled Bk rec / search funds held"/>
    <x v="1"/>
    <x v="5"/>
  </r>
  <r>
    <d v="2024-03-07T00:00:00"/>
    <x v="44"/>
    <s v="Bookkeeping"/>
    <n v="0.5"/>
    <x v="16"/>
    <s v="Yes"/>
    <s v="BAM Tax rec, email to Sam"/>
    <x v="1"/>
    <x v="5"/>
  </r>
  <r>
    <d v="2024-03-07T00:00:00"/>
    <x v="44"/>
    <s v="Bookkeeping"/>
    <n v="2"/>
    <x v="16"/>
    <s v="Yes"/>
    <s v="OMS"/>
    <x v="1"/>
    <x v="5"/>
  </r>
  <r>
    <d v="2024-03-07T00:00:00"/>
    <x v="44"/>
    <s v="Client Admin"/>
    <n v="0.3"/>
    <x v="11"/>
    <s v="No"/>
    <s v="SNZL - invoicing, liaise Nick, Josh, Mel"/>
    <x v="1"/>
    <x v="5"/>
  </r>
  <r>
    <d v="2024-03-07T00:00:00"/>
    <x v="44"/>
    <s v="Client Admin"/>
    <n v="0.4"/>
    <x v="11"/>
    <s v="No"/>
    <s v="Asana - new invoice SNZL, liaise Mel Eaton and Nick"/>
    <x v="1"/>
    <x v="5"/>
  </r>
  <r>
    <d v="2024-03-07T00:00:00"/>
    <x v="44"/>
    <s v="Client Manager"/>
    <n v="0.2"/>
    <x v="6"/>
    <s v="Yes"/>
    <s v="Liaise with Aileen re payroll and iAS"/>
    <x v="1"/>
    <x v="5"/>
  </r>
  <r>
    <d v="2024-03-07T00:00:00"/>
    <x v="44"/>
    <s v="Client Manager"/>
    <n v="0.7"/>
    <x v="16"/>
    <s v="Yes"/>
    <s v="Liaise with Rachele and Sarah"/>
    <x v="1"/>
    <x v="5"/>
  </r>
  <r>
    <d v="2024-03-07T00:00:00"/>
    <x v="44"/>
    <s v="Client Manager"/>
    <n v="1"/>
    <x v="16"/>
    <s v="Yes"/>
    <s v="Meeting Logika re Interco recs and BS recs"/>
    <x v="1"/>
    <x v="5"/>
  </r>
  <r>
    <d v="2024-03-07T00:00:00"/>
    <x v="44"/>
    <s v="General"/>
    <n v="0.7"/>
    <x v="11"/>
    <s v="No"/>
    <s v="update Asana, timesheet, Teams, emails, liaise teams re IAS"/>
    <x v="1"/>
    <x v="5"/>
  </r>
  <r>
    <d v="2024-03-07T00:00:00"/>
    <x v="44"/>
    <s v="IAS/BAS Preparation &amp; Lodgement - Feb"/>
    <n v="0.2"/>
    <x v="67"/>
    <s v="Yes"/>
    <s v="Report for IAS "/>
    <x v="1"/>
    <x v="5"/>
  </r>
  <r>
    <d v="2024-03-07T00:00:00"/>
    <x v="44"/>
    <s v="IAS/BAS Preparation &amp; Lodgement - Jan"/>
    <n v="0.9"/>
    <x v="97"/>
    <s v="Yes"/>
    <s v="Get all payroll reports and PAYE calculation from server, review, access IRD, liaise with Nica and Sarah for training, email Mel and Nick"/>
    <x v="1"/>
    <x v="5"/>
  </r>
  <r>
    <d v="2024-03-07T00:00:00"/>
    <x v="44"/>
    <s v="Management Reporting"/>
    <n v="1.3"/>
    <x v="16"/>
    <s v="Yes"/>
    <s v="Fathom Conso Feb 2024 - review and corrections"/>
    <x v="1"/>
    <x v="5"/>
  </r>
  <r>
    <d v="2024-03-07T00:00:00"/>
    <x v="45"/>
    <s v="General"/>
    <n v="2"/>
    <x v="11"/>
    <s v="No"/>
    <e v="#NAME?"/>
    <x v="1"/>
    <x v="5"/>
  </r>
  <r>
    <d v="2024-03-07T00:00:00"/>
    <x v="45"/>
    <s v="General"/>
    <n v="2.5"/>
    <x v="11"/>
    <s v="No"/>
    <e v="#NAME?"/>
    <x v="1"/>
    <x v="5"/>
  </r>
  <r>
    <d v="2024-03-07T00:00:00"/>
    <x v="45"/>
    <s v="Meetings"/>
    <n v="0.5"/>
    <x v="11"/>
    <s v="No"/>
    <e v="#NAME?"/>
    <x v="1"/>
    <x v="5"/>
  </r>
  <r>
    <d v="2024-03-07T00:00:00"/>
    <x v="45"/>
    <s v="Meetings"/>
    <n v="0.5"/>
    <x v="11"/>
    <s v="No"/>
    <e v="#NAME?"/>
    <x v="1"/>
    <x v="5"/>
  </r>
  <r>
    <d v="2024-03-07T00:00:00"/>
    <x v="45"/>
    <s v="Meetings"/>
    <n v="2.5"/>
    <x v="11"/>
    <s v="No"/>
    <e v="#NAME?"/>
    <x v="1"/>
    <x v="5"/>
  </r>
  <r>
    <d v="2024-03-08T00:00:00"/>
    <x v="0"/>
    <s v="Bookkeeping"/>
    <n v="0.05"/>
    <x v="6"/>
    <s v="Yes"/>
    <s v="Send RA to supplier"/>
    <x v="1"/>
    <x v="0"/>
  </r>
  <r>
    <d v="2024-03-08T00:00:00"/>
    <x v="0"/>
    <s v="Bookkeeping"/>
    <n v="0.05"/>
    <x v="1"/>
    <s v="Yes"/>
    <s v="Merge and update details of contact in Xero"/>
    <x v="1"/>
    <x v="0"/>
  </r>
  <r>
    <d v="2024-03-08T00:00:00"/>
    <x v="0"/>
    <s v="Bookkeeping"/>
    <n v="7.0000000000000007E-2"/>
    <x v="3"/>
    <s v="Yes"/>
    <s v="Accounts Payable"/>
    <x v="1"/>
    <x v="0"/>
  </r>
  <r>
    <d v="2024-03-08T00:00:00"/>
    <x v="0"/>
    <s v="Bookkeeping"/>
    <n v="7.0000000000000007E-2"/>
    <x v="3"/>
    <s v="Yes"/>
    <s v="Download Bank Statements"/>
    <x v="1"/>
    <x v="0"/>
  </r>
  <r>
    <d v="2024-03-08T00:00:00"/>
    <x v="0"/>
    <s v="Bookkeeping"/>
    <n v="7.0000000000000007E-2"/>
    <x v="1"/>
    <s v="Yes"/>
    <s v="Submit bill for approval in Xero"/>
    <x v="1"/>
    <x v="0"/>
  </r>
  <r>
    <d v="2024-03-08T00:00:00"/>
    <x v="0"/>
    <s v="Bookkeeping"/>
    <n v="0.08"/>
    <x v="9"/>
    <s v="Yes"/>
    <s v="Enter bill in Sage"/>
    <x v="1"/>
    <x v="0"/>
  </r>
  <r>
    <d v="2024-03-08T00:00:00"/>
    <x v="0"/>
    <s v="Bookkeeping"/>
    <n v="0.08"/>
    <x v="0"/>
    <s v="Yes"/>
    <s v="Void manual journal in Xero"/>
    <x v="1"/>
    <x v="0"/>
  </r>
  <r>
    <d v="2024-03-08T00:00:00"/>
    <x v="0"/>
    <s v="Bookkeeping"/>
    <n v="0.1"/>
    <x v="12"/>
    <s v="Yes"/>
    <s v="Email"/>
    <x v="1"/>
    <x v="0"/>
  </r>
  <r>
    <d v="2024-03-08T00:00:00"/>
    <x v="0"/>
    <s v="Bookkeeping"/>
    <n v="0.1"/>
    <x v="1"/>
    <s v="Yes"/>
    <s v="Clear AP inbox"/>
    <x v="1"/>
    <x v="0"/>
  </r>
  <r>
    <d v="2024-03-08T00:00:00"/>
    <x v="0"/>
    <s v="Bookkeeping"/>
    <n v="0.12"/>
    <x v="0"/>
    <s v="Yes"/>
    <s v="Email/Inbox Management"/>
    <x v="1"/>
    <x v="0"/>
  </r>
  <r>
    <d v="2024-03-08T00:00:00"/>
    <x v="0"/>
    <s v="Bookkeeping"/>
    <n v="0.13"/>
    <x v="6"/>
    <s v="Yes"/>
    <s v="Email/Inbox Management"/>
    <x v="1"/>
    <x v="0"/>
  </r>
  <r>
    <d v="2024-03-08T00:00:00"/>
    <x v="0"/>
    <s v="Bookkeeping"/>
    <n v="0.13"/>
    <x v="0"/>
    <s v="Yes"/>
    <s v="Recode transactions"/>
    <x v="1"/>
    <x v="0"/>
  </r>
  <r>
    <d v="2024-03-08T00:00:00"/>
    <x v="0"/>
    <s v="Bookkeeping"/>
    <n v="0.15"/>
    <x v="13"/>
    <s v="Yes"/>
    <s v="Bank Reconciliation"/>
    <x v="1"/>
    <x v="0"/>
  </r>
  <r>
    <d v="2024-03-08T00:00:00"/>
    <x v="0"/>
    <s v="Bookkeeping"/>
    <n v="0.18"/>
    <x v="9"/>
    <s v="Yes"/>
    <s v="Accounts Payable"/>
    <x v="1"/>
    <x v="0"/>
  </r>
  <r>
    <d v="2024-03-08T00:00:00"/>
    <x v="0"/>
    <s v="Bookkeeping"/>
    <n v="0.22"/>
    <x v="5"/>
    <s v="Yes"/>
    <s v="Download Bank Statements"/>
    <x v="1"/>
    <x v="0"/>
  </r>
  <r>
    <d v="2024-03-08T00:00:00"/>
    <x v="0"/>
    <s v="Bookkeeping"/>
    <n v="0.22"/>
    <x v="1"/>
    <s v="Yes"/>
    <s v="Submit bills for approval in Xero"/>
    <x v="1"/>
    <x v="0"/>
  </r>
  <r>
    <d v="2024-03-08T00:00:00"/>
    <x v="0"/>
    <s v="Bookkeeping"/>
    <n v="0.25"/>
    <x v="12"/>
    <s v="Yes"/>
    <s v="Send Bonuses paid from FY 2021-2023"/>
    <x v="1"/>
    <x v="0"/>
  </r>
  <r>
    <d v="2024-03-08T00:00:00"/>
    <x v="0"/>
    <s v="Bookkeeping"/>
    <n v="0.27"/>
    <x v="12"/>
    <s v="Yes"/>
    <s v="Send Payroll Tax Reports from FY 2023"/>
    <x v="1"/>
    <x v="0"/>
  </r>
  <r>
    <d v="2024-03-08T00:00:00"/>
    <x v="0"/>
    <s v="Bookkeeping"/>
    <n v="0.28000000000000003"/>
    <x v="7"/>
    <s v="Yes"/>
    <s v="Bank Reconciliation"/>
    <x v="1"/>
    <x v="0"/>
  </r>
  <r>
    <d v="2024-03-08T00:00:00"/>
    <x v="0"/>
    <s v="Bookkeeping"/>
    <n v="0.28000000000000003"/>
    <x v="5"/>
    <s v="Yes"/>
    <s v="AP and Email/Inbox Management"/>
    <x v="1"/>
    <x v="0"/>
  </r>
  <r>
    <d v="2024-03-08T00:00:00"/>
    <x v="0"/>
    <s v="Bookkeeping"/>
    <n v="0.3"/>
    <x v="86"/>
    <s v="Yes"/>
    <s v="Bank Reconciliation"/>
    <x v="1"/>
    <x v="0"/>
  </r>
  <r>
    <d v="2024-03-08T00:00:00"/>
    <x v="0"/>
    <s v="Bookkeeping"/>
    <n v="0.35"/>
    <x v="6"/>
    <s v="Yes"/>
    <s v="AP, Bank Reconciliation, and Emails"/>
    <x v="1"/>
    <x v="0"/>
  </r>
  <r>
    <d v="2024-03-08T00:00:00"/>
    <x v="0"/>
    <s v="Bookkeeping"/>
    <n v="0.37"/>
    <x v="98"/>
    <s v="Yes"/>
    <s v="Bank Reconciliation"/>
    <x v="1"/>
    <x v="0"/>
  </r>
  <r>
    <d v="2024-03-08T00:00:00"/>
    <x v="0"/>
    <s v="Bookkeeping"/>
    <n v="0.45"/>
    <x v="0"/>
    <s v="Yes"/>
    <s v="Bank Reconciliation"/>
    <x v="1"/>
    <x v="0"/>
  </r>
  <r>
    <d v="2024-03-08T00:00:00"/>
    <x v="0"/>
    <s v="Bookkeeping"/>
    <n v="0.5"/>
    <x v="9"/>
    <s v="Yes"/>
    <s v="Enter bills in Sage"/>
    <x v="1"/>
    <x v="0"/>
  </r>
  <r>
    <d v="2024-03-08T00:00:00"/>
    <x v="0"/>
    <s v="Bookkeeping"/>
    <n v="0.82"/>
    <x v="12"/>
    <s v="Yes"/>
    <s v="Send employee details report and leave balances"/>
    <x v="1"/>
    <x v="0"/>
  </r>
  <r>
    <d v="2024-03-08T00:00:00"/>
    <x v="0"/>
    <s v="Bookkeeping"/>
    <n v="1.02"/>
    <x v="8"/>
    <s v="Yes"/>
    <s v="Bank Reconciliation"/>
    <x v="1"/>
    <x v="0"/>
  </r>
  <r>
    <d v="2024-03-08T00:00:00"/>
    <x v="0"/>
    <s v="Bookkeeping"/>
    <n v="1.07"/>
    <x v="5"/>
    <s v="Yes"/>
    <s v="Accounts Payable"/>
    <x v="1"/>
    <x v="0"/>
  </r>
  <r>
    <d v="2024-03-08T00:00:00"/>
    <x v="0"/>
    <s v="IAS/BAS Preparation &amp; Lodgement - Feb"/>
    <n v="0.05"/>
    <x v="6"/>
    <s v="Yes"/>
    <s v="IAS - Feb 2024"/>
    <x v="1"/>
    <x v="0"/>
  </r>
  <r>
    <d v="2024-03-08T00:00:00"/>
    <x v="0"/>
    <s v="IAS/BAS Preparation &amp; Lodgement - Feb"/>
    <n v="7.0000000000000007E-2"/>
    <x v="8"/>
    <s v="Yes"/>
    <s v="IAS - Feb 2024"/>
    <x v="1"/>
    <x v="0"/>
  </r>
  <r>
    <d v="2024-03-08T00:00:00"/>
    <x v="0"/>
    <s v="Payroll Processing"/>
    <n v="0.03"/>
    <x v="13"/>
    <s v="Yes"/>
    <m/>
    <x v="1"/>
    <x v="0"/>
  </r>
  <r>
    <d v="2024-03-08T00:00:00"/>
    <x v="0"/>
    <s v="Payroll Processing"/>
    <n v="0.03"/>
    <x v="6"/>
    <s v="Yes"/>
    <s v="Email"/>
    <x v="1"/>
    <x v="0"/>
  </r>
  <r>
    <d v="2024-03-08T00:00:00"/>
    <x v="0"/>
    <s v="Payroll Processing"/>
    <n v="0.05"/>
    <x v="12"/>
    <s v="Yes"/>
    <s v="Email"/>
    <x v="1"/>
    <x v="0"/>
  </r>
  <r>
    <d v="2024-03-08T00:00:00"/>
    <x v="1"/>
    <s v="P&amp;C Advisory - Group"/>
    <n v="0.33"/>
    <x v="14"/>
    <s v="Yes"/>
    <s v="Correspondence re. flexible working arrangements policy"/>
    <x v="1"/>
    <x v="0"/>
  </r>
  <r>
    <d v="2024-03-08T00:00:00"/>
    <x v="1"/>
    <s v="P&amp;C Advisory - Nederman PT"/>
    <n v="0.75"/>
    <x v="14"/>
    <s v="Yes"/>
    <s v="Weekly PT call"/>
    <x v="1"/>
    <x v="0"/>
  </r>
  <r>
    <d v="2024-03-08T00:00:00"/>
    <x v="1"/>
    <s v="P&amp;C Advisory - Nordfab"/>
    <n v="1.67"/>
    <x v="14"/>
    <s v="Yes"/>
    <s v="Calls with GM Calls with Drug and Alcohol testing provider Disciplinary meeting Correspondence re. Sales team and recruitment request Draft letter re. formal role change  "/>
    <x v="1"/>
    <x v="0"/>
  </r>
  <r>
    <d v="2024-03-08T00:00:00"/>
    <x v="2"/>
    <s v="Bookkeeping"/>
    <n v="0.15"/>
    <x v="67"/>
    <s v="Yes"/>
    <s v="archive loan accounts"/>
    <x v="1"/>
    <x v="0"/>
  </r>
  <r>
    <d v="2024-03-08T00:00:00"/>
    <x v="2"/>
    <s v="Bookkeeping"/>
    <n v="0.15"/>
    <x v="67"/>
    <s v="Yes"/>
    <s v="emails, update bank account details"/>
    <x v="1"/>
    <x v="0"/>
  </r>
  <r>
    <d v="2024-03-08T00:00:00"/>
    <x v="2"/>
    <s v="Bookkeeping"/>
    <n v="0.45"/>
    <x v="67"/>
    <s v="Yes"/>
    <s v="loans rec update"/>
    <x v="1"/>
    <x v="0"/>
  </r>
  <r>
    <d v="2024-03-08T00:00:00"/>
    <x v="2"/>
    <s v="Bookkeeping"/>
    <n v="0.95"/>
    <x v="33"/>
    <s v="Yes"/>
    <m/>
    <x v="1"/>
    <x v="0"/>
  </r>
  <r>
    <d v="2024-03-08T00:00:00"/>
    <x v="2"/>
    <s v="Bookkeeping"/>
    <n v="1.25"/>
    <x v="58"/>
    <s v="Yes"/>
    <m/>
    <x v="1"/>
    <x v="0"/>
  </r>
  <r>
    <d v="2024-03-08T00:00:00"/>
    <x v="2"/>
    <s v="Bookkeeping"/>
    <n v="1.48"/>
    <x v="67"/>
    <s v="Yes"/>
    <m/>
    <x v="1"/>
    <x v="0"/>
  </r>
  <r>
    <d v="2024-03-08T00:00:00"/>
    <x v="2"/>
    <s v="General"/>
    <n v="0.18"/>
    <x v="11"/>
    <s v="No"/>
    <s v="chats re staff concerns"/>
    <x v="1"/>
    <x v="0"/>
  </r>
  <r>
    <d v="2024-03-08T00:00:00"/>
    <x v="2"/>
    <s v="General"/>
    <n v="0.3"/>
    <x v="11"/>
    <s v="No"/>
    <s v="chats, follow ups, Asana, etc"/>
    <x v="1"/>
    <x v="0"/>
  </r>
  <r>
    <d v="2024-03-08T00:00:00"/>
    <x v="2"/>
    <s v="General"/>
    <n v="0.33"/>
    <x v="11"/>
    <s v="No"/>
    <s v="chats re staff concern"/>
    <x v="1"/>
    <x v="0"/>
  </r>
  <r>
    <d v="2024-03-08T00:00:00"/>
    <x v="2"/>
    <s v="General"/>
    <n v="0.4"/>
    <x v="11"/>
    <s v="No"/>
    <s v="chats, emails, follow up on response to Nick, etc"/>
    <x v="1"/>
    <x v="0"/>
  </r>
  <r>
    <d v="2024-03-08T00:00:00"/>
    <x v="2"/>
    <s v="General"/>
    <n v="0.93"/>
    <x v="11"/>
    <s v="No"/>
    <m/>
    <x v="1"/>
    <x v="0"/>
  </r>
  <r>
    <d v="2024-03-08T00:00:00"/>
    <x v="2"/>
    <s v="General"/>
    <n v="1.45"/>
    <x v="11"/>
    <s v="No"/>
    <s v="chats with CMs and directs re concerns, additional requirements, etc. coordinate client transfers, review and update capacity"/>
    <x v="1"/>
    <x v="0"/>
  </r>
  <r>
    <d v="2024-03-08T00:00:00"/>
    <x v="3"/>
    <s v="Annual Leave"/>
    <n v="4"/>
    <x v="11"/>
    <s v="No"/>
    <s v="Medical checkup (final leg of scans and consultation with Dr. at St. Luke's)"/>
    <x v="1"/>
    <x v="0"/>
  </r>
  <r>
    <d v="2024-03-08T00:00:00"/>
    <x v="3"/>
    <s v="Business Development"/>
    <n v="5"/>
    <x v="11"/>
    <s v="No"/>
    <s v="Continuation of flows /manual  * Review 2- AI data security FAQ data : to be transformed to simple language"/>
    <x v="1"/>
    <x v="0"/>
  </r>
  <r>
    <d v="2024-03-08T00:00:00"/>
    <x v="4"/>
    <s v="Business Development"/>
    <n v="8"/>
    <x v="11"/>
    <s v="No"/>
    <s v="Zoho tasks Networking"/>
    <x v="1"/>
    <x v="0"/>
  </r>
  <r>
    <d v="2024-03-08T00:00:00"/>
    <x v="5"/>
    <s v="Bookkeeping"/>
    <n v="0.75"/>
    <x v="15"/>
    <s v="Yes"/>
    <s v="Leave Reports and Balances "/>
    <x v="1"/>
    <x v="0"/>
  </r>
  <r>
    <d v="2024-03-08T00:00:00"/>
    <x v="5"/>
    <s v="Bookkeeping"/>
    <n v="1.62"/>
    <x v="15"/>
    <s v="Yes"/>
    <s v="February Month End Recs - Simpro Vs Xero"/>
    <x v="1"/>
    <x v="0"/>
  </r>
  <r>
    <d v="2024-03-08T00:00:00"/>
    <x v="5"/>
    <s v="Bookkeeping"/>
    <n v="1.67"/>
    <x v="15"/>
    <s v="Yes"/>
    <s v="Email Management "/>
    <x v="1"/>
    <x v="0"/>
  </r>
  <r>
    <d v="2024-03-08T00:00:00"/>
    <x v="5"/>
    <s v="Bookkeeping"/>
    <n v="4.22"/>
    <x v="15"/>
    <s v="Yes"/>
    <s v="AP Processing "/>
    <x v="1"/>
    <x v="0"/>
  </r>
  <r>
    <d v="2024-03-08T00:00:00"/>
    <x v="6"/>
    <s v="Automations"/>
    <n v="9"/>
    <x v="11"/>
    <s v="No"/>
    <s v="XeroDownloadReportsAutomation - updated Zoho Survey Form - added the following in the Profit and Loss Sequence  * Month / Year / Custom date and 'compare to previous periods'  * Cash vs accruals basis - added 'Uncoded Statement Lines' Sequence for all bank accounts across multiple entities"/>
    <x v="1"/>
    <x v="0"/>
  </r>
  <r>
    <d v="2024-03-08T00:00:00"/>
    <x v="8"/>
    <s v="Automations"/>
    <n v="6.5"/>
    <x v="11"/>
    <s v="No"/>
    <s v="Run four Alliance automations + AP automation; Conducted revision on newly added feature to make it more efficient in adding comments"/>
    <x v="1"/>
    <x v="0"/>
  </r>
  <r>
    <d v="2024-03-08T00:00:00"/>
    <x v="9"/>
    <s v="Automations - Alliance"/>
    <n v="9.1999999999999993"/>
    <x v="11"/>
    <s v="No"/>
    <s v="Alliance Report Automation additional functions development and testing."/>
    <x v="1"/>
    <x v="0"/>
  </r>
  <r>
    <d v="2024-03-08T00:00:00"/>
    <x v="10"/>
    <s v="Bookkeeping"/>
    <n v="0.5"/>
    <x v="50"/>
    <s v="No"/>
    <s v="Call with Kate re Oporto Newtown and other entities"/>
    <x v="1"/>
    <x v="0"/>
  </r>
  <r>
    <d v="2024-03-08T00:00:00"/>
    <x v="10"/>
    <s v="Bookkeeping"/>
    <n v="0.5"/>
    <x v="42"/>
    <s v="Yes"/>
    <s v="Bank recon, emails, bills, month end tasks"/>
    <x v="1"/>
    <x v="0"/>
  </r>
  <r>
    <d v="2024-03-08T00:00:00"/>
    <x v="10"/>
    <s v="Bookkeeping"/>
    <n v="0.57999999999999996"/>
    <x v="45"/>
    <s v="No"/>
    <s v="Re-watching handover video, checking the account, previous bills, call with Ge re some transactions"/>
    <x v="1"/>
    <x v="0"/>
  </r>
  <r>
    <d v="2024-03-08T00:00:00"/>
    <x v="10"/>
    <s v="Bookkeeping"/>
    <n v="0.83"/>
    <x v="49"/>
    <s v="Yes"/>
    <s v="Push bills from HubDoc, bank recon"/>
    <x v="1"/>
    <x v="0"/>
  </r>
  <r>
    <d v="2024-03-08T00:00:00"/>
    <x v="10"/>
    <s v="Bookkeeping"/>
    <n v="1.25"/>
    <x v="45"/>
    <s v="Yes"/>
    <s v="Bank recon"/>
    <x v="1"/>
    <x v="0"/>
  </r>
  <r>
    <d v="2024-03-08T00:00:00"/>
    <x v="10"/>
    <s v="Bookkeeping"/>
    <n v="1.67"/>
    <x v="21"/>
    <s v="Yes"/>
    <s v="Loading bills, bank recon"/>
    <x v="1"/>
    <x v="0"/>
  </r>
  <r>
    <d v="2024-03-08T00:00:00"/>
    <x v="10"/>
    <s v="Bookkeeping"/>
    <n v="2.17"/>
    <x v="23"/>
    <s v="Yes"/>
    <s v="Emails, loading bills, bank recon, AP payment, IAS report"/>
    <x v="1"/>
    <x v="0"/>
  </r>
  <r>
    <d v="2024-03-08T00:00:00"/>
    <x v="10"/>
    <s v="General"/>
    <n v="0.5"/>
    <x v="11"/>
    <s v="No"/>
    <s v="break"/>
    <x v="1"/>
    <x v="0"/>
  </r>
  <r>
    <d v="2024-03-08T00:00:00"/>
    <x v="11"/>
    <s v="Bookkeeping"/>
    <n v="0.33"/>
    <x v="25"/>
    <s v="Yes"/>
    <s v="queries"/>
    <x v="1"/>
    <x v="0"/>
  </r>
  <r>
    <d v="2024-03-08T00:00:00"/>
    <x v="11"/>
    <s v="Bookkeeping"/>
    <n v="0.35"/>
    <x v="27"/>
    <s v="Yes"/>
    <s v="queries"/>
    <x v="1"/>
    <x v="0"/>
  </r>
  <r>
    <d v="2024-03-08T00:00:00"/>
    <x v="11"/>
    <s v="Bookkeeping"/>
    <n v="0.52"/>
    <x v="42"/>
    <s v="Yes"/>
    <s v="MET"/>
    <x v="1"/>
    <x v="0"/>
  </r>
  <r>
    <d v="2024-03-08T00:00:00"/>
    <x v="11"/>
    <s v="Bookkeeping"/>
    <n v="0.63"/>
    <x v="27"/>
    <s v="Yes"/>
    <s v="Forecast report email to John, call w/Jim"/>
    <x v="1"/>
    <x v="0"/>
  </r>
  <r>
    <d v="2024-03-08T00:00:00"/>
    <x v="11"/>
    <s v="Bookkeeping - Bank Recs"/>
    <n v="0.37"/>
    <x v="31"/>
    <s v="Yes"/>
    <s v="review/emails"/>
    <x v="1"/>
    <x v="0"/>
  </r>
  <r>
    <d v="2024-03-08T00:00:00"/>
    <x v="11"/>
    <s v="General"/>
    <n v="0.5"/>
    <x v="11"/>
    <s v="No"/>
    <s v="break"/>
    <x v="1"/>
    <x v="0"/>
  </r>
  <r>
    <d v="2024-03-08T00:00:00"/>
    <x v="11"/>
    <s v="General"/>
    <n v="0.56999999999999995"/>
    <x v="11"/>
    <s v="No"/>
    <s v="inbox/ seminar/ queries"/>
    <x v="1"/>
    <x v="0"/>
  </r>
  <r>
    <d v="2024-03-08T00:00:00"/>
    <x v="11"/>
    <s v="General"/>
    <n v="0.62"/>
    <x v="11"/>
    <s v="No"/>
    <s v="emails/ queries/ reminders/ Sprout"/>
    <x v="1"/>
    <x v="0"/>
  </r>
  <r>
    <d v="2024-03-08T00:00:00"/>
    <x v="11"/>
    <s v="General"/>
    <n v="0.87"/>
    <x v="11"/>
    <s v="No"/>
    <s v="socials/ teams/ Gen Ledgers Exceptions/ queries"/>
    <x v="1"/>
    <x v="0"/>
  </r>
  <r>
    <d v="2024-03-08T00:00:00"/>
    <x v="11"/>
    <s v="Learning &amp; Development"/>
    <n v="0.17"/>
    <x v="11"/>
    <s v="No"/>
    <s v="Gen Ledger Exceptions queries"/>
    <x v="1"/>
    <x v="0"/>
  </r>
  <r>
    <d v="2024-03-08T00:00:00"/>
    <x v="11"/>
    <s v="Learning &amp; Development"/>
    <n v="1.27"/>
    <x v="11"/>
    <s v="No"/>
    <s v="Fathom"/>
    <x v="1"/>
    <x v="0"/>
  </r>
  <r>
    <d v="2024-03-08T00:00:00"/>
    <x v="11"/>
    <s v="Learning &amp; Development"/>
    <n v="1.82"/>
    <x v="11"/>
    <s v="No"/>
    <s v="Arriva: The Employee Relations Revolution: Why It Matters &amp; 24 Game-Changing Strategies to Improve It"/>
    <x v="1"/>
    <x v="0"/>
  </r>
  <r>
    <d v="2024-03-08T00:00:00"/>
    <x v="12"/>
    <s v="Bookkeeping"/>
    <n v="0.33"/>
    <x v="15"/>
    <s v="Yes"/>
    <e v="#NAME?"/>
    <x v="1"/>
    <x v="0"/>
  </r>
  <r>
    <d v="2024-03-08T00:00:00"/>
    <x v="12"/>
    <s v="General"/>
    <n v="1.02"/>
    <x v="11"/>
    <s v="No"/>
    <e v="#NAME?"/>
    <x v="1"/>
    <x v="0"/>
  </r>
  <r>
    <d v="2024-03-08T00:00:00"/>
    <x v="12"/>
    <s v="General"/>
    <n v="7.95"/>
    <x v="11"/>
    <s v="No"/>
    <e v="#NAME?"/>
    <x v="1"/>
    <x v="0"/>
  </r>
  <r>
    <d v="2024-03-08T00:00:00"/>
    <x v="13"/>
    <s v="Bookkeeping"/>
    <n v="0.35"/>
    <x v="28"/>
    <s v="No"/>
    <s v="checking process bank transactions"/>
    <x v="1"/>
    <x v="0"/>
  </r>
  <r>
    <d v="2024-03-08T00:00:00"/>
    <x v="13"/>
    <s v="Bookkeeping"/>
    <n v="0.53"/>
    <x v="30"/>
    <s v="Yes"/>
    <s v="Bank recon"/>
    <x v="1"/>
    <x v="0"/>
  </r>
  <r>
    <d v="2024-03-08T00:00:00"/>
    <x v="13"/>
    <s v="Bookkeeping"/>
    <n v="0.78"/>
    <x v="30"/>
    <s v="Yes"/>
    <s v="process AP payments emails"/>
    <x v="1"/>
    <x v="0"/>
  </r>
  <r>
    <d v="2024-03-08T00:00:00"/>
    <x v="13"/>
    <s v="Bookkeeping"/>
    <n v="0.83"/>
    <x v="30"/>
    <s v="Yes"/>
    <s v="AP payment"/>
    <x v="1"/>
    <x v="0"/>
  </r>
  <r>
    <d v="2024-03-08T00:00:00"/>
    <x v="13"/>
    <s v="Bookkeeping"/>
    <n v="1.7"/>
    <x v="28"/>
    <s v="Yes"/>
    <s v="bank transactions training with Ms.Rose"/>
    <x v="1"/>
    <x v="0"/>
  </r>
  <r>
    <d v="2024-03-08T00:00:00"/>
    <x v="13"/>
    <s v="Bookkeeping - AP"/>
    <n v="0.22"/>
    <x v="31"/>
    <s v="Yes"/>
    <s v="send remittances"/>
    <x v="1"/>
    <x v="0"/>
  </r>
  <r>
    <d v="2024-03-08T00:00:00"/>
    <x v="13"/>
    <s v="Bookkeeping - AP"/>
    <n v="1.3"/>
    <x v="31"/>
    <s v="Yes"/>
    <s v="ap report for payment"/>
    <x v="1"/>
    <x v="0"/>
  </r>
  <r>
    <d v="2024-03-08T00:00:00"/>
    <x v="13"/>
    <s v="Bookkeeping - AP"/>
    <n v="1.45"/>
    <x v="31"/>
    <s v="Yes"/>
    <s v="export aba files"/>
    <x v="1"/>
    <x v="0"/>
  </r>
  <r>
    <d v="2024-03-08T00:00:00"/>
    <x v="13"/>
    <s v="General"/>
    <n v="0.33"/>
    <x v="11"/>
    <s v="No"/>
    <s v="call with Ms,Ef "/>
    <x v="1"/>
    <x v="0"/>
  </r>
  <r>
    <d v="2024-03-08T00:00:00"/>
    <x v="13"/>
    <s v="General"/>
    <n v="0.5"/>
    <x v="11"/>
    <s v="No"/>
    <s v="break"/>
    <x v="1"/>
    <x v="0"/>
  </r>
  <r>
    <d v="2024-03-08T00:00:00"/>
    <x v="14"/>
    <s v="Bookkeeping"/>
    <n v="0.13"/>
    <x v="73"/>
    <s v="Yes"/>
    <s v="Exporting IAS report"/>
    <x v="1"/>
    <x v="0"/>
  </r>
  <r>
    <d v="2024-03-08T00:00:00"/>
    <x v="14"/>
    <s v="Bookkeeping"/>
    <n v="0.2"/>
    <x v="78"/>
    <s v="Yes"/>
    <s v="BAnk recs"/>
    <x v="1"/>
    <x v="0"/>
  </r>
  <r>
    <d v="2024-03-08T00:00:00"/>
    <x v="14"/>
    <s v="Bookkeeping"/>
    <n v="0.48"/>
    <x v="25"/>
    <s v="No"/>
    <s v="Exploring Mayday app for reconciling intercompany accounts"/>
    <x v="1"/>
    <x v="0"/>
  </r>
  <r>
    <d v="2024-03-08T00:00:00"/>
    <x v="14"/>
    <s v="Bookkeeping"/>
    <n v="2.25"/>
    <x v="73"/>
    <s v="Yes"/>
    <s v="Checking overpayments, invoices, manual journals"/>
    <x v="1"/>
    <x v="0"/>
  </r>
  <r>
    <d v="2024-03-08T00:00:00"/>
    <x v="14"/>
    <s v="General"/>
    <n v="0.78"/>
    <x v="11"/>
    <s v="No"/>
    <s v="Checking emails, asana, responding to training evaluation forms"/>
    <x v="1"/>
    <x v="0"/>
  </r>
  <r>
    <d v="2024-03-08T00:00:00"/>
    <x v="14"/>
    <s v="Management Reporting"/>
    <n v="1"/>
    <x v="73"/>
    <s v="Yes"/>
    <s v="Month-end report"/>
    <x v="1"/>
    <x v="0"/>
  </r>
  <r>
    <d v="2024-03-08T00:00:00"/>
    <x v="14"/>
    <s v="Management Reporting"/>
    <n v="2.12"/>
    <x v="73"/>
    <s v="Yes"/>
    <s v="Month-end reports"/>
    <x v="1"/>
    <x v="0"/>
  </r>
  <r>
    <d v="2024-03-08T00:00:00"/>
    <x v="14"/>
    <s v="Payroll Processing"/>
    <n v="1.68"/>
    <x v="34"/>
    <s v="Yes"/>
    <s v="PAYG Rec, checking employee earnings"/>
    <x v="1"/>
    <x v="0"/>
  </r>
  <r>
    <d v="2024-03-08T00:00:00"/>
    <x v="15"/>
    <s v="Bookkeeping"/>
    <n v="0.72"/>
    <x v="50"/>
    <s v="Yes"/>
    <s v="Add loan to chart, and to warrawong email kate on the setup update for newtown"/>
    <x v="1"/>
    <x v="0"/>
  </r>
  <r>
    <d v="2024-03-08T00:00:00"/>
    <x v="15"/>
    <s v="Bookkeeping"/>
    <n v="2.37"/>
    <x v="50"/>
    <s v="Yes"/>
    <m/>
    <x v="1"/>
    <x v="0"/>
  </r>
  <r>
    <d v="2024-03-08T00:00:00"/>
    <x v="15"/>
    <s v="Client Meeting"/>
    <n v="0.45"/>
    <x v="66"/>
    <s v="Yes"/>
    <s v="email client"/>
    <x v="1"/>
    <x v="0"/>
  </r>
  <r>
    <d v="2024-03-08T00:00:00"/>
    <x v="15"/>
    <s v="General"/>
    <n v="0.18"/>
    <x v="11"/>
    <s v="No"/>
    <s v="emails, asana, xpm"/>
    <x v="1"/>
    <x v="0"/>
  </r>
  <r>
    <d v="2024-03-08T00:00:00"/>
    <x v="15"/>
    <s v="Management Reporting"/>
    <n v="0.43"/>
    <x v="35"/>
    <s v="No"/>
    <s v="assist Rac with month end - answer queries"/>
    <x v="1"/>
    <x v="0"/>
  </r>
  <r>
    <d v="2024-03-08T00:00:00"/>
    <x v="15"/>
    <s v="Management Reporting"/>
    <n v="0.87"/>
    <x v="35"/>
    <s v="No"/>
    <s v="assist Rac - dashboard report"/>
    <x v="1"/>
    <x v="0"/>
  </r>
  <r>
    <d v="2024-03-08T00:00:00"/>
    <x v="15"/>
    <s v="Out-of-Scope Services"/>
    <n v="1.05"/>
    <x v="50"/>
    <s v="Yes"/>
    <s v="Pinnacle new store - new town setup"/>
    <x v="1"/>
    <x v="0"/>
  </r>
  <r>
    <d v="2024-03-08T00:00:00"/>
    <x v="15"/>
    <s v="Payroll Processing"/>
    <n v="0.8"/>
    <x v="66"/>
    <s v="Yes"/>
    <s v="feb lodgement"/>
    <x v="1"/>
    <x v="0"/>
  </r>
  <r>
    <d v="2024-03-08T00:00:00"/>
    <x v="15"/>
    <s v="Payroll Processing"/>
    <n v="1.1299999999999999"/>
    <x v="66"/>
    <s v="Yes"/>
    <s v="SNZL NZ PAYE Lodgement"/>
    <x v="1"/>
    <x v="0"/>
  </r>
  <r>
    <d v="2024-03-08T00:00:00"/>
    <x v="16"/>
    <s v="Bookkeeping"/>
    <n v="7.57"/>
    <x v="35"/>
    <s v="Yes"/>
    <m/>
    <x v="1"/>
    <x v="0"/>
  </r>
  <r>
    <d v="2024-03-08T00:00:00"/>
    <x v="16"/>
    <s v="IAS/BAS Preparation &amp; Lodgement - Feb"/>
    <n v="0.22"/>
    <x v="74"/>
    <s v="Yes"/>
    <m/>
    <x v="1"/>
    <x v="0"/>
  </r>
  <r>
    <d v="2024-03-08T00:00:00"/>
    <x v="16"/>
    <s v="Payroll Processing"/>
    <n v="0.2"/>
    <x v="75"/>
    <s v="Yes"/>
    <m/>
    <x v="1"/>
    <x v="0"/>
  </r>
  <r>
    <d v="2024-03-08T00:00:00"/>
    <x v="18"/>
    <s v="Bookkeeping"/>
    <n v="0.5"/>
    <x v="41"/>
    <s v="Yes"/>
    <s v="Bank rec, finalise bs rec"/>
    <x v="1"/>
    <x v="0"/>
  </r>
  <r>
    <d v="2024-03-08T00:00:00"/>
    <x v="18"/>
    <s v="Bookkeeping"/>
    <n v="1"/>
    <x v="37"/>
    <s v="Yes"/>
    <m/>
    <x v="1"/>
    <x v="0"/>
  </r>
  <r>
    <d v="2024-03-08T00:00:00"/>
    <x v="18"/>
    <s v="Bookkeeping"/>
    <n v="1.1499999999999999"/>
    <x v="27"/>
    <s v="Yes"/>
    <m/>
    <x v="1"/>
    <x v="0"/>
  </r>
  <r>
    <d v="2024-03-08T00:00:00"/>
    <x v="18"/>
    <s v="Bookkeeping"/>
    <n v="1.1499999999999999"/>
    <x v="27"/>
    <s v="Yes"/>
    <s v="bank recon, ap items, finalise BS rec"/>
    <x v="1"/>
    <x v="0"/>
  </r>
  <r>
    <d v="2024-03-08T00:00:00"/>
    <x v="18"/>
    <s v="Bookkeeping"/>
    <n v="2.5299999999999998"/>
    <x v="40"/>
    <s v="Yes"/>
    <m/>
    <x v="1"/>
    <x v="0"/>
  </r>
  <r>
    <d v="2024-03-08T00:00:00"/>
    <x v="18"/>
    <s v="Learning &amp; Development"/>
    <n v="0.25"/>
    <x v="11"/>
    <s v="No"/>
    <s v="Wyzed - wip"/>
    <x v="1"/>
    <x v="0"/>
  </r>
  <r>
    <d v="2024-03-08T00:00:00"/>
    <x v="18"/>
    <s v="Learning &amp; Development"/>
    <n v="0.5"/>
    <x v="11"/>
    <s v="No"/>
    <s v="Wyzed TPAR"/>
    <x v="1"/>
    <x v="0"/>
  </r>
  <r>
    <d v="2024-03-08T00:00:00"/>
    <x v="18"/>
    <s v="Learning &amp; Development"/>
    <n v="0.95"/>
    <x v="11"/>
    <s v="No"/>
    <s v="Wyzed Payroll Tax"/>
    <x v="1"/>
    <x v="0"/>
  </r>
  <r>
    <d v="2024-03-08T00:00:00"/>
    <x v="19"/>
    <s v="Automations - Surefire"/>
    <n v="8"/>
    <x v="11"/>
    <s v="No"/>
    <s v="SureFire Services Automation."/>
    <x v="1"/>
    <x v="0"/>
  </r>
  <r>
    <d v="2024-03-08T00:00:00"/>
    <x v="20"/>
    <s v="Automations"/>
    <n v="6"/>
    <x v="11"/>
    <s v="No"/>
    <m/>
    <x v="1"/>
    <x v="0"/>
  </r>
  <r>
    <d v="2024-03-08T00:00:00"/>
    <x v="20"/>
    <s v="Automations - Skylife"/>
    <n v="2"/>
    <x v="11"/>
    <s v="No"/>
    <m/>
    <x v="1"/>
    <x v="0"/>
  </r>
  <r>
    <d v="2024-03-08T00:00:00"/>
    <x v="21"/>
    <s v="Automations"/>
    <n v="8"/>
    <x v="11"/>
    <s v="No"/>
    <s v="Run: Lack of Color Run: Cash raw - January to February 2024 Dev: Oporto Automation"/>
    <x v="1"/>
    <x v="0"/>
  </r>
  <r>
    <d v="2024-03-08T00:00:00"/>
    <x v="22"/>
    <s v="Bookkeeping"/>
    <n v="7.0000000000000007E-2"/>
    <x v="20"/>
    <s v="Yes"/>
    <s v="Add opening / closing stock journals back to first month of trading"/>
    <x v="1"/>
    <x v="0"/>
  </r>
  <r>
    <d v="2024-03-08T00:00:00"/>
    <x v="22"/>
    <s v="Bookkeeping"/>
    <n v="0.25"/>
    <x v="19"/>
    <s v="Yes"/>
    <s v="Add journals for stock held back to October to 'fix' figures"/>
    <x v="1"/>
    <x v="0"/>
  </r>
  <r>
    <d v="2024-03-08T00:00:00"/>
    <x v="22"/>
    <s v="Bookkeeping"/>
    <n v="0.63"/>
    <x v="42"/>
    <s v="Yes"/>
    <s v="Review bank queries and AP Email to Lucia re tax returns Email to Nine re agreement informaiton etc."/>
    <x v="1"/>
    <x v="0"/>
  </r>
  <r>
    <d v="2024-03-08T00:00:00"/>
    <x v="22"/>
    <s v="Bookkeeping"/>
    <n v="1.72"/>
    <x v="50"/>
    <s v="Yes"/>
    <s v="Rerun bank reconciliation queries and send to Eric as 'fresh' email Liaise with Jordan re report automation OPORTO NEWTOWN - summary"/>
    <x v="1"/>
    <x v="0"/>
  </r>
  <r>
    <d v="2024-03-08T00:00:00"/>
    <x v="22"/>
    <s v="Client Admin"/>
    <n v="0.23"/>
    <x v="11"/>
    <s v="No"/>
    <s v="Check RSVP derregistration of GST group - email to Gen to ask her to call ATO on this"/>
    <x v="1"/>
    <x v="0"/>
  </r>
  <r>
    <d v="2024-03-08T00:00:00"/>
    <x v="22"/>
    <s v="Client Admin"/>
    <n v="0.28000000000000003"/>
    <x v="11"/>
    <s v="No"/>
    <s v="Message to Ann re Ef / Pinnacle resourcing"/>
    <x v="1"/>
    <x v="0"/>
  </r>
  <r>
    <d v="2024-03-08T00:00:00"/>
    <x v="22"/>
    <s v="Client Admin"/>
    <n v="0.32"/>
    <x v="11"/>
    <s v="No"/>
    <s v="Nephew Brand - email to Aaron, confirm fees.  Messages to Aileen and client delivery chat group"/>
    <x v="1"/>
    <x v="0"/>
  </r>
  <r>
    <d v="2024-03-08T00:00:00"/>
    <x v="22"/>
    <s v="Client Admin"/>
    <n v="0.92"/>
    <x v="11"/>
    <s v="No"/>
    <s v="Teams chats with delivery team re oporto and Ann re Ef capacity Chat with Ef re capacity "/>
    <x v="1"/>
    <x v="0"/>
  </r>
  <r>
    <d v="2024-03-08T00:00:00"/>
    <x v="22"/>
    <s v="Client Manager"/>
    <n v="7.0000000000000007E-2"/>
    <x v="44"/>
    <s v="Yes"/>
    <s v="Check email/ respond re bank account"/>
    <x v="1"/>
    <x v="0"/>
  </r>
  <r>
    <d v="2024-03-08T00:00:00"/>
    <x v="22"/>
    <s v="Client Manager"/>
    <n v="0.25"/>
    <x v="50"/>
    <s v="Yes"/>
    <s v="OPORTO NEWTOWN - liaise with Nica re setup tasks required.  Add users to new Xero file"/>
    <x v="1"/>
    <x v="0"/>
  </r>
  <r>
    <d v="2024-03-08T00:00:00"/>
    <x v="22"/>
    <s v="Client Manager"/>
    <n v="0.25"/>
    <x v="34"/>
    <s v="Yes"/>
    <s v="Meeting with Jordan re oncost journal automation"/>
    <x v="1"/>
    <x v="0"/>
  </r>
  <r>
    <d v="2024-03-08T00:00:00"/>
    <x v="22"/>
    <s v="Client Meeting"/>
    <n v="0.17"/>
    <x v="18"/>
    <s v="No"/>
    <s v="Trying to contact client to follow up from meeting - phone call and text message, message to Nica"/>
    <x v="1"/>
    <x v="0"/>
  </r>
  <r>
    <d v="2024-03-08T00:00:00"/>
    <x v="22"/>
    <s v="Client Meeting"/>
    <n v="0.42"/>
    <x v="20"/>
    <s v="Yes"/>
    <s v="Call with Eric and discuss Newtown store"/>
    <x v="1"/>
    <x v="0"/>
  </r>
  <r>
    <d v="2024-03-08T00:00:00"/>
    <x v="22"/>
    <s v="General"/>
    <n v="0.57999999999999996"/>
    <x v="11"/>
    <s v="No"/>
    <s v="Meeting with Nica - update Mayday access, review Mayday and discuss Pinnacle intercompany loans"/>
    <x v="1"/>
    <x v="0"/>
  </r>
  <r>
    <d v="2024-03-08T00:00:00"/>
    <x v="22"/>
    <s v="IAS/BAS Preparation &amp; Lodgement - Feb"/>
    <n v="0.18"/>
    <x v="90"/>
    <s v="Yes"/>
    <s v="Revieew payroll / wages - update repeating journal.  Add AL journals for Jan / Feb and add monthly task."/>
    <x v="1"/>
    <x v="0"/>
  </r>
  <r>
    <d v="2024-03-08T00:00:00"/>
    <x v="22"/>
    <s v="Payroll Processing"/>
    <n v="0.12"/>
    <x v="34"/>
    <s v="Yes"/>
    <s v="Emails"/>
    <x v="1"/>
    <x v="0"/>
  </r>
  <r>
    <d v="2024-03-08T00:00:00"/>
    <x v="23"/>
    <s v="Client Meeting"/>
    <n v="0.1"/>
    <x v="33"/>
    <s v="Yes"/>
    <s v="Attending to queries"/>
    <x v="1"/>
    <x v="0"/>
  </r>
  <r>
    <d v="2024-03-08T00:00:00"/>
    <x v="23"/>
    <s v="General"/>
    <n v="0.25"/>
    <x v="11"/>
    <s v="No"/>
    <s v="AFTERNOON Break: 15 mins coffee breaks as paid per Labor Code of the Philippines, Article 85"/>
    <x v="1"/>
    <x v="0"/>
  </r>
  <r>
    <d v="2024-03-08T00:00:00"/>
    <x v="23"/>
    <s v="General"/>
    <n v="0.25"/>
    <x v="11"/>
    <s v="No"/>
    <s v="MORNING Break: 15 mins coffee breaks as paid per Labor Code of the Philippines, Article 85."/>
    <x v="1"/>
    <x v="0"/>
  </r>
  <r>
    <d v="2024-03-08T00:00:00"/>
    <x v="23"/>
    <s v="General"/>
    <n v="0.93"/>
    <x v="11"/>
    <s v="No"/>
    <s v="&gt;CoffeeBreak &gt;chat with Nick &gt;Reading Ann's Team Activity - Outing &gt;Generating report requested by Princess and Gen &gt;Other adhoc"/>
    <x v="1"/>
    <x v="0"/>
  </r>
  <r>
    <d v="2024-03-08T00:00:00"/>
    <x v="23"/>
    <s v="General"/>
    <n v="2.2799999999999998"/>
    <x v="11"/>
    <s v="No"/>
    <s v="&gt;catch up with RJ &gt;Responding to Jordan queries &gt;Helping and Continuation of GEn report ( Master list ) &gt;Responding to Aileen Queries &gt;Responding to Cess Queries &gt;Responding to Kate emails &gt;checking of XPM &gt;Email"/>
    <x v="1"/>
    <x v="0"/>
  </r>
  <r>
    <d v="2024-03-08T00:00:00"/>
    <x v="23"/>
    <s v="IAS/BAS Preparation &amp; Lodgement - Feb"/>
    <n v="0.05"/>
    <x v="16"/>
    <s v="Yes"/>
    <m/>
    <x v="1"/>
    <x v="0"/>
  </r>
  <r>
    <d v="2024-03-08T00:00:00"/>
    <x v="23"/>
    <s v="IAS/BAS Preparation &amp; Lodgement - Feb"/>
    <n v="0.05"/>
    <x v="99"/>
    <s v="Yes"/>
    <m/>
    <x v="1"/>
    <x v="0"/>
  </r>
  <r>
    <d v="2024-03-08T00:00:00"/>
    <x v="23"/>
    <s v="IAS/BAS Preparation &amp; Lodgement - Feb"/>
    <n v="0.05"/>
    <x v="4"/>
    <s v="Yes"/>
    <m/>
    <x v="1"/>
    <x v="0"/>
  </r>
  <r>
    <d v="2024-03-08T00:00:00"/>
    <x v="23"/>
    <s v="IAS/BAS Preparation &amp; Lodgement - Feb"/>
    <n v="0.05"/>
    <x v="73"/>
    <s v="Yes"/>
    <m/>
    <x v="1"/>
    <x v="0"/>
  </r>
  <r>
    <d v="2024-03-08T00:00:00"/>
    <x v="23"/>
    <s v="IAS/BAS Preparation &amp; Lodgement - Feb"/>
    <n v="0.05"/>
    <x v="30"/>
    <s v="Yes"/>
    <m/>
    <x v="1"/>
    <x v="0"/>
  </r>
  <r>
    <d v="2024-03-08T00:00:00"/>
    <x v="23"/>
    <s v="IAS/BAS Preparation &amp; Lodgement - Feb"/>
    <n v="0.05"/>
    <x v="30"/>
    <s v="Yes"/>
    <s v="IAS"/>
    <x v="1"/>
    <x v="0"/>
  </r>
  <r>
    <d v="2024-03-08T00:00:00"/>
    <x v="23"/>
    <s v="IAS/BAS Preparation &amp; Lodgement - Feb"/>
    <n v="0.05"/>
    <x v="100"/>
    <s v="Yes"/>
    <m/>
    <x v="1"/>
    <x v="0"/>
  </r>
  <r>
    <d v="2024-03-08T00:00:00"/>
    <x v="23"/>
    <s v="IAS/BAS Preparation &amp; Lodgement - Feb"/>
    <n v="7.0000000000000007E-2"/>
    <x v="4"/>
    <s v="Yes"/>
    <s v="IAS"/>
    <x v="1"/>
    <x v="0"/>
  </r>
  <r>
    <d v="2024-03-08T00:00:00"/>
    <x v="23"/>
    <s v="IAS/BAS Preparation &amp; Lodgement - Feb"/>
    <n v="0.08"/>
    <x v="16"/>
    <s v="Yes"/>
    <s v="IAS"/>
    <x v="1"/>
    <x v="0"/>
  </r>
  <r>
    <d v="2024-03-08T00:00:00"/>
    <x v="23"/>
    <s v="IAS/BAS Preparation &amp; Lodgement - Feb"/>
    <n v="0.08"/>
    <x v="99"/>
    <s v="Yes"/>
    <s v="IAS"/>
    <x v="1"/>
    <x v="0"/>
  </r>
  <r>
    <d v="2024-03-08T00:00:00"/>
    <x v="23"/>
    <s v="IAS/BAS Preparation &amp; Lodgement - Feb"/>
    <n v="0.1"/>
    <x v="73"/>
    <s v="Yes"/>
    <s v="IAS"/>
    <x v="1"/>
    <x v="0"/>
  </r>
  <r>
    <d v="2024-03-08T00:00:00"/>
    <x v="23"/>
    <s v="IAS/BAS Preparation &amp; Lodgement - Feb"/>
    <n v="0.12"/>
    <x v="36"/>
    <s v="Yes"/>
    <s v="IAS"/>
    <x v="1"/>
    <x v="0"/>
  </r>
  <r>
    <d v="2024-03-08T00:00:00"/>
    <x v="23"/>
    <s v="IAS/BAS Preparation &amp; Lodgement - Feb"/>
    <n v="0.12"/>
    <x v="63"/>
    <s v="Yes"/>
    <s v="IAS"/>
    <x v="1"/>
    <x v="0"/>
  </r>
  <r>
    <d v="2024-03-08T00:00:00"/>
    <x v="23"/>
    <s v="IAS/BAS Preparation &amp; Lodgement - Feb"/>
    <n v="0.12"/>
    <x v="100"/>
    <s v="Yes"/>
    <s v="ias"/>
    <x v="1"/>
    <x v="0"/>
  </r>
  <r>
    <d v="2024-03-08T00:00:00"/>
    <x v="23"/>
    <s v="IAS/BAS Preparation &amp; Lodgement - Feb"/>
    <n v="0.13"/>
    <x v="27"/>
    <s v="Yes"/>
    <s v="IAS"/>
    <x v="1"/>
    <x v="0"/>
  </r>
  <r>
    <d v="2024-03-08T00:00:00"/>
    <x v="23"/>
    <s v="IAS/BAS Preparation &amp; Lodgement - Feb"/>
    <n v="0.15"/>
    <x v="23"/>
    <s v="Yes"/>
    <s v="IAS"/>
    <x v="1"/>
    <x v="0"/>
  </r>
  <r>
    <d v="2024-03-08T00:00:00"/>
    <x v="23"/>
    <s v="IAS/BAS Preparation &amp; Lodgement - Feb"/>
    <n v="0.15"/>
    <x v="74"/>
    <s v="Yes"/>
    <s v="IAS"/>
    <x v="1"/>
    <x v="0"/>
  </r>
  <r>
    <d v="2024-03-08T00:00:00"/>
    <x v="23"/>
    <s v="IT"/>
    <n v="0.27"/>
    <x v="11"/>
    <s v="No"/>
    <s v="Updating and fixing Zoom meeting"/>
    <x v="1"/>
    <x v="0"/>
  </r>
  <r>
    <d v="2024-03-08T00:00:00"/>
    <x v="23"/>
    <s v="Learning &amp; Development"/>
    <n v="0.23"/>
    <x v="11"/>
    <s v="No"/>
    <s v="General Exception list reason column sent by Xavi"/>
    <x v="1"/>
    <x v="0"/>
  </r>
  <r>
    <d v="2024-03-08T00:00:00"/>
    <x v="23"/>
    <s v="Learning &amp; Development"/>
    <n v="0.6"/>
    <x v="11"/>
    <s v="No"/>
    <s v="Reading Exception reason link provided by Xavi"/>
    <x v="1"/>
    <x v="0"/>
  </r>
  <r>
    <d v="2024-03-08T00:00:00"/>
    <x v="23"/>
    <s v="Learning &amp; Development"/>
    <n v="1.63"/>
    <x v="11"/>
    <s v="No"/>
    <s v="Training: The employee relationship revolution sent by Xavi. "/>
    <x v="1"/>
    <x v="0"/>
  </r>
  <r>
    <d v="2024-03-08T00:00:00"/>
    <x v="24"/>
    <s v="Bookkeeping"/>
    <n v="0.53"/>
    <x v="46"/>
    <s v="Yes"/>
    <m/>
    <x v="1"/>
    <x v="0"/>
  </r>
  <r>
    <d v="2024-03-08T00:00:00"/>
    <x v="24"/>
    <s v="Bookkeeping"/>
    <n v="7.48"/>
    <x v="15"/>
    <s v="Yes"/>
    <m/>
    <x v="1"/>
    <x v="0"/>
  </r>
  <r>
    <d v="2024-03-08T00:00:00"/>
    <x v="24"/>
    <s v="General"/>
    <n v="0.08"/>
    <x v="11"/>
    <s v="No"/>
    <s v="Asana. e,ails"/>
    <x v="1"/>
    <x v="0"/>
  </r>
  <r>
    <d v="2024-03-08T00:00:00"/>
    <x v="26"/>
    <s v="Adhoc Support &amp; Advice"/>
    <n v="1"/>
    <x v="15"/>
    <s v="No"/>
    <s v="Recon"/>
    <x v="1"/>
    <x v="0"/>
  </r>
  <r>
    <d v="2024-03-08T00:00:00"/>
    <x v="26"/>
    <s v="Debt Collection"/>
    <n v="1"/>
    <x v="11"/>
    <s v="Yes"/>
    <m/>
    <x v="1"/>
    <x v="0"/>
  </r>
  <r>
    <d v="2024-03-08T00:00:00"/>
    <x v="26"/>
    <s v="Debt Collection"/>
    <n v="3"/>
    <x v="15"/>
    <s v="Yes"/>
    <m/>
    <x v="1"/>
    <x v="0"/>
  </r>
  <r>
    <d v="2024-03-08T00:00:00"/>
    <x v="26"/>
    <s v="General"/>
    <n v="0.5"/>
    <x v="11"/>
    <s v="No"/>
    <s v="break"/>
    <x v="1"/>
    <x v="0"/>
  </r>
  <r>
    <d v="2024-03-08T00:00:00"/>
    <x v="26"/>
    <s v="General"/>
    <n v="2.5"/>
    <x v="11"/>
    <s v="No"/>
    <s v="wyzed, refund Aranas"/>
    <x v="1"/>
    <x v="0"/>
  </r>
  <r>
    <d v="2024-03-08T00:00:00"/>
    <x v="27"/>
    <s v="Management Reporting"/>
    <n v="3.93"/>
    <x v="11"/>
    <s v="No"/>
    <s v="month-end / handover"/>
    <x v="1"/>
    <x v="0"/>
  </r>
  <r>
    <d v="2024-03-08T00:00:00"/>
    <x v="27"/>
    <s v="Management Reporting"/>
    <n v="5.23"/>
    <x v="11"/>
    <s v="No"/>
    <s v="month-end / handover / arranging various deliveries legal docs / BIR Payment"/>
    <x v="1"/>
    <x v="0"/>
  </r>
  <r>
    <d v="2024-03-08T00:00:00"/>
    <x v="28"/>
    <s v="Bookkeeping"/>
    <n v="0.3"/>
    <x v="101"/>
    <s v="Yes"/>
    <s v="Weekly bookkeeping "/>
    <x v="1"/>
    <x v="0"/>
  </r>
  <r>
    <d v="2024-03-08T00:00:00"/>
    <x v="28"/>
    <s v="Bookkeeping"/>
    <n v="1.68"/>
    <x v="57"/>
    <s v="Yes"/>
    <s v="Check and approving sales to a2x Intercompany loan reconciliation "/>
    <x v="1"/>
    <x v="0"/>
  </r>
  <r>
    <d v="2024-03-08T00:00:00"/>
    <x v="28"/>
    <s v="Bookkeeping"/>
    <n v="6.03"/>
    <x v="57"/>
    <s v="Yes"/>
    <s v="Email Management Fixed the Fixed asset Bills raise to xero Bank Reconciliation BM and Loc Inc Bs Recs for BM "/>
    <x v="1"/>
    <x v="0"/>
  </r>
  <r>
    <d v="2024-03-08T00:00:00"/>
    <x v="29"/>
    <s v="Annual Leave"/>
    <n v="8"/>
    <x v="11"/>
    <s v="No"/>
    <s v="Paternity"/>
    <x v="1"/>
    <x v="0"/>
  </r>
  <r>
    <d v="2024-03-08T00:00:00"/>
    <x v="30"/>
    <s v="Bookkeeping"/>
    <n v="0.62"/>
    <x v="76"/>
    <s v="Yes"/>
    <s v="Email Management  Bills Processing"/>
    <x v="1"/>
    <x v="0"/>
  </r>
  <r>
    <d v="2024-03-08T00:00:00"/>
    <x v="30"/>
    <s v="Bookkeeping"/>
    <n v="2.13"/>
    <x v="58"/>
    <s v="Yes"/>
    <s v="Email Management Bills Processing Bank and Credit Card Recon"/>
    <x v="1"/>
    <x v="0"/>
  </r>
  <r>
    <d v="2024-03-08T00:00:00"/>
    <x v="30"/>
    <s v="Bookkeeping"/>
    <n v="5.28"/>
    <x v="26"/>
    <s v="Yes"/>
    <s v="Email Management Bills Processing Supplier Invoice Recon Bank Recon "/>
    <x v="1"/>
    <x v="0"/>
  </r>
  <r>
    <d v="2024-03-08T00:00:00"/>
    <x v="31"/>
    <s v="Sick Leave"/>
    <n v="8"/>
    <x v="11"/>
    <s v="No"/>
    <s v="SL"/>
    <x v="1"/>
    <x v="0"/>
  </r>
  <r>
    <d v="2024-03-08T00:00:00"/>
    <x v="32"/>
    <s v="Web"/>
    <n v="10"/>
    <x v="11"/>
    <s v="No"/>
    <s v=" ✅ update the email templates on Zoho CRM    🟨 needed email templates will be updated  📌 remove Rose Caliwag from website team page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 review the notification email for the Application Form on website   📌 Create custom dimensions   📌 Edit the analytics view for Google Analytics"/>
    <x v="1"/>
    <x v="0"/>
  </r>
  <r>
    <d v="2024-03-08T00:00:00"/>
    <x v="33"/>
    <s v="Bookkeeping"/>
    <n v="0.25"/>
    <x v="79"/>
    <s v="Yes"/>
    <m/>
    <x v="1"/>
    <x v="0"/>
  </r>
  <r>
    <d v="2024-03-08T00:00:00"/>
    <x v="33"/>
    <s v="Bookkeeping"/>
    <n v="0.5"/>
    <x v="60"/>
    <s v="Yes"/>
    <m/>
    <x v="1"/>
    <x v="0"/>
  </r>
  <r>
    <d v="2024-03-08T00:00:00"/>
    <x v="33"/>
    <s v="Bookkeeping"/>
    <n v="0.5"/>
    <x v="48"/>
    <s v="Yes"/>
    <m/>
    <x v="1"/>
    <x v="0"/>
  </r>
  <r>
    <d v="2024-03-08T00:00:00"/>
    <x v="33"/>
    <s v="Bookkeeping"/>
    <n v="0.5"/>
    <x v="59"/>
    <s v="Yes"/>
    <m/>
    <x v="1"/>
    <x v="0"/>
  </r>
  <r>
    <d v="2024-03-08T00:00:00"/>
    <x v="33"/>
    <s v="Bookkeeping"/>
    <n v="2"/>
    <x v="9"/>
    <s v="Yes"/>
    <m/>
    <x v="1"/>
    <x v="0"/>
  </r>
  <r>
    <d v="2024-03-08T00:00:00"/>
    <x v="33"/>
    <s v="General"/>
    <n v="0.25"/>
    <x v="11"/>
    <s v="No"/>
    <m/>
    <x v="1"/>
    <x v="0"/>
  </r>
  <r>
    <d v="2024-03-08T00:00:00"/>
    <x v="33"/>
    <s v="Payroll Processing"/>
    <n v="1"/>
    <x v="95"/>
    <s v="Yes"/>
    <m/>
    <x v="1"/>
    <x v="0"/>
  </r>
  <r>
    <d v="2024-03-08T00:00:00"/>
    <x v="34"/>
    <s v="Client Manager"/>
    <n v="0.15"/>
    <x v="61"/>
    <s v="No"/>
    <s v="follow up access to Xero"/>
    <x v="1"/>
    <x v="0"/>
  </r>
  <r>
    <d v="2024-03-08T00:00:00"/>
    <x v="34"/>
    <s v="Client Manager"/>
    <n v="0.28000000000000003"/>
    <x v="96"/>
    <s v="Yes"/>
    <s v="email"/>
    <x v="1"/>
    <x v="0"/>
  </r>
  <r>
    <d v="2024-03-08T00:00:00"/>
    <x v="34"/>
    <s v="Client Manager"/>
    <n v="4.13"/>
    <x v="0"/>
    <s v="No"/>
    <s v="follow up on Asana tasks"/>
    <x v="1"/>
    <x v="0"/>
  </r>
  <r>
    <d v="2024-03-08T00:00:00"/>
    <x v="34"/>
    <s v="General"/>
    <n v="0.8"/>
    <x v="11"/>
    <s v="No"/>
    <s v="emails, teams, Asana"/>
    <x v="1"/>
    <x v="0"/>
  </r>
  <r>
    <d v="2024-03-08T00:00:00"/>
    <x v="35"/>
    <s v="Bookkeeping"/>
    <n v="0.08"/>
    <x v="33"/>
    <s v="Yes"/>
    <s v="Reimburse Shalisa"/>
    <x v="1"/>
    <x v="0"/>
  </r>
  <r>
    <d v="2024-03-08T00:00:00"/>
    <x v="35"/>
    <s v="Bookkeeping"/>
    <n v="0.22"/>
    <x v="33"/>
    <s v="No"/>
    <s v="Smartfleet reports request"/>
    <x v="1"/>
    <x v="0"/>
  </r>
  <r>
    <d v="2024-03-08T00:00:00"/>
    <x v="35"/>
    <s v="Bookkeeping"/>
    <n v="0.3"/>
    <x v="62"/>
    <s v="Yes"/>
    <s v="Feb Supp recs"/>
    <x v="1"/>
    <x v="0"/>
  </r>
  <r>
    <d v="2024-03-08T00:00:00"/>
    <x v="35"/>
    <s v="Bookkeeping"/>
    <n v="0.4"/>
    <x v="62"/>
    <s v="Yes"/>
    <s v="Emails"/>
    <x v="1"/>
    <x v="0"/>
  </r>
  <r>
    <d v="2024-03-08T00:00:00"/>
    <x v="35"/>
    <s v="Bookkeeping"/>
    <n v="0.92"/>
    <x v="33"/>
    <s v="Yes"/>
    <s v="emails and KID balance"/>
    <x v="1"/>
    <x v="0"/>
  </r>
  <r>
    <d v="2024-03-08T00:00:00"/>
    <x v="35"/>
    <s v="Bookkeeping"/>
    <n v="1.38"/>
    <x v="33"/>
    <s v="Yes"/>
    <m/>
    <x v="1"/>
    <x v="0"/>
  </r>
  <r>
    <d v="2024-03-08T00:00:00"/>
    <x v="35"/>
    <s v="Bookkeeping"/>
    <n v="2.93"/>
    <x v="62"/>
    <s v="Yes"/>
    <s v="Feb Supplier recs"/>
    <x v="1"/>
    <x v="0"/>
  </r>
  <r>
    <d v="2024-03-08T00:00:00"/>
    <x v="35"/>
    <s v="General"/>
    <n v="0.35"/>
    <x v="11"/>
    <s v="No"/>
    <s v="3 things to work on"/>
    <x v="1"/>
    <x v="0"/>
  </r>
  <r>
    <d v="2024-03-08T00:00:00"/>
    <x v="35"/>
    <s v="General"/>
    <n v="0.38"/>
    <x v="11"/>
    <s v="No"/>
    <s v="Training eval form"/>
    <x v="1"/>
    <x v="0"/>
  </r>
  <r>
    <d v="2024-03-08T00:00:00"/>
    <x v="35"/>
    <s v="General"/>
    <n v="0.62"/>
    <x v="11"/>
    <s v="No"/>
    <s v="chat with Nick"/>
    <x v="1"/>
    <x v="0"/>
  </r>
  <r>
    <d v="2024-03-08T00:00:00"/>
    <x v="35"/>
    <s v="Payroll Processing"/>
    <n v="0.42"/>
    <x v="62"/>
    <s v="No"/>
    <s v="Review for IAS export"/>
    <x v="1"/>
    <x v="0"/>
  </r>
  <r>
    <d v="2024-03-08T00:00:00"/>
    <x v="36"/>
    <s v="General"/>
    <n v="0.25"/>
    <x v="11"/>
    <s v="No"/>
    <s v="Dex emails"/>
    <x v="1"/>
    <x v="0"/>
  </r>
  <r>
    <d v="2024-03-08T00:00:00"/>
    <x v="36"/>
    <s v="Management Reporting"/>
    <n v="8.83"/>
    <x v="35"/>
    <s v="Yes"/>
    <m/>
    <x v="1"/>
    <x v="0"/>
  </r>
  <r>
    <d v="2024-03-08T00:00:00"/>
    <x v="36"/>
    <s v="Payroll Processing"/>
    <n v="1.63"/>
    <x v="35"/>
    <s v="Yes"/>
    <m/>
    <x v="1"/>
    <x v="0"/>
  </r>
  <r>
    <d v="2024-03-08T00:00:00"/>
    <x v="37"/>
    <s v="Meetings"/>
    <n v="3.13"/>
    <x v="11"/>
    <s v="No"/>
    <s v="Monthend finalization hand over"/>
    <x v="1"/>
    <x v="0"/>
  </r>
  <r>
    <d v="2024-03-08T00:00:00"/>
    <x v="37"/>
    <s v="Meetings"/>
    <n v="7.33"/>
    <x v="11"/>
    <s v="No"/>
    <s v="Monthend finalization handover"/>
    <x v="1"/>
    <x v="0"/>
  </r>
  <r>
    <d v="2024-03-08T00:00:00"/>
    <x v="38"/>
    <s v="Bookkeeping"/>
    <n v="8.27"/>
    <x v="15"/>
    <s v="Yes"/>
    <m/>
    <x v="1"/>
    <x v="0"/>
  </r>
  <r>
    <d v="2024-03-08T00:00:00"/>
    <x v="38"/>
    <s v="Client Meeting"/>
    <n v="0.68"/>
    <x v="15"/>
    <s v="Yes"/>
    <m/>
    <x v="1"/>
    <x v="0"/>
  </r>
  <r>
    <d v="2024-03-08T00:00:00"/>
    <x v="39"/>
    <s v="Bookkeeping"/>
    <n v="0.23"/>
    <x v="57"/>
    <s v="Yes"/>
    <s v="Cal with Maan re FAR"/>
    <x v="1"/>
    <x v="0"/>
  </r>
  <r>
    <d v="2024-03-08T00:00:00"/>
    <x v="39"/>
    <s v="Bookkeeping"/>
    <n v="0.3"/>
    <x v="57"/>
    <s v="Yes"/>
    <s v="Discussion with Maan re interco loan account recon"/>
    <x v="1"/>
    <x v="0"/>
  </r>
  <r>
    <d v="2024-03-08T00:00:00"/>
    <x v="39"/>
    <s v="Bookkeeping"/>
    <n v="0.87"/>
    <x v="28"/>
    <s v="Yes"/>
    <s v="Entering bank transactions"/>
    <x v="1"/>
    <x v="0"/>
  </r>
  <r>
    <d v="2024-03-08T00:00:00"/>
    <x v="39"/>
    <s v="Bookkeeping"/>
    <n v="1.45"/>
    <x v="72"/>
    <s v="Yes"/>
    <s v="Enter weekly spreadsheets from Jan to Feb"/>
    <x v="1"/>
    <x v="0"/>
  </r>
  <r>
    <d v="2024-03-08T00:00:00"/>
    <x v="39"/>
    <s v="Bookkeeping"/>
    <n v="1.48"/>
    <x v="72"/>
    <s v="Yes"/>
    <s v="Reconcile cash on hand and cash clearing until end of Feb24 "/>
    <x v="1"/>
    <x v="0"/>
  </r>
  <r>
    <d v="2024-03-08T00:00:00"/>
    <x v="39"/>
    <s v="Bookkeeping"/>
    <n v="2.0699999999999998"/>
    <x v="72"/>
    <s v="Yes"/>
    <s v="Entering of bank transactions and bank handover with Gerardo"/>
    <x v="1"/>
    <x v="0"/>
  </r>
  <r>
    <d v="2024-03-08T00:00:00"/>
    <x v="39"/>
    <s v="General"/>
    <n v="0.5"/>
    <x v="11"/>
    <s v="No"/>
    <s v="Break"/>
    <x v="1"/>
    <x v="0"/>
  </r>
  <r>
    <d v="2024-03-08T00:00:00"/>
    <x v="39"/>
    <s v="General"/>
    <n v="0.6"/>
    <x v="11"/>
    <s v="No"/>
    <s v="Emails, teams messages, asana"/>
    <x v="1"/>
    <x v="0"/>
  </r>
  <r>
    <d v="2024-03-08T00:00:00"/>
    <x v="39"/>
    <s v="Payroll Processing"/>
    <n v="0.05"/>
    <x v="39"/>
    <s v="Yes"/>
    <s v="Load payroll payments"/>
    <x v="1"/>
    <x v="0"/>
  </r>
  <r>
    <d v="2024-03-08T00:00:00"/>
    <x v="39"/>
    <s v="Payroll Processing"/>
    <n v="0.6"/>
    <x v="34"/>
    <s v="Yes"/>
    <s v="Action payroll emails, email from Allison to remove completed jobs"/>
    <x v="1"/>
    <x v="0"/>
  </r>
  <r>
    <d v="2024-03-08T00:00:00"/>
    <x v="41"/>
    <s v="Bookkeeping"/>
    <n v="0.38"/>
    <x v="36"/>
    <s v="Yes"/>
    <s v="Bank rec"/>
    <x v="1"/>
    <x v="0"/>
  </r>
  <r>
    <d v="2024-03-08T00:00:00"/>
    <x v="41"/>
    <s v="Bookkeeping"/>
    <n v="0.67"/>
    <x v="36"/>
    <s v="Yes"/>
    <s v="AP and bank rec review Accounts review"/>
    <x v="1"/>
    <x v="0"/>
  </r>
  <r>
    <d v="2024-03-08T00:00:00"/>
    <x v="41"/>
    <s v="Bookkeeping"/>
    <n v="1.42"/>
    <x v="16"/>
    <s v="Yes"/>
    <s v="Adhoc recs"/>
    <x v="1"/>
    <x v="0"/>
  </r>
  <r>
    <d v="2024-03-08T00:00:00"/>
    <x v="41"/>
    <s v="Bookkeeping"/>
    <n v="1.92"/>
    <x v="16"/>
    <s v="Yes"/>
    <m/>
    <x v="1"/>
    <x v="0"/>
  </r>
  <r>
    <d v="2024-03-08T00:00:00"/>
    <x v="41"/>
    <s v="Bookkeeping"/>
    <n v="2.93"/>
    <x v="16"/>
    <s v="Yes"/>
    <s v="Inbox mgmt AP and bank rec Ad hoc reconciliations"/>
    <x v="1"/>
    <x v="0"/>
  </r>
  <r>
    <d v="2024-03-08T00:00:00"/>
    <x v="41"/>
    <s v="General"/>
    <n v="0.5"/>
    <x v="11"/>
    <s v="No"/>
    <s v="Paid break"/>
    <x v="1"/>
    <x v="0"/>
  </r>
  <r>
    <d v="2024-03-08T00:00:00"/>
    <x v="41"/>
    <s v="IAS/BAS Preparation &amp; Lodgement - Feb"/>
    <n v="0.1"/>
    <x v="99"/>
    <s v="Yes"/>
    <s v="Prepare IAS report"/>
    <x v="1"/>
    <x v="0"/>
  </r>
  <r>
    <d v="2024-03-08T00:00:00"/>
    <x v="41"/>
    <s v="IAS/BAS Preparation &amp; Lodgement - Feb"/>
    <n v="0.23"/>
    <x v="100"/>
    <s v="Yes"/>
    <s v="Prepare IAS report Reconcile payroll transaction"/>
    <x v="1"/>
    <x v="0"/>
  </r>
  <r>
    <d v="2024-03-08T00:00:00"/>
    <x v="42"/>
    <s v="Client Manager"/>
    <n v="0.17"/>
    <x v="33"/>
    <s v="Yes"/>
    <s v="Upload payment an email Katherine/Shalisa"/>
    <x v="1"/>
    <x v="0"/>
  </r>
  <r>
    <d v="2024-03-08T00:00:00"/>
    <x v="42"/>
    <s v="Client Manager"/>
    <n v="7.5"/>
    <x v="102"/>
    <s v="Yes"/>
    <s v="Onsite: IT issues, send customer statements as at 07.03.2024. AP processing, meeting with Alan."/>
    <x v="1"/>
    <x v="0"/>
  </r>
  <r>
    <d v="2024-03-08T00:00:00"/>
    <x v="43"/>
    <s v="Adhoc Support &amp; Advice"/>
    <n v="2.63"/>
    <x v="15"/>
    <s v="No"/>
    <s v="Month end shadowing"/>
    <x v="1"/>
    <x v="0"/>
  </r>
  <r>
    <d v="2024-03-08T00:00:00"/>
    <x v="43"/>
    <s v="Bookkeeping"/>
    <n v="1.85"/>
    <x v="15"/>
    <s v="No"/>
    <s v="Shadow month end task with Rejie"/>
    <x v="1"/>
    <x v="0"/>
  </r>
  <r>
    <d v="2024-03-08T00:00:00"/>
    <x v="43"/>
    <s v="Management Reporting"/>
    <n v="0.53"/>
    <x v="15"/>
    <s v="Yes"/>
    <s v="February Budget Variance report"/>
    <x v="1"/>
    <x v="0"/>
  </r>
  <r>
    <d v="2024-03-08T00:00:00"/>
    <x v="43"/>
    <s v="Management Reporting"/>
    <n v="3.07"/>
    <x v="15"/>
    <s v="Yes"/>
    <s v="Cashflow, AP Catch up meeting, Payroll Expense report"/>
    <x v="1"/>
    <x v="0"/>
  </r>
  <r>
    <d v="2024-03-08T00:00:00"/>
    <x v="44"/>
    <s v="Bookkeeping"/>
    <n v="0.5"/>
    <x v="16"/>
    <s v="Yes"/>
    <s v="BLM - 3E queries for tax return"/>
    <x v="1"/>
    <x v="0"/>
  </r>
  <r>
    <d v="2024-03-08T00:00:00"/>
    <x v="44"/>
    <s v="General"/>
    <n v="0.4"/>
    <x v="11"/>
    <s v="No"/>
    <s v="Timesheet, Asana"/>
    <x v="1"/>
    <x v="0"/>
  </r>
  <r>
    <d v="2024-03-08T00:00:00"/>
    <x v="44"/>
    <s v="IAS/BAS Preparation &amp; Lodgement - Jan"/>
    <n v="0.6"/>
    <x v="97"/>
    <s v="Yes"/>
    <s v="Liaise with Nica on PAYE"/>
    <x v="1"/>
    <x v="0"/>
  </r>
  <r>
    <d v="2024-03-08T00:00:00"/>
    <x v="44"/>
    <s v="Management Reporting"/>
    <n v="3"/>
    <x v="16"/>
    <s v="Yes"/>
    <s v="Stephen's comments on Feb Fathom "/>
    <x v="1"/>
    <x v="0"/>
  </r>
  <r>
    <d v="2024-03-08T00:00:00"/>
    <x v="45"/>
    <s v="General"/>
    <n v="8"/>
    <x v="11"/>
    <s v="No"/>
    <e v="#NAME?"/>
    <x v="1"/>
    <x v="0"/>
  </r>
  <r>
    <d v="2024-03-11T00:00:00"/>
    <x v="0"/>
    <s v="Bookkeeping"/>
    <n v="0.03"/>
    <x v="6"/>
    <s v="Yes"/>
    <s v="Bank Reconciliation"/>
    <x v="2"/>
    <x v="2"/>
  </r>
  <r>
    <d v="2024-03-11T00:00:00"/>
    <x v="0"/>
    <s v="Bookkeeping"/>
    <n v="0.05"/>
    <x v="0"/>
    <s v="Yes"/>
    <s v="Manual Journal"/>
    <x v="2"/>
    <x v="2"/>
  </r>
  <r>
    <d v="2024-03-11T00:00:00"/>
    <x v="0"/>
    <s v="Bookkeeping"/>
    <n v="0.1"/>
    <x v="5"/>
    <s v="Yes"/>
    <s v="Email"/>
    <x v="2"/>
    <x v="2"/>
  </r>
  <r>
    <d v="2024-03-11T00:00:00"/>
    <x v="0"/>
    <s v="Bookkeeping"/>
    <n v="0.18"/>
    <x v="4"/>
    <s v="Yes"/>
    <s v="Create new account in CoA and Re-code bill"/>
    <x v="2"/>
    <x v="2"/>
  </r>
  <r>
    <d v="2024-03-11T00:00:00"/>
    <x v="0"/>
    <s v="Bookkeeping"/>
    <n v="0.32"/>
    <x v="0"/>
    <s v="Yes"/>
    <s v="Unsettled Purchases - Feb 2024"/>
    <x v="2"/>
    <x v="2"/>
  </r>
  <r>
    <d v="2024-03-11T00:00:00"/>
    <x v="0"/>
    <s v="Bookkeeping"/>
    <n v="0.43"/>
    <x v="9"/>
    <s v="Yes"/>
    <s v="AP and Email/Inbox Management"/>
    <x v="2"/>
    <x v="2"/>
  </r>
  <r>
    <d v="2024-03-11T00:00:00"/>
    <x v="0"/>
    <s v="Bookkeeping"/>
    <n v="0.55000000000000004"/>
    <x v="0"/>
    <s v="Yes"/>
    <s v="Check Freight balance in AgriChain vs Xero"/>
    <x v="2"/>
    <x v="2"/>
  </r>
  <r>
    <d v="2024-03-11T00:00:00"/>
    <x v="0"/>
    <s v="Bookkeeping"/>
    <n v="0.87"/>
    <x v="4"/>
    <s v="Yes"/>
    <s v="AP and Bank Reconciliation"/>
    <x v="2"/>
    <x v="2"/>
  </r>
  <r>
    <d v="2024-03-11T00:00:00"/>
    <x v="0"/>
    <s v="Bookkeeping"/>
    <n v="0.87"/>
    <x v="5"/>
    <s v="Yes"/>
    <s v="AP and Email/Inbox Management"/>
    <x v="2"/>
    <x v="2"/>
  </r>
  <r>
    <d v="2024-03-11T00:00:00"/>
    <x v="0"/>
    <s v="Bookkeeping"/>
    <n v="1.9"/>
    <x v="0"/>
    <s v="Yes"/>
    <s v="Check Sales and Purchases balance in AgriChain vs Xero"/>
    <x v="2"/>
    <x v="2"/>
  </r>
  <r>
    <d v="2024-03-11T00:00:00"/>
    <x v="0"/>
    <s v="Client Meeting"/>
    <n v="0.27"/>
    <x v="0"/>
    <s v="No"/>
    <s v="Meeting with Nicole"/>
    <x v="2"/>
    <x v="2"/>
  </r>
  <r>
    <d v="2024-03-11T00:00:00"/>
    <x v="0"/>
    <s v="Management Reporting"/>
    <n v="1.1200000000000001"/>
    <x v="6"/>
    <s v="Yes"/>
    <s v="Balance Sheet Reconciliation"/>
    <x v="2"/>
    <x v="2"/>
  </r>
  <r>
    <d v="2024-03-11T00:00:00"/>
    <x v="0"/>
    <s v="Meetings"/>
    <n v="1.07"/>
    <x v="11"/>
    <s v="No"/>
    <s v="Team Huddle"/>
    <x v="2"/>
    <x v="2"/>
  </r>
  <r>
    <d v="2024-03-11T00:00:00"/>
    <x v="0"/>
    <s v="Payroll Processing"/>
    <n v="0.03"/>
    <x v="13"/>
    <s v="Yes"/>
    <m/>
    <x v="2"/>
    <x v="2"/>
  </r>
  <r>
    <d v="2024-03-11T00:00:00"/>
    <x v="0"/>
    <s v="Payroll Processing"/>
    <n v="0.22"/>
    <x v="8"/>
    <s v="Yes"/>
    <m/>
    <x v="2"/>
    <x v="2"/>
  </r>
  <r>
    <d v="2024-03-11T00:00:00"/>
    <x v="1"/>
    <s v="P&amp;C Advisory - Group"/>
    <n v="2.5"/>
    <x v="14"/>
    <s v="Yes"/>
    <s v="Remuneration review data Correspondence re. flexible working arrangements policy Follow up re. performance reviews  Follow up re. pulse check"/>
    <x v="2"/>
    <x v="2"/>
  </r>
  <r>
    <d v="2024-03-11T00:00:00"/>
    <x v="1"/>
    <s v="P&amp;C Advisory - Nederman Mikropul"/>
    <n v="0.33"/>
    <x v="14"/>
    <s v="Yes"/>
    <s v="Review and correspondence re. performance plan"/>
    <x v="2"/>
    <x v="2"/>
  </r>
  <r>
    <d v="2024-03-11T00:00:00"/>
    <x v="1"/>
    <s v="P&amp;C Advisory - Nordfab"/>
    <n v="0.33"/>
    <x v="14"/>
    <s v="Yes"/>
    <s v="Correspondence re. reporting lines Follow up re. secondment and role change"/>
    <x v="2"/>
    <x v="2"/>
  </r>
  <r>
    <d v="2024-03-11T00:00:00"/>
    <x v="2"/>
    <s v="Bookkeeping"/>
    <n v="0.17"/>
    <x v="67"/>
    <s v="Yes"/>
    <m/>
    <x v="2"/>
    <x v="2"/>
  </r>
  <r>
    <d v="2024-03-11T00:00:00"/>
    <x v="2"/>
    <s v="Bookkeeping"/>
    <n v="0.92"/>
    <x v="58"/>
    <s v="Yes"/>
    <m/>
    <x v="2"/>
    <x v="2"/>
  </r>
  <r>
    <d v="2024-03-11T00:00:00"/>
    <x v="2"/>
    <s v="Bookkeeping"/>
    <n v="0.98"/>
    <x v="67"/>
    <s v="Yes"/>
    <s v="management reports"/>
    <x v="2"/>
    <x v="2"/>
  </r>
  <r>
    <d v="2024-03-11T00:00:00"/>
    <x v="2"/>
    <s v="General"/>
    <n v="0.28000000000000003"/>
    <x v="11"/>
    <s v="No"/>
    <s v="emails, chats, emails/chats re Food Rascal, check Asana"/>
    <x v="2"/>
    <x v="2"/>
  </r>
  <r>
    <d v="2024-03-11T00:00:00"/>
    <x v="2"/>
    <s v="General"/>
    <n v="0.3"/>
    <x v="11"/>
    <s v="No"/>
    <s v="chats re meeting scheds, Asana, coordinate tasks"/>
    <x v="2"/>
    <x v="2"/>
  </r>
  <r>
    <d v="2024-03-11T00:00:00"/>
    <x v="2"/>
    <s v="General"/>
    <n v="0.5"/>
    <x v="11"/>
    <s v="No"/>
    <s v="break"/>
    <x v="2"/>
    <x v="2"/>
  </r>
  <r>
    <d v="2024-03-11T00:00:00"/>
    <x v="2"/>
    <s v="General"/>
    <n v="0.77"/>
    <x v="56"/>
    <s v="Yes"/>
    <s v="capacity, chats, coordinate tasks needing backup, etc"/>
    <x v="2"/>
    <x v="2"/>
  </r>
  <r>
    <d v="2024-03-11T00:00:00"/>
    <x v="2"/>
    <s v="General"/>
    <n v="1.32"/>
    <x v="11"/>
    <s v="No"/>
    <s v="capacity review, coordinate client transfers, review Guia's client and check which ones to transfer, check tax accountants for Zoho update"/>
    <x v="2"/>
    <x v="2"/>
  </r>
  <r>
    <d v="2024-03-11T00:00:00"/>
    <x v="2"/>
    <s v="General"/>
    <n v="1.75"/>
    <x v="11"/>
    <s v="No"/>
    <s v="Sprout, Asana, chats, emails, check timesheets, call with Con re staff performance issues, coordinate tasks, review capacity, etc"/>
    <x v="2"/>
    <x v="2"/>
  </r>
  <r>
    <d v="2024-03-11T00:00:00"/>
    <x v="2"/>
    <s v="Meetings"/>
    <n v="1.07"/>
    <x v="11"/>
    <s v="No"/>
    <s v="team huddle"/>
    <x v="2"/>
    <x v="2"/>
  </r>
  <r>
    <d v="2024-03-11T00:00:00"/>
    <x v="3"/>
    <s v="Business Development"/>
    <n v="8"/>
    <x v="11"/>
    <s v="No"/>
    <s v="screen through existing processes to filter through what to keep and delete  start of video and manual edits  "/>
    <x v="2"/>
    <x v="2"/>
  </r>
  <r>
    <d v="2024-03-11T00:00:00"/>
    <x v="4"/>
    <s v="General"/>
    <n v="8"/>
    <x v="11"/>
    <s v="No"/>
    <m/>
    <x v="2"/>
    <x v="2"/>
  </r>
  <r>
    <d v="2024-03-11T00:00:00"/>
    <x v="5"/>
    <s v="Bookkeeping"/>
    <n v="1.62"/>
    <x v="15"/>
    <s v="Yes"/>
    <s v="Processing of Reimbursements"/>
    <x v="2"/>
    <x v="2"/>
  </r>
  <r>
    <d v="2024-03-11T00:00:00"/>
    <x v="5"/>
    <s v="Bookkeeping"/>
    <n v="2.35"/>
    <x v="15"/>
    <s v="Yes"/>
    <s v="Email Management "/>
    <x v="2"/>
    <x v="2"/>
  </r>
  <r>
    <d v="2024-03-11T00:00:00"/>
    <x v="5"/>
    <s v="Bookkeeping"/>
    <n v="4.22"/>
    <x v="15"/>
    <s v="Yes"/>
    <s v="Creating and review of EFT Weekly Lists"/>
    <x v="2"/>
    <x v="2"/>
  </r>
  <r>
    <d v="2024-03-11T00:00:00"/>
    <x v="6"/>
    <s v="Automations"/>
    <n v="4"/>
    <x v="11"/>
    <s v="No"/>
    <s v="- Check and updated other automations (tested different scenarios for error possibilities) Xero API Payrun - Ran Xero API Payrun for 491 Pay Items requested by Kate Gow"/>
    <x v="2"/>
    <x v="2"/>
  </r>
  <r>
    <d v="2024-03-11T00:00:00"/>
    <x v="6"/>
    <s v="Automations - Pinnacle"/>
    <n v="4"/>
    <x v="11"/>
    <s v="No"/>
    <s v="XeroDownloadReportsAutomation - updated Zoho Survey Form for Balance Sheet Sequence - added the following in the Balance Sheet Sequence  * Month / Year / Custom date and 'compare to previous periods'  * Cash vs accruals basis - added workaround activity for duplicate downloaded files - migrated updates in VM"/>
    <x v="2"/>
    <x v="2"/>
  </r>
  <r>
    <d v="2024-03-11T00:00:00"/>
    <x v="7"/>
    <s v="Budget - Monthly"/>
    <n v="0.02"/>
    <x v="103"/>
    <s v="No"/>
    <m/>
    <x v="2"/>
    <x v="2"/>
  </r>
  <r>
    <d v="2024-03-11T00:00:00"/>
    <x v="8"/>
    <s v="Automations"/>
    <n v="1.5"/>
    <x v="11"/>
    <s v="No"/>
    <s v="Run Marsill Automation"/>
    <x v="2"/>
    <x v="2"/>
  </r>
  <r>
    <d v="2024-03-11T00:00:00"/>
    <x v="9"/>
    <s v="Automations"/>
    <n v="9.1999999999999993"/>
    <x v="11"/>
    <s v="No"/>
    <s v="Connected Culture New Client Template development Capscpace Automation Report Generation and Output Checking"/>
    <x v="2"/>
    <x v="2"/>
  </r>
  <r>
    <d v="2024-03-11T00:00:00"/>
    <x v="10"/>
    <s v="Bookkeeping"/>
    <n v="0.25"/>
    <x v="22"/>
    <s v="Yes"/>
    <s v="Pushing bills, bank recon"/>
    <x v="2"/>
    <x v="2"/>
  </r>
  <r>
    <d v="2024-03-11T00:00:00"/>
    <x v="10"/>
    <s v="Bookkeeping"/>
    <n v="0.67"/>
    <x v="42"/>
    <s v="Yes"/>
    <s v="Email management, loading bills, month end"/>
    <x v="2"/>
    <x v="2"/>
  </r>
  <r>
    <d v="2024-03-11T00:00:00"/>
    <x v="10"/>
    <s v="Bookkeeping"/>
    <n v="0.75"/>
    <x v="19"/>
    <s v="Yes"/>
    <s v="Pushing bills, bank recon"/>
    <x v="2"/>
    <x v="2"/>
  </r>
  <r>
    <d v="2024-03-11T00:00:00"/>
    <x v="10"/>
    <s v="Bookkeeping"/>
    <n v="0.75"/>
    <x v="23"/>
    <s v="Yes"/>
    <s v="Email checking, loading bills"/>
    <x v="2"/>
    <x v="2"/>
  </r>
  <r>
    <d v="2024-03-11T00:00:00"/>
    <x v="10"/>
    <s v="Bookkeeping"/>
    <n v="2"/>
    <x v="20"/>
    <s v="Yes"/>
    <s v="Pushing bills, bank recon"/>
    <x v="2"/>
    <x v="2"/>
  </r>
  <r>
    <d v="2024-03-11T00:00:00"/>
    <x v="10"/>
    <s v="General"/>
    <n v="0.5"/>
    <x v="11"/>
    <s v="No"/>
    <s v="break"/>
    <x v="2"/>
    <x v="2"/>
  </r>
  <r>
    <d v="2024-03-11T00:00:00"/>
    <x v="10"/>
    <s v="Payroll Processing"/>
    <n v="0.08"/>
    <x v="90"/>
    <s v="Yes"/>
    <s v="FN payroll"/>
    <x v="2"/>
    <x v="2"/>
  </r>
  <r>
    <d v="2024-03-11T00:00:00"/>
    <x v="10"/>
    <s v="Payroll Processing"/>
    <n v="0.08"/>
    <x v="45"/>
    <s v="Yes"/>
    <s v="FN payroll"/>
    <x v="2"/>
    <x v="2"/>
  </r>
  <r>
    <d v="2024-03-11T00:00:00"/>
    <x v="10"/>
    <s v="Payroll Processing"/>
    <n v="0.67"/>
    <x v="61"/>
    <s v="No"/>
    <s v="Call with Kate and Nicole"/>
    <x v="2"/>
    <x v="2"/>
  </r>
  <r>
    <d v="2024-03-11T00:00:00"/>
    <x v="10"/>
    <s v="Payroll Processing"/>
    <n v="2.25"/>
    <x v="61"/>
    <s v="No"/>
    <s v="Reading processes and payroll inbox, learning the process"/>
    <x v="2"/>
    <x v="2"/>
  </r>
  <r>
    <d v="2024-03-11T00:00:00"/>
    <x v="46"/>
    <s v="CFO Advisory"/>
    <n v="3"/>
    <x v="3"/>
    <s v="Yes"/>
    <s v="Specific Reserve - investigate past MYOB transactions + make corrections to the fin records + advise"/>
    <x v="2"/>
    <x v="2"/>
  </r>
  <r>
    <d v="2024-03-11T00:00:00"/>
    <x v="46"/>
    <s v="CFO001 - CFO Services"/>
    <n v="1.5"/>
    <x v="5"/>
    <s v="Yes"/>
    <s v="Review + finalise Feb24 financials review payroll review internal transfers"/>
    <x v="2"/>
    <x v="2"/>
  </r>
  <r>
    <d v="2024-03-11T00:00:00"/>
    <x v="11"/>
    <s v="Bookkeeping"/>
    <n v="0.2"/>
    <x v="42"/>
    <s v="Yes"/>
    <s v="inbox"/>
    <x v="2"/>
    <x v="2"/>
  </r>
  <r>
    <d v="2024-03-11T00:00:00"/>
    <x v="11"/>
    <s v="Bookkeeping"/>
    <n v="0.25"/>
    <x v="25"/>
    <s v="Yes"/>
    <s v="queries"/>
    <x v="2"/>
    <x v="2"/>
  </r>
  <r>
    <d v="2024-03-11T00:00:00"/>
    <x v="11"/>
    <s v="Bookkeeping"/>
    <n v="0.32"/>
    <x v="25"/>
    <s v="Yes"/>
    <s v="inbox"/>
    <x v="2"/>
    <x v="2"/>
  </r>
  <r>
    <d v="2024-03-11T00:00:00"/>
    <x v="11"/>
    <s v="Bookkeeping"/>
    <n v="0.45"/>
    <x v="27"/>
    <s v="Yes"/>
    <s v="inbox"/>
    <x v="2"/>
    <x v="2"/>
  </r>
  <r>
    <d v="2024-03-11T00:00:00"/>
    <x v="11"/>
    <s v="General"/>
    <n v="0.33"/>
    <x v="11"/>
    <s v="No"/>
    <s v="teams queries"/>
    <x v="2"/>
    <x v="2"/>
  </r>
  <r>
    <d v="2024-03-11T00:00:00"/>
    <x v="11"/>
    <s v="General"/>
    <n v="0.5"/>
    <x v="11"/>
    <s v="No"/>
    <s v="break"/>
    <x v="2"/>
    <x v="2"/>
  </r>
  <r>
    <d v="2024-03-11T00:00:00"/>
    <x v="11"/>
    <s v="General"/>
    <n v="0.56999999999999995"/>
    <x v="11"/>
    <s v="No"/>
    <s v="HR queries/ teams/ queries"/>
    <x v="2"/>
    <x v="2"/>
  </r>
  <r>
    <d v="2024-03-11T00:00:00"/>
    <x v="11"/>
    <s v="General"/>
    <n v="0.75"/>
    <x v="11"/>
    <s v="No"/>
    <s v="inbox/ queries/ new outlook settings/ Sprout/ Teams"/>
    <x v="2"/>
    <x v="2"/>
  </r>
  <r>
    <d v="2024-03-11T00:00:00"/>
    <x v="11"/>
    <s v="Management Reporting"/>
    <n v="1.77"/>
    <x v="25"/>
    <s v="Yes"/>
    <s v="conso reps"/>
    <x v="2"/>
    <x v="2"/>
  </r>
  <r>
    <d v="2024-03-11T00:00:00"/>
    <x v="11"/>
    <s v="Meetings"/>
    <n v="1.02"/>
    <x v="11"/>
    <s v="No"/>
    <s v="team huddle"/>
    <x v="2"/>
    <x v="2"/>
  </r>
  <r>
    <d v="2024-03-11T00:00:00"/>
    <x v="11"/>
    <s v="Payroll Processing"/>
    <n v="0.25"/>
    <x v="8"/>
    <s v="Yes"/>
    <s v="review"/>
    <x v="2"/>
    <x v="2"/>
  </r>
  <r>
    <d v="2024-03-11T00:00:00"/>
    <x v="11"/>
    <s v="Payroll Processing"/>
    <n v="0.65"/>
    <x v="29"/>
    <s v="Yes"/>
    <s v="review"/>
    <x v="2"/>
    <x v="2"/>
  </r>
  <r>
    <d v="2024-03-11T00:00:00"/>
    <x v="11"/>
    <s v="Payroll Processing"/>
    <n v="0.95"/>
    <x v="31"/>
    <s v="Yes"/>
    <s v="review"/>
    <x v="2"/>
    <x v="2"/>
  </r>
  <r>
    <d v="2024-03-11T00:00:00"/>
    <x v="12"/>
    <s v="Sick Leave"/>
    <n v="8"/>
    <x v="11"/>
    <s v="No"/>
    <m/>
    <x v="2"/>
    <x v="2"/>
  </r>
  <r>
    <d v="2024-03-11T00:00:00"/>
    <x v="13"/>
    <s v="Bookkeeping"/>
    <n v="0.33"/>
    <x v="30"/>
    <s v="Yes"/>
    <s v="expense report Email regarding expense report"/>
    <x v="2"/>
    <x v="2"/>
  </r>
  <r>
    <d v="2024-03-11T00:00:00"/>
    <x v="13"/>
    <s v="Bookkeeping"/>
    <n v="0.67"/>
    <x v="71"/>
    <s v="Yes"/>
    <s v="ap invoices"/>
    <x v="2"/>
    <x v="2"/>
  </r>
  <r>
    <d v="2024-03-11T00:00:00"/>
    <x v="13"/>
    <s v="Bookkeeping"/>
    <n v="0.85"/>
    <x v="30"/>
    <s v="Yes"/>
    <s v="bank recon email suppliers"/>
    <x v="2"/>
    <x v="2"/>
  </r>
  <r>
    <d v="2024-03-11T00:00:00"/>
    <x v="13"/>
    <s v="Bookkeeping"/>
    <n v="1.37"/>
    <x v="28"/>
    <s v="Yes"/>
    <s v="ap invoices"/>
    <x v="2"/>
    <x v="2"/>
  </r>
  <r>
    <d v="2024-03-11T00:00:00"/>
    <x v="13"/>
    <s v="Bookkeeping"/>
    <n v="2.65"/>
    <x v="72"/>
    <s v="Yes"/>
    <s v="ap invoices"/>
    <x v="2"/>
    <x v="2"/>
  </r>
  <r>
    <d v="2024-03-11T00:00:00"/>
    <x v="13"/>
    <s v="Bookkeeping - Bank Recs"/>
    <n v="0.5"/>
    <x v="31"/>
    <s v="Yes"/>
    <s v="bank recon emails"/>
    <x v="2"/>
    <x v="2"/>
  </r>
  <r>
    <d v="2024-03-11T00:00:00"/>
    <x v="13"/>
    <s v="General"/>
    <n v="0.5"/>
    <x v="11"/>
    <s v="No"/>
    <s v="break"/>
    <x v="2"/>
    <x v="2"/>
  </r>
  <r>
    <d v="2024-03-11T00:00:00"/>
    <x v="13"/>
    <s v="Meetings"/>
    <n v="1.1299999999999999"/>
    <x v="11"/>
    <s v="No"/>
    <s v="team huddle"/>
    <x v="2"/>
    <x v="2"/>
  </r>
  <r>
    <d v="2024-03-11T00:00:00"/>
    <x v="14"/>
    <s v="Bookkeeping"/>
    <n v="1.78"/>
    <x v="32"/>
    <s v="Yes"/>
    <s v="Bank recs, AP processing, recording of invoices"/>
    <x v="2"/>
    <x v="2"/>
  </r>
  <r>
    <d v="2024-03-11T00:00:00"/>
    <x v="14"/>
    <s v="Bookkeeping"/>
    <n v="3.47"/>
    <x v="25"/>
    <s v="Yes"/>
    <s v="Checking/reconciling intercompany transactions, Bank Recs, recording of invoices"/>
    <x v="2"/>
    <x v="2"/>
  </r>
  <r>
    <d v="2024-03-11T00:00:00"/>
    <x v="14"/>
    <s v="General"/>
    <n v="0.18"/>
    <x v="11"/>
    <s v="No"/>
    <s v="Checking emails, asana"/>
    <x v="2"/>
    <x v="2"/>
  </r>
  <r>
    <d v="2024-03-11T00:00:00"/>
    <x v="14"/>
    <s v="Management Reporting"/>
    <n v="0.77"/>
    <x v="25"/>
    <s v="Yes"/>
    <s v="Cashflow updates"/>
    <x v="2"/>
    <x v="2"/>
  </r>
  <r>
    <d v="2024-03-11T00:00:00"/>
    <x v="14"/>
    <s v="Management Reporting"/>
    <n v="1.1200000000000001"/>
    <x v="73"/>
    <s v="Yes"/>
    <s v="Month-end report"/>
    <x v="2"/>
    <x v="2"/>
  </r>
  <r>
    <d v="2024-03-11T00:00:00"/>
    <x v="14"/>
    <s v="Meetings"/>
    <n v="1.05"/>
    <x v="11"/>
    <s v="No"/>
    <s v="Team Huddle"/>
    <x v="2"/>
    <x v="2"/>
  </r>
  <r>
    <d v="2024-03-11T00:00:00"/>
    <x v="15"/>
    <s v="Bookkeeping"/>
    <n v="7.0000000000000007E-2"/>
    <x v="102"/>
    <s v="Yes"/>
    <s v="review bank recs"/>
    <x v="2"/>
    <x v="2"/>
  </r>
  <r>
    <d v="2024-03-11T00:00:00"/>
    <x v="15"/>
    <s v="Bookkeeping"/>
    <n v="0.53"/>
    <x v="20"/>
    <s v="Yes"/>
    <m/>
    <x v="2"/>
    <x v="2"/>
  </r>
  <r>
    <d v="2024-03-11T00:00:00"/>
    <x v="15"/>
    <s v="Bookkeeping"/>
    <n v="0.9"/>
    <x v="102"/>
    <s v="Yes"/>
    <m/>
    <x v="2"/>
    <x v="2"/>
  </r>
  <r>
    <d v="2024-03-11T00:00:00"/>
    <x v="15"/>
    <s v="General"/>
    <n v="0.35"/>
    <x v="11"/>
    <s v="No"/>
    <s v="check emails, asana, xpm, teams chat"/>
    <x v="2"/>
    <x v="2"/>
  </r>
  <r>
    <d v="2024-03-11T00:00:00"/>
    <x v="15"/>
    <s v="General"/>
    <n v="0.47"/>
    <x v="11"/>
    <s v="No"/>
    <s v="file medicine reimbursements "/>
    <x v="2"/>
    <x v="2"/>
  </r>
  <r>
    <d v="2024-03-11T00:00:00"/>
    <x v="15"/>
    <s v="IAS/BAS Preparation &amp; Lodgement - Feb"/>
    <n v="0.37"/>
    <x v="97"/>
    <s v="Yes"/>
    <s v="reply to emails re GST"/>
    <x v="2"/>
    <x v="2"/>
  </r>
  <r>
    <d v="2024-03-11T00:00:00"/>
    <x v="15"/>
    <s v="IAS/BAS Preparation &amp; Lodgement - Feb"/>
    <n v="0.38"/>
    <x v="97"/>
    <s v="Yes"/>
    <s v="gst nz return"/>
    <x v="2"/>
    <x v="2"/>
  </r>
  <r>
    <d v="2024-03-11T00:00:00"/>
    <x v="15"/>
    <s v="IAS/BAS Preparation &amp; Lodgement - Feb"/>
    <n v="1.1000000000000001"/>
    <x v="97"/>
    <s v="Yes"/>
    <s v="fix vpn access with Mark to run reports for GST"/>
    <x v="2"/>
    <x v="2"/>
  </r>
  <r>
    <d v="2024-03-11T00:00:00"/>
    <x v="15"/>
    <s v="Learning &amp; Development"/>
    <n v="1.25"/>
    <x v="11"/>
    <s v="No"/>
    <s v="record process flows"/>
    <x v="2"/>
    <x v="2"/>
  </r>
  <r>
    <d v="2024-03-11T00:00:00"/>
    <x v="15"/>
    <s v="Learning &amp; Development"/>
    <n v="1.5"/>
    <x v="11"/>
    <s v="No"/>
    <s v="process flows"/>
    <x v="2"/>
    <x v="2"/>
  </r>
  <r>
    <d v="2024-03-11T00:00:00"/>
    <x v="15"/>
    <s v="Management Reporting"/>
    <n v="0.52"/>
    <x v="101"/>
    <s v="Yes"/>
    <s v="review feb reports and send to client"/>
    <x v="2"/>
    <x v="2"/>
  </r>
  <r>
    <d v="2024-03-11T00:00:00"/>
    <x v="15"/>
    <s v="Payroll Processing"/>
    <n v="0.27"/>
    <x v="35"/>
    <s v="No"/>
    <s v="chat with Rachele to assist on Payroll - FBT deductions"/>
    <x v="2"/>
    <x v="2"/>
  </r>
  <r>
    <d v="2024-03-11T00:00:00"/>
    <x v="15"/>
    <s v="Payroll Processing"/>
    <n v="0.3"/>
    <x v="35"/>
    <s v="No"/>
    <s v="assist rac - payroll query"/>
    <x v="2"/>
    <x v="2"/>
  </r>
  <r>
    <d v="2024-03-11T00:00:00"/>
    <x v="16"/>
    <s v="Bookkeeping"/>
    <n v="4.37"/>
    <x v="35"/>
    <s v="Yes"/>
    <m/>
    <x v="2"/>
    <x v="2"/>
  </r>
  <r>
    <d v="2024-03-11T00:00:00"/>
    <x v="16"/>
    <s v="General"/>
    <n v="0.28000000000000003"/>
    <x v="11"/>
    <s v="No"/>
    <s v="Emails"/>
    <x v="2"/>
    <x v="2"/>
  </r>
  <r>
    <d v="2024-03-11T00:00:00"/>
    <x v="16"/>
    <s v="Payroll Processing"/>
    <n v="0.18"/>
    <x v="74"/>
    <s v="Yes"/>
    <s v="Payroll Tax"/>
    <x v="2"/>
    <x v="2"/>
  </r>
  <r>
    <d v="2024-03-11T00:00:00"/>
    <x v="16"/>
    <s v="Payroll Processing"/>
    <n v="3.17"/>
    <x v="75"/>
    <s v="Yes"/>
    <m/>
    <x v="2"/>
    <x v="2"/>
  </r>
  <r>
    <d v="2024-03-11T00:00:00"/>
    <x v="18"/>
    <s v="Bookkeeping"/>
    <n v="0.18"/>
    <x v="41"/>
    <s v="Yes"/>
    <m/>
    <x v="2"/>
    <x v="2"/>
  </r>
  <r>
    <d v="2024-03-11T00:00:00"/>
    <x v="18"/>
    <s v="Bookkeeping"/>
    <n v="0.42"/>
    <x v="41"/>
    <s v="Yes"/>
    <s v="Dext prep, ap items, bank recon, send email to client for open items and ap bills due"/>
    <x v="2"/>
    <x v="2"/>
  </r>
  <r>
    <d v="2024-03-11T00:00:00"/>
    <x v="18"/>
    <s v="Bookkeeping"/>
    <n v="0.43"/>
    <x v="36"/>
    <s v="Yes"/>
    <s v="ap items, bank recon"/>
    <x v="2"/>
    <x v="2"/>
  </r>
  <r>
    <d v="2024-03-11T00:00:00"/>
    <x v="18"/>
    <s v="Bookkeeping"/>
    <n v="0.8"/>
    <x v="27"/>
    <s v="Yes"/>
    <s v="AP items and Dext Prepare"/>
    <x v="2"/>
    <x v="2"/>
  </r>
  <r>
    <d v="2024-03-11T00:00:00"/>
    <x v="18"/>
    <s v="Bookkeeping"/>
    <n v="0.8"/>
    <x v="27"/>
    <s v="Yes"/>
    <s v="Update custom P&amp;L reports, Client queries, generate AP batch for payment"/>
    <x v="2"/>
    <x v="2"/>
  </r>
  <r>
    <d v="2024-03-11T00:00:00"/>
    <x v="18"/>
    <s v="Bookkeeping"/>
    <n v="0.8"/>
    <x v="40"/>
    <s v="Yes"/>
    <m/>
    <x v="2"/>
    <x v="2"/>
  </r>
  <r>
    <d v="2024-03-11T00:00:00"/>
    <x v="18"/>
    <s v="Bookkeeping"/>
    <n v="0.9"/>
    <x v="39"/>
    <s v="Yes"/>
    <s v="record invoices, bank recon, send items for query to client"/>
    <x v="2"/>
    <x v="2"/>
  </r>
  <r>
    <d v="2024-03-11T00:00:00"/>
    <x v="18"/>
    <s v="Bookkeeping"/>
    <n v="1.07"/>
    <x v="27"/>
    <s v="Yes"/>
    <m/>
    <x v="2"/>
    <x v="2"/>
  </r>
  <r>
    <d v="2024-03-11T00:00:00"/>
    <x v="18"/>
    <s v="Bookkeeping"/>
    <n v="1.22"/>
    <x v="39"/>
    <s v="Yes"/>
    <m/>
    <x v="2"/>
    <x v="2"/>
  </r>
  <r>
    <d v="2024-03-11T00:00:00"/>
    <x v="18"/>
    <s v="Bookkeeping"/>
    <n v="1.38"/>
    <x v="37"/>
    <s v="Yes"/>
    <m/>
    <x v="2"/>
    <x v="2"/>
  </r>
  <r>
    <d v="2024-03-11T00:00:00"/>
    <x v="19"/>
    <s v="Automations - Surefire"/>
    <n v="8"/>
    <x v="11"/>
    <s v="No"/>
    <s v="SureFire Services - Automation"/>
    <x v="2"/>
    <x v="2"/>
  </r>
  <r>
    <d v="2024-03-11T00:00:00"/>
    <x v="20"/>
    <s v="Sick Leave"/>
    <n v="8"/>
    <x v="11"/>
    <s v="No"/>
    <m/>
    <x v="2"/>
    <x v="2"/>
  </r>
  <r>
    <d v="2024-03-11T00:00:00"/>
    <x v="21"/>
    <s v="Automations"/>
    <n v="8"/>
    <x v="11"/>
    <s v="No"/>
    <s v="Run: LOC Dev: Pinnacle Oporto Automation Meeting: Holdsworth Update - Jeric"/>
    <x v="2"/>
    <x v="2"/>
  </r>
  <r>
    <d v="2024-03-11T00:00:00"/>
    <x v="22"/>
    <s v="Bookkeeping"/>
    <n v="0.75"/>
    <x v="43"/>
    <s v="Yes"/>
    <s v="Emails to Jemimah and Katherine re hours / meetings.  Create RCTIs for previous fortnight x 2 load payments to bank Create draft RCTIs for current fortnight x 2"/>
    <x v="2"/>
    <x v="2"/>
  </r>
  <r>
    <d v="2024-03-11T00:00:00"/>
    <x v="22"/>
    <s v="Client Admin"/>
    <n v="0.42"/>
    <x v="11"/>
    <s v="No"/>
    <s v="Emails, Asana general"/>
    <x v="2"/>
    <x v="2"/>
  </r>
  <r>
    <d v="2024-03-11T00:00:00"/>
    <x v="22"/>
    <s v="Client Admin"/>
    <n v="0.75"/>
    <x v="11"/>
    <s v="No"/>
    <s v="Onefocus - non billable meeting with Ef and Nicole re access and payroll processing RSVP - chat to Nick on phone re tax, respond to email"/>
    <x v="2"/>
    <x v="2"/>
  </r>
  <r>
    <d v="2024-03-11T00:00:00"/>
    <x v="22"/>
    <s v="Client Manager"/>
    <n v="0.12"/>
    <x v="86"/>
    <s v="Yes"/>
    <s v="Follow up re queries for BAS / tax"/>
    <x v="2"/>
    <x v="2"/>
  </r>
  <r>
    <d v="2024-03-11T00:00:00"/>
    <x v="22"/>
    <s v="Client Manager"/>
    <n v="0.13"/>
    <x v="103"/>
    <s v="Yes"/>
    <s v="Request setup of pay codes from BIT team"/>
    <x v="2"/>
    <x v="2"/>
  </r>
  <r>
    <d v="2024-03-11T00:00:00"/>
    <x v="22"/>
    <s v="Client Manager"/>
    <n v="0.27"/>
    <x v="25"/>
    <s v="No"/>
    <s v="Non billable - assist Irish with Mayday set up"/>
    <x v="2"/>
    <x v="2"/>
  </r>
  <r>
    <d v="2024-03-11T00:00:00"/>
    <x v="22"/>
    <s v="Client Manager"/>
    <n v="0.33"/>
    <x v="42"/>
    <s v="Yes"/>
    <s v="Email to Charloie at Nine, review month end progress"/>
    <x v="2"/>
    <x v="2"/>
  </r>
  <r>
    <d v="2024-03-11T00:00:00"/>
    <x v="22"/>
    <s v="Client Manager"/>
    <n v="0.67"/>
    <x v="44"/>
    <s v="Yes"/>
    <s v="Email to James re R&amp;D, ASIC etc Respond to Blair email with summary"/>
    <x v="2"/>
    <x v="2"/>
  </r>
  <r>
    <d v="2024-03-11T00:00:00"/>
    <x v="22"/>
    <s v="General"/>
    <n v="0.08"/>
    <x v="11"/>
    <s v="No"/>
    <s v="Email, TEams to Ali re resourcing"/>
    <x v="2"/>
    <x v="2"/>
  </r>
  <r>
    <d v="2024-03-11T00:00:00"/>
    <x v="22"/>
    <s v="General"/>
    <n v="0.42"/>
    <x v="11"/>
    <s v="No"/>
    <s v="Management meeting reports update / email to /Alison Emails and Asana"/>
    <x v="2"/>
    <x v="2"/>
  </r>
  <r>
    <d v="2024-03-11T00:00:00"/>
    <x v="22"/>
    <s v="Meetings"/>
    <n v="0.78"/>
    <x v="11"/>
    <s v="No"/>
    <s v="Sydney team meeting, teams, emails"/>
    <x v="2"/>
    <x v="2"/>
  </r>
  <r>
    <d v="2024-03-11T00:00:00"/>
    <x v="22"/>
    <s v="Payroll Processing"/>
    <n v="0.57999999999999996"/>
    <x v="34"/>
    <s v="Yes"/>
    <s v="Call with Services Austrlaia - update Child support payment, save documents, change password on website and update secure notes Email to Andrew re Dean move to RNR"/>
    <x v="2"/>
    <x v="2"/>
  </r>
  <r>
    <d v="2024-03-11T00:00:00"/>
    <x v="22"/>
    <s v="Payroll Processing"/>
    <n v="0.62"/>
    <x v="81"/>
    <s v="Yes"/>
    <s v="Set up Frank in Xero Rinka - monthly payments calculation Email to Angie re payroll Review super clearing houses and email re Hostplus clearing house and workers compl"/>
    <x v="2"/>
    <x v="2"/>
  </r>
  <r>
    <d v="2024-03-11T00:00:00"/>
    <x v="22"/>
    <s v="Payroll Processing"/>
    <n v="0.67"/>
    <x v="34"/>
    <s v="Yes"/>
    <s v="Check STP reporting and PAYG balances"/>
    <x v="2"/>
    <x v="2"/>
  </r>
  <r>
    <d v="2024-03-11T00:00:00"/>
    <x v="22"/>
    <s v="Payroll Processing"/>
    <n v="0.68"/>
    <x v="34"/>
    <s v="Yes"/>
    <s v="Salary spreadsheet - update with all employees"/>
    <x v="2"/>
    <x v="2"/>
  </r>
  <r>
    <d v="2024-03-11T00:00:00"/>
    <x v="22"/>
    <s v="Payroll Processing"/>
    <n v="1"/>
    <x v="34"/>
    <s v="Yes"/>
    <s v="Finance team meeting, messages to RJ / Ali re resourcing"/>
    <x v="2"/>
    <x v="2"/>
  </r>
  <r>
    <d v="2024-03-11T00:00:00"/>
    <x v="23"/>
    <s v="Client Meeting"/>
    <n v="0.05"/>
    <x v="65"/>
    <s v="No"/>
    <s v="email"/>
    <x v="2"/>
    <x v="2"/>
  </r>
  <r>
    <d v="2024-03-11T00:00:00"/>
    <x v="23"/>
    <s v="Client Meeting"/>
    <n v="0.17"/>
    <x v="46"/>
    <s v="No"/>
    <s v="Attending to queries"/>
    <x v="2"/>
    <x v="2"/>
  </r>
  <r>
    <d v="2024-03-11T00:00:00"/>
    <x v="23"/>
    <s v="Client Meeting"/>
    <n v="0.18"/>
    <x v="11"/>
    <s v="No"/>
    <s v="Meeting with Z, leave and other concerns"/>
    <x v="2"/>
    <x v="2"/>
  </r>
  <r>
    <d v="2024-03-11T00:00:00"/>
    <x v="23"/>
    <s v="Client Meeting"/>
    <n v="0.43"/>
    <x v="11"/>
    <s v="No"/>
    <s v="Catch up with Mariecon"/>
    <x v="2"/>
    <x v="2"/>
  </r>
  <r>
    <d v="2024-03-11T00:00:00"/>
    <x v="23"/>
    <s v="General"/>
    <n v="0.12"/>
    <x v="11"/>
    <s v="No"/>
    <s v="attending to queries"/>
    <x v="2"/>
    <x v="2"/>
  </r>
  <r>
    <d v="2024-03-11T00:00:00"/>
    <x v="23"/>
    <s v="General"/>
    <n v="0.35"/>
    <x v="11"/>
    <s v="No"/>
    <s v="MORNING Break: as paid per Labor Code of the Philippines, Article 85. "/>
    <x v="2"/>
    <x v="2"/>
  </r>
  <r>
    <d v="2024-03-11T00:00:00"/>
    <x v="23"/>
    <s v="General"/>
    <n v="0.35"/>
    <x v="11"/>
    <s v="No"/>
    <s v="Reading and cleaning 25unread emails"/>
    <x v="2"/>
    <x v="2"/>
  </r>
  <r>
    <d v="2024-03-11T00:00:00"/>
    <x v="23"/>
    <s v="General"/>
    <n v="0.78"/>
    <x v="11"/>
    <s v="No"/>
    <m/>
    <x v="2"/>
    <x v="2"/>
  </r>
  <r>
    <d v="2024-03-11T00:00:00"/>
    <x v="23"/>
    <s v="General"/>
    <n v="1.08"/>
    <x v="11"/>
    <s v="No"/>
    <s v="&gt;ASANA updates &gt;XPM checking &gt;other tasks &gt;chat with Melissa Dex concern &gt;Catch up with RJ &gt;Catch up with Ann &gt;call with Linsday, BAS concern"/>
    <x v="2"/>
    <x v="2"/>
  </r>
  <r>
    <d v="2024-03-11T00:00:00"/>
    <x v="23"/>
    <s v="General"/>
    <n v="1.08"/>
    <x v="11"/>
    <s v="No"/>
    <s v="Checking of leave, validating VL, compose email to Shalini, filing of leave, retrieving emails and chat with Zerra"/>
    <x v="2"/>
    <x v="2"/>
  </r>
  <r>
    <d v="2024-03-11T00:00:00"/>
    <x v="23"/>
    <s v="IAS/BAS Preparation &amp; Lodgement - Feb"/>
    <n v="0.05"/>
    <x v="11"/>
    <s v="No"/>
    <s v="email"/>
    <x v="2"/>
    <x v="2"/>
  </r>
  <r>
    <d v="2024-03-11T00:00:00"/>
    <x v="23"/>
    <s v="IAS/BAS Preparation &amp; Lodgement - Feb"/>
    <n v="0.15"/>
    <x v="11"/>
    <s v="Yes"/>
    <s v="IAS"/>
    <x v="2"/>
    <x v="2"/>
  </r>
  <r>
    <d v="2024-03-11T00:00:00"/>
    <x v="23"/>
    <s v="IAS/BAS Preparation &amp; Lodgement - Feb"/>
    <n v="0.17"/>
    <x v="37"/>
    <s v="Yes"/>
    <s v="IAS"/>
    <x v="2"/>
    <x v="2"/>
  </r>
  <r>
    <d v="2024-03-11T00:00:00"/>
    <x v="23"/>
    <s v="IAS/BAS Preparation &amp; Lodgement - Feb"/>
    <n v="0.17"/>
    <x v="6"/>
    <s v="Yes"/>
    <s v="IAS"/>
    <x v="2"/>
    <x v="2"/>
  </r>
  <r>
    <d v="2024-03-11T00:00:00"/>
    <x v="23"/>
    <s v="IAS/BAS Preparation &amp; Lodgement - Feb"/>
    <n v="0.18"/>
    <x v="8"/>
    <s v="Yes"/>
    <s v="IAS"/>
    <x v="2"/>
    <x v="2"/>
  </r>
  <r>
    <d v="2024-03-11T00:00:00"/>
    <x v="23"/>
    <s v="IAS/BAS Preparation &amp; Lodgement - Feb"/>
    <n v="0.28000000000000003"/>
    <x v="90"/>
    <s v="Yes"/>
    <s v="IAS process and fixing XPM error"/>
    <x v="2"/>
    <x v="2"/>
  </r>
  <r>
    <d v="2024-03-11T00:00:00"/>
    <x v="23"/>
    <s v="IT"/>
    <n v="0.1"/>
    <x v="11"/>
    <s v="No"/>
    <s v="slow connection"/>
    <x v="2"/>
    <x v="2"/>
  </r>
  <r>
    <d v="2024-03-11T00:00:00"/>
    <x v="23"/>
    <s v="Learning &amp; Development"/>
    <n v="0.33"/>
    <x v="56"/>
    <s v="No"/>
    <m/>
    <x v="2"/>
    <x v="2"/>
  </r>
  <r>
    <d v="2024-03-11T00:00:00"/>
    <x v="23"/>
    <s v="Learning &amp; Development"/>
    <n v="1.42"/>
    <x v="11"/>
    <s v="No"/>
    <s v="Wyzed training - Company Tax return "/>
    <x v="2"/>
    <x v="2"/>
  </r>
  <r>
    <d v="2024-03-11T00:00:00"/>
    <x v="23"/>
    <s v="Meetings"/>
    <n v="0.08"/>
    <x v="11"/>
    <s v="No"/>
    <s v="catch up with Aileen ( Games activity )"/>
    <x v="2"/>
    <x v="2"/>
  </r>
  <r>
    <d v="2024-03-11T00:00:00"/>
    <x v="23"/>
    <s v="Meetings"/>
    <n v="0.47"/>
    <x v="11"/>
    <s v="No"/>
    <s v="Meeting with Angela ( Billing concern &amp; Team Ann's activity )"/>
    <x v="2"/>
    <x v="2"/>
  </r>
  <r>
    <d v="2024-03-11T00:00:00"/>
    <x v="48"/>
    <s v="HR/Recuitment"/>
    <n v="2"/>
    <x v="11"/>
    <s v="No"/>
    <s v="Phone call with AH to discuss HR Advisory candidate, and Nordfab.  Conduct first reference check for candidate and type up.  Organise CV check to be sent to candidate.  Review candidates for HR Advisory role on Seek and send unsuccessful letters to candidates."/>
    <x v="2"/>
    <x v="2"/>
  </r>
  <r>
    <d v="2024-03-11T00:00:00"/>
    <x v="48"/>
    <s v="Meetings"/>
    <n v="0.5"/>
    <x v="11"/>
    <s v="No"/>
    <s v="Teams weekly meeting."/>
    <x v="2"/>
    <x v="2"/>
  </r>
  <r>
    <d v="2024-03-11T00:00:00"/>
    <x v="48"/>
    <s v="P&amp;C Advisory"/>
    <n v="5.5"/>
    <x v="9"/>
    <s v="Yes"/>
    <s v="Check emails and teams messages from last week and respond. Update WHS Policy and covid 19 policy and Teams message CEO with recommendations.  Teams call with CFO to discuss HR issues.  Teams chat with IT and Reception regarding equipment return from ex employees. Email to casuals regarding AF work update.  Review termination and redundancy policies and workflows and update documents.  Archive HR files on line for ex employees. Teams chat with Manila Marketing employee.  Teams chat with Bus Dev Mgr re salary and payslip."/>
    <x v="2"/>
    <x v="2"/>
  </r>
  <r>
    <d v="2024-03-11T00:00:00"/>
    <x v="24"/>
    <s v="Bookkeeping"/>
    <n v="1.4"/>
    <x v="46"/>
    <s v="Yes"/>
    <s v="Month-end tasks - JE"/>
    <x v="2"/>
    <x v="2"/>
  </r>
  <r>
    <d v="2024-03-11T00:00:00"/>
    <x v="24"/>
    <s v="Bookkeeping"/>
    <n v="5.53"/>
    <x v="15"/>
    <s v="Yes"/>
    <m/>
    <x v="2"/>
    <x v="2"/>
  </r>
  <r>
    <d v="2024-03-11T00:00:00"/>
    <x v="24"/>
    <s v="Payroll Processing"/>
    <n v="0.27"/>
    <x v="46"/>
    <s v="Yes"/>
    <s v="New Employee set up"/>
    <x v="2"/>
    <x v="2"/>
  </r>
  <r>
    <d v="2024-03-11T00:00:00"/>
    <x v="24"/>
    <s v="Payroll Processing"/>
    <n v="0.92"/>
    <x v="54"/>
    <s v="Yes"/>
    <m/>
    <x v="2"/>
    <x v="2"/>
  </r>
  <r>
    <d v="2024-03-11T00:00:00"/>
    <x v="26"/>
    <s v="Adhoc Support &amp; Advice"/>
    <n v="1"/>
    <x v="15"/>
    <s v="No"/>
    <s v="Recon"/>
    <x v="2"/>
    <x v="2"/>
  </r>
  <r>
    <d v="2024-03-11T00:00:00"/>
    <x v="26"/>
    <s v="Debt Collection"/>
    <n v="1"/>
    <x v="11"/>
    <s v="No"/>
    <s v="review debt list"/>
    <x v="2"/>
    <x v="2"/>
  </r>
  <r>
    <d v="2024-03-11T00:00:00"/>
    <x v="26"/>
    <s v="Debt Collection"/>
    <n v="1.5"/>
    <x v="11"/>
    <s v="No"/>
    <m/>
    <x v="2"/>
    <x v="2"/>
  </r>
  <r>
    <d v="2024-03-11T00:00:00"/>
    <x v="26"/>
    <s v="Debt Collection"/>
    <n v="3"/>
    <x v="15"/>
    <s v="Yes"/>
    <m/>
    <x v="2"/>
    <x v="2"/>
  </r>
  <r>
    <d v="2024-03-11T00:00:00"/>
    <x v="26"/>
    <s v="General"/>
    <n v="0.5"/>
    <x v="11"/>
    <s v="No"/>
    <s v="break"/>
    <x v="2"/>
    <x v="2"/>
  </r>
  <r>
    <d v="2024-03-11T00:00:00"/>
    <x v="26"/>
    <s v="Meetings"/>
    <n v="1"/>
    <x v="11"/>
    <s v="No"/>
    <s v="huddle"/>
    <x v="2"/>
    <x v="2"/>
  </r>
  <r>
    <d v="2024-03-11T00:00:00"/>
    <x v="27"/>
    <s v="Management Reporting"/>
    <n v="0.9"/>
    <x v="11"/>
    <s v="No"/>
    <s v="monthend / handover"/>
    <x v="2"/>
    <x v="2"/>
  </r>
  <r>
    <d v="2024-03-11T00:00:00"/>
    <x v="27"/>
    <s v="Management Reporting"/>
    <n v="2.27"/>
    <x v="11"/>
    <s v="No"/>
    <s v="month-end / handover"/>
    <x v="2"/>
    <x v="2"/>
  </r>
  <r>
    <d v="2024-03-11T00:00:00"/>
    <x v="27"/>
    <s v="Management Reporting"/>
    <n v="5.7"/>
    <x v="15"/>
    <s v="Yes"/>
    <s v="month-end / handover"/>
    <x v="2"/>
    <x v="2"/>
  </r>
  <r>
    <d v="2024-03-11T00:00:00"/>
    <x v="28"/>
    <s v="Bookkeeping"/>
    <n v="1.55"/>
    <x v="57"/>
    <s v="Yes"/>
    <s v="BS RECS - reconciled the bank reconciliation report of the 4 corporate cards and revised the BS RECS for BM and LOC Inc"/>
    <x v="2"/>
    <x v="2"/>
  </r>
  <r>
    <d v="2024-03-11T00:00:00"/>
    <x v="28"/>
    <s v="Bookkeeping"/>
    <n v="4.28"/>
    <x v="57"/>
    <s v="Yes"/>
    <s v="Email Management Bills raise to xero Approving sales to a2x Import CBA 7334 and reconciled Bank Reconciliation in BM and LOC Inc"/>
    <x v="2"/>
    <x v="2"/>
  </r>
  <r>
    <d v="2024-03-11T00:00:00"/>
    <x v="28"/>
    <s v="General"/>
    <n v="0.5"/>
    <x v="11"/>
    <s v="No"/>
    <s v="Break"/>
    <x v="2"/>
    <x v="2"/>
  </r>
  <r>
    <d v="2024-03-11T00:00:00"/>
    <x v="28"/>
    <s v="Payroll Processing"/>
    <n v="1.67"/>
    <x v="57"/>
    <s v="Yes"/>
    <s v="Check Employee list vs. in XERO Sent the difference to Lauren Prepared the payroll employee summary report comparison for the previous FN Sent for approval for payment Upload it to CBA Sent the payslip and filed it to ATO"/>
    <x v="2"/>
    <x v="2"/>
  </r>
  <r>
    <d v="2024-03-11T00:00:00"/>
    <x v="29"/>
    <s v="IT"/>
    <n v="9"/>
    <x v="11"/>
    <s v="No"/>
    <s v="IT Support"/>
    <x v="2"/>
    <x v="2"/>
  </r>
  <r>
    <d v="2024-03-11T00:00:00"/>
    <x v="30"/>
    <s v="Sick Leave"/>
    <n v="8"/>
    <x v="11"/>
    <s v="No"/>
    <m/>
    <x v="2"/>
    <x v="2"/>
  </r>
  <r>
    <d v="2024-03-11T00:00:00"/>
    <x v="31"/>
    <s v="Accounts"/>
    <n v="0.88"/>
    <x v="11"/>
    <s v="No"/>
    <s v="Clean up other Asana tasks related to Invoicing"/>
    <x v="2"/>
    <x v="2"/>
  </r>
  <r>
    <d v="2024-03-11T00:00:00"/>
    <x v="31"/>
    <s v="Accounts"/>
    <n v="1.03"/>
    <x v="11"/>
    <s v="No"/>
    <s v="Partially catch up emails from AU accounts emails. Process bills and reconcile bank accounts."/>
    <x v="2"/>
    <x v="2"/>
  </r>
  <r>
    <d v="2024-03-11T00:00:00"/>
    <x v="31"/>
    <s v="Accounts"/>
    <n v="1.57"/>
    <x v="11"/>
    <s v="No"/>
    <s v="XPM and Xero invoicing reconciliation. Ezidebit payments update. Send email to Erina for dishonoured payment."/>
    <x v="2"/>
    <x v="2"/>
  </r>
  <r>
    <d v="2024-03-11T00:00:00"/>
    <x v="31"/>
    <s v="Bookkeeping"/>
    <n v="0.8"/>
    <x v="11"/>
    <s v="No"/>
    <s v="Additional invoicing based on Asana tasks"/>
    <x v="2"/>
    <x v="2"/>
  </r>
  <r>
    <d v="2024-03-11T00:00:00"/>
    <x v="31"/>
    <s v="Bookkeeping"/>
    <n v="1.1200000000000001"/>
    <x v="11"/>
    <s v="No"/>
    <s v="Continuous on weekly invoicing."/>
    <x v="2"/>
    <x v="2"/>
  </r>
  <r>
    <d v="2024-03-11T00:00:00"/>
    <x v="31"/>
    <s v="Bookkeeping"/>
    <n v="2.67"/>
    <x v="11"/>
    <s v="No"/>
    <s v="Weekly invoicing"/>
    <x v="2"/>
    <x v="2"/>
  </r>
  <r>
    <d v="2024-03-11T00:00:00"/>
    <x v="31"/>
    <s v="Compliance"/>
    <n v="0.57999999999999996"/>
    <x v="11"/>
    <s v="No"/>
    <s v="Compliance invoicing report checking and coordinating for unbilled lodgement "/>
    <x v="2"/>
    <x v="2"/>
  </r>
  <r>
    <d v="2024-03-11T00:00:00"/>
    <x v="31"/>
    <s v="General"/>
    <n v="0.1"/>
    <x v="56"/>
    <s v="No"/>
    <s v="Assist Ms Shirley with Brgy Clearance and Insurance copy for RO and Branch"/>
    <x v="2"/>
    <x v="2"/>
  </r>
  <r>
    <d v="2024-03-11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2"/>
  </r>
  <r>
    <d v="2024-03-11T00:00:00"/>
    <x v="33"/>
    <s v="Bookkeeping"/>
    <n v="0.5"/>
    <x v="60"/>
    <s v="Yes"/>
    <m/>
    <x v="2"/>
    <x v="2"/>
  </r>
  <r>
    <d v="2024-03-11T00:00:00"/>
    <x v="33"/>
    <s v="Bookkeeping"/>
    <n v="0.5"/>
    <x v="48"/>
    <s v="Yes"/>
    <m/>
    <x v="2"/>
    <x v="2"/>
  </r>
  <r>
    <d v="2024-03-11T00:00:00"/>
    <x v="33"/>
    <s v="Bookkeeping"/>
    <n v="0.5"/>
    <x v="59"/>
    <s v="Yes"/>
    <m/>
    <x v="2"/>
    <x v="2"/>
  </r>
  <r>
    <d v="2024-03-11T00:00:00"/>
    <x v="33"/>
    <s v="Bookkeeping"/>
    <n v="2.5"/>
    <x v="9"/>
    <s v="Yes"/>
    <m/>
    <x v="2"/>
    <x v="2"/>
  </r>
  <r>
    <d v="2024-03-11T00:00:00"/>
    <x v="33"/>
    <s v="Management Reporting"/>
    <n v="1"/>
    <x v="48"/>
    <s v="Yes"/>
    <m/>
    <x v="2"/>
    <x v="2"/>
  </r>
  <r>
    <d v="2024-03-11T00:00:00"/>
    <x v="33"/>
    <s v="Payroll Processing"/>
    <n v="0.5"/>
    <x v="89"/>
    <s v="Yes"/>
    <m/>
    <x v="2"/>
    <x v="2"/>
  </r>
  <r>
    <d v="2024-03-11T00:00:00"/>
    <x v="34"/>
    <s v="Client Manager"/>
    <n v="0.17"/>
    <x v="75"/>
    <s v="No"/>
    <s v="Request for net income previous years review of # employees"/>
    <x v="2"/>
    <x v="2"/>
  </r>
  <r>
    <d v="2024-03-11T00:00:00"/>
    <x v="34"/>
    <s v="Client Manager"/>
    <n v="0.17"/>
    <x v="75"/>
    <s v="Yes"/>
    <s v="email introduction to Tisha"/>
    <x v="2"/>
    <x v="2"/>
  </r>
  <r>
    <d v="2024-03-11T00:00:00"/>
    <x v="34"/>
    <s v="Client Manager"/>
    <n v="0.63"/>
    <x v="0"/>
    <s v="Yes"/>
    <e v="#NAME?"/>
    <x v="2"/>
    <x v="2"/>
  </r>
  <r>
    <d v="2024-03-11T00:00:00"/>
    <x v="34"/>
    <s v="Client Manager"/>
    <n v="0.78"/>
    <x v="75"/>
    <s v="No"/>
    <s v="Meeting with Tisha (sales expert)"/>
    <x v="2"/>
    <x v="2"/>
  </r>
  <r>
    <d v="2024-03-11T00:00:00"/>
    <x v="34"/>
    <s v="Client Manager"/>
    <n v="1.8"/>
    <x v="0"/>
    <s v="No"/>
    <e v="#NAME?"/>
    <x v="2"/>
    <x v="2"/>
  </r>
  <r>
    <d v="2024-03-11T00:00:00"/>
    <x v="34"/>
    <s v="Client Meeting"/>
    <n v="0.78"/>
    <x v="61"/>
    <s v="No"/>
    <s v="Follow up on access of shared folder Meeting with Kate and Efleda on payroll"/>
    <x v="2"/>
    <x v="2"/>
  </r>
  <r>
    <d v="2024-03-11T00:00:00"/>
    <x v="34"/>
    <s v="General"/>
    <n v="0.63"/>
    <x v="11"/>
    <s v="No"/>
    <s v="emails, teams, Asana"/>
    <x v="2"/>
    <x v="2"/>
  </r>
  <r>
    <d v="2024-03-11T00:00:00"/>
    <x v="34"/>
    <s v="Meetings"/>
    <n v="0.5"/>
    <x v="11"/>
    <s v="No"/>
    <s v="Sydney weekly meeting"/>
    <x v="2"/>
    <x v="2"/>
  </r>
  <r>
    <d v="2024-03-11T00:00:00"/>
    <x v="35"/>
    <s v="Bookkeeping"/>
    <n v="0.18"/>
    <x v="33"/>
    <s v="Yes"/>
    <s v="emails"/>
    <x v="2"/>
    <x v="2"/>
  </r>
  <r>
    <d v="2024-03-11T00:00:00"/>
    <x v="35"/>
    <s v="Bookkeeping"/>
    <n v="0.3"/>
    <x v="62"/>
    <s v="Yes"/>
    <s v="AP"/>
    <x v="2"/>
    <x v="2"/>
  </r>
  <r>
    <d v="2024-03-11T00:00:00"/>
    <x v="35"/>
    <s v="Bookkeeping"/>
    <n v="0.4"/>
    <x v="33"/>
    <s v="Yes"/>
    <m/>
    <x v="2"/>
    <x v="2"/>
  </r>
  <r>
    <d v="2024-03-11T00:00:00"/>
    <x v="35"/>
    <s v="Bookkeeping"/>
    <n v="0.56999999999999995"/>
    <x v="33"/>
    <s v="Yes"/>
    <s v="Jan2024 Grant allocation"/>
    <x v="2"/>
    <x v="2"/>
  </r>
  <r>
    <d v="2024-03-11T00:00:00"/>
    <x v="35"/>
    <s v="Bookkeeping"/>
    <n v="1.42"/>
    <x v="33"/>
    <s v="Yes"/>
    <s v="BR"/>
    <x v="2"/>
    <x v="2"/>
  </r>
  <r>
    <d v="2024-03-11T00:00:00"/>
    <x v="35"/>
    <s v="Bookkeeping"/>
    <n v="1.45"/>
    <x v="62"/>
    <s v="Yes"/>
    <s v="AP, files"/>
    <x v="2"/>
    <x v="2"/>
  </r>
  <r>
    <d v="2024-03-11T00:00:00"/>
    <x v="35"/>
    <s v="General"/>
    <n v="0.05"/>
    <x v="11"/>
    <s v="No"/>
    <s v="email"/>
    <x v="2"/>
    <x v="2"/>
  </r>
  <r>
    <d v="2024-03-11T00:00:00"/>
    <x v="35"/>
    <s v="Meetings"/>
    <n v="1.1000000000000001"/>
    <x v="11"/>
    <s v="No"/>
    <s v="Team Ann huddle"/>
    <x v="2"/>
    <x v="2"/>
  </r>
  <r>
    <d v="2024-03-11T00:00:00"/>
    <x v="35"/>
    <s v="Payroll Processing"/>
    <n v="0.32"/>
    <x v="62"/>
    <s v="Yes"/>
    <s v="leaves application and payroll"/>
    <x v="2"/>
    <x v="2"/>
  </r>
  <r>
    <d v="2024-03-11T00:00:00"/>
    <x v="35"/>
    <s v="Payroll Processing"/>
    <n v="0.9"/>
    <x v="29"/>
    <s v="Yes"/>
    <m/>
    <x v="2"/>
    <x v="2"/>
  </r>
  <r>
    <d v="2024-03-11T00:00:00"/>
    <x v="35"/>
    <s v="Payroll Processing"/>
    <n v="1.33"/>
    <x v="31"/>
    <s v="Yes"/>
    <m/>
    <x v="2"/>
    <x v="2"/>
  </r>
  <r>
    <d v="2024-03-11T00:00:00"/>
    <x v="36"/>
    <s v="Bookkeeping"/>
    <n v="0.43"/>
    <x v="35"/>
    <s v="Yes"/>
    <s v="Respond to Rob"/>
    <x v="2"/>
    <x v="2"/>
  </r>
  <r>
    <d v="2024-03-11T00:00:00"/>
    <x v="36"/>
    <s v="Bookkeeping"/>
    <n v="0.9"/>
    <x v="16"/>
    <s v="Yes"/>
    <s v="BELC recs"/>
    <x v="2"/>
    <x v="2"/>
  </r>
  <r>
    <d v="2024-03-11T00:00:00"/>
    <x v="36"/>
    <s v="Bookkeeping"/>
    <n v="0.92"/>
    <x v="35"/>
    <s v="Yes"/>
    <s v="Checking emails and replied "/>
    <x v="2"/>
    <x v="2"/>
  </r>
  <r>
    <d v="2024-03-11T00:00:00"/>
    <x v="36"/>
    <s v="Bookkeeping"/>
    <n v="1.1200000000000001"/>
    <x v="35"/>
    <s v="Yes"/>
    <m/>
    <x v="2"/>
    <x v="2"/>
  </r>
  <r>
    <d v="2024-03-11T00:00:00"/>
    <x v="36"/>
    <s v="Bookkeeping"/>
    <n v="3.85"/>
    <x v="16"/>
    <s v="Yes"/>
    <s v="BELCR BS recs"/>
    <x v="2"/>
    <x v="2"/>
  </r>
  <r>
    <d v="2024-03-11T00:00:00"/>
    <x v="36"/>
    <s v="General"/>
    <n v="0.22"/>
    <x v="11"/>
    <s v="No"/>
    <s v="Dex emails"/>
    <x v="2"/>
    <x v="2"/>
  </r>
  <r>
    <d v="2024-03-11T00:00:00"/>
    <x v="36"/>
    <s v="General"/>
    <n v="0.42"/>
    <x v="11"/>
    <s v="No"/>
    <d v="1899-12-30T01:01:00"/>
    <x v="2"/>
    <x v="2"/>
  </r>
  <r>
    <d v="2024-03-11T00:00:00"/>
    <x v="36"/>
    <s v="Management Reporting"/>
    <n v="0.83"/>
    <x v="35"/>
    <s v="Yes"/>
    <s v="CHCP reporting"/>
    <x v="2"/>
    <x v="2"/>
  </r>
  <r>
    <d v="2024-03-11T00:00:00"/>
    <x v="37"/>
    <s v="General"/>
    <n v="7.25"/>
    <x v="11"/>
    <s v="No"/>
    <s v="Weekly billable reporting XPM timesheets review Update weekly billable-new graph Review interco and advances Monthly 1:1 Rose BS queries resolution from Nick with Con WIP study for dashboard"/>
    <x v="2"/>
    <x v="2"/>
  </r>
  <r>
    <d v="2024-03-11T00:00:00"/>
    <x v="37"/>
    <s v="Meetings"/>
    <n v="1.98"/>
    <x v="11"/>
    <s v="No"/>
    <s v="Finance handover - monthend conso"/>
    <x v="2"/>
    <x v="2"/>
  </r>
  <r>
    <d v="2024-03-11T00:00:00"/>
    <x v="38"/>
    <s v="Bookkeeping"/>
    <n v="0.75"/>
    <x v="15"/>
    <s v="Yes"/>
    <s v="Prepayments- walkthrough with Sherly"/>
    <x v="2"/>
    <x v="2"/>
  </r>
  <r>
    <d v="2024-03-11T00:00:00"/>
    <x v="38"/>
    <s v="Bookkeeping"/>
    <n v="8.15"/>
    <x v="15"/>
    <s v="Yes"/>
    <m/>
    <x v="2"/>
    <x v="2"/>
  </r>
  <r>
    <d v="2024-03-11T00:00:00"/>
    <x v="39"/>
    <s v="Sick Leave"/>
    <n v="8"/>
    <x v="11"/>
    <s v="No"/>
    <m/>
    <x v="2"/>
    <x v="2"/>
  </r>
  <r>
    <d v="2024-03-11T00:00:00"/>
    <x v="41"/>
    <s v="Sick Leave"/>
    <n v="8"/>
    <x v="11"/>
    <s v="No"/>
    <m/>
    <x v="2"/>
    <x v="2"/>
  </r>
  <r>
    <d v="2024-03-11T00:00:00"/>
    <x v="42"/>
    <s v="Client Manager"/>
    <n v="0.25"/>
    <x v="102"/>
    <s v="Yes"/>
    <s v="Send emails to Alan/Catherine re nominating Dexterous, NAB ID."/>
    <x v="2"/>
    <x v="2"/>
  </r>
  <r>
    <d v="2024-03-11T00:00:00"/>
    <x v="42"/>
    <s v="Client Manager"/>
    <n v="0.25"/>
    <x v="85"/>
    <s v="Yes"/>
    <s v="Attend to email from Kerry. Coordinate internally re work to be done"/>
    <x v="2"/>
    <x v="2"/>
  </r>
  <r>
    <d v="2024-03-11T00:00:00"/>
    <x v="42"/>
    <s v="Client Manager"/>
    <n v="0.5"/>
    <x v="41"/>
    <s v="Yes"/>
    <s v="Review EOM reports for Feb 2024 and send feedback to Jimwelle"/>
    <x v="2"/>
    <x v="2"/>
  </r>
  <r>
    <d v="2024-03-11T00:00:00"/>
    <x v="42"/>
    <s v="Client Manager"/>
    <n v="1"/>
    <x v="27"/>
    <s v="Yes"/>
    <s v="Review EOM reports for Feb 2024 and send feedback to Jimwelle Attend to emails from Tom re PAYG instalment tax for Tom as an individual "/>
    <x v="2"/>
    <x v="2"/>
  </r>
  <r>
    <d v="2024-03-11T00:00:00"/>
    <x v="42"/>
    <s v="Client Manager"/>
    <n v="1"/>
    <x v="63"/>
    <s v="Yes"/>
    <s v="Review super for Feb 2024. Lodgement via SBSCH. Terminate employees on SBSCH. Send report to Wayne for payment"/>
    <x v="2"/>
    <x v="2"/>
  </r>
  <r>
    <d v="2024-03-11T00:00:00"/>
    <x v="42"/>
    <s v="General"/>
    <n v="2"/>
    <x v="11"/>
    <s v="No"/>
    <s v="Weekly invoicing, BAS/AIS workflow. Request for IAS deferral for RWB, go through mails, proposal for annual payroll tax for Energy Vault, send an email to James, BAS/IAS follow up with team"/>
    <x v="2"/>
    <x v="2"/>
  </r>
  <r>
    <d v="2024-03-11T00:00:00"/>
    <x v="42"/>
    <s v="IAS/BAS Preparation &amp; Lodgement - Feb"/>
    <n v="0.17"/>
    <x v="4"/>
    <s v="Yes"/>
    <s v="Feb 2024 IAS review and lodgement"/>
    <x v="2"/>
    <x v="2"/>
  </r>
  <r>
    <d v="2024-03-11T00:00:00"/>
    <x v="42"/>
    <s v="IAS/BAS Preparation &amp; Lodgement - Feb"/>
    <n v="0.17"/>
    <x v="11"/>
    <s v="No"/>
    <s v="Feb 2024 IAS review and lodgement"/>
    <x v="2"/>
    <x v="2"/>
  </r>
  <r>
    <d v="2024-03-11T00:00:00"/>
    <x v="42"/>
    <s v="IAS/BAS Preparation &amp; Lodgement - Feb"/>
    <n v="0.17"/>
    <x v="30"/>
    <s v="Yes"/>
    <s v="Feb 2024 IAS review and lodgement"/>
    <x v="2"/>
    <x v="2"/>
  </r>
  <r>
    <d v="2024-03-11T00:00:00"/>
    <x v="42"/>
    <s v="IAS/BAS Preparation &amp; Lodgement - Feb"/>
    <n v="0.17"/>
    <x v="36"/>
    <s v="Yes"/>
    <s v="Feb 2024 IAS review and lodgement"/>
    <x v="2"/>
    <x v="2"/>
  </r>
  <r>
    <d v="2024-03-11T00:00:00"/>
    <x v="42"/>
    <s v="IAS/BAS Preparation &amp; Lodgement - Feb"/>
    <n v="0.17"/>
    <x v="27"/>
    <s v="Yes"/>
    <s v="Feb 2024 IAS review and lodgement"/>
    <x v="2"/>
    <x v="2"/>
  </r>
  <r>
    <d v="2024-03-11T00:00:00"/>
    <x v="42"/>
    <s v="IAS/BAS Preparation &amp; Lodgement - Feb"/>
    <n v="0.17"/>
    <x v="63"/>
    <s v="Yes"/>
    <s v="Feb 2024 IAS review and lodgement"/>
    <x v="2"/>
    <x v="2"/>
  </r>
  <r>
    <d v="2024-03-11T00:00:00"/>
    <x v="42"/>
    <s v="IAS/BAS Preparation &amp; Lodgement - Feb"/>
    <n v="0.17"/>
    <x v="23"/>
    <s v="Yes"/>
    <s v="Feb 2024 IAS review and lodgement"/>
    <x v="2"/>
    <x v="2"/>
  </r>
  <r>
    <d v="2024-03-11T00:00:00"/>
    <x v="42"/>
    <s v="IAS/BAS Preparation &amp; Lodgement - Feb"/>
    <n v="0.17"/>
    <x v="37"/>
    <s v="Yes"/>
    <s v="Feb 2024 IAS review and lodgement"/>
    <x v="2"/>
    <x v="2"/>
  </r>
  <r>
    <d v="2024-03-11T00:00:00"/>
    <x v="42"/>
    <s v="IAS/BAS Preparation &amp; Lodgement - Feb"/>
    <n v="0.17"/>
    <x v="6"/>
    <s v="Yes"/>
    <s v="Feb 2024 IAS review and lodgement"/>
    <x v="2"/>
    <x v="2"/>
  </r>
  <r>
    <d v="2024-03-11T00:00:00"/>
    <x v="42"/>
    <s v="IAS/BAS Preparation &amp; Lodgement - Feb"/>
    <n v="0.17"/>
    <x v="90"/>
    <s v="Yes"/>
    <s v="Feb 2024 IAS review and lodgement"/>
    <x v="2"/>
    <x v="2"/>
  </r>
  <r>
    <d v="2024-03-11T00:00:00"/>
    <x v="42"/>
    <s v="IAS/BAS Preparation &amp; Lodgement - Feb"/>
    <n v="0.17"/>
    <x v="74"/>
    <s v="Yes"/>
    <s v="Feb 2024 IAS review and lodgement"/>
    <x v="2"/>
    <x v="2"/>
  </r>
  <r>
    <d v="2024-03-11T00:00:00"/>
    <x v="42"/>
    <s v="IAS/BAS Preparation &amp; Lodgement - Feb"/>
    <n v="0.17"/>
    <x v="8"/>
    <s v="Yes"/>
    <s v="Feb 2024 IAS review and lodgement"/>
    <x v="2"/>
    <x v="2"/>
  </r>
  <r>
    <d v="2024-03-11T00:00:00"/>
    <x v="42"/>
    <s v="Meetings"/>
    <n v="0.5"/>
    <x v="11"/>
    <s v="No"/>
    <s v="Weekly Sydney meeting"/>
    <x v="2"/>
    <x v="2"/>
  </r>
  <r>
    <d v="2024-03-11T00:00:00"/>
    <x v="43"/>
    <s v="Management Reporting"/>
    <n v="1.43"/>
    <x v="15"/>
    <s v="No"/>
    <s v="Overview Month end task"/>
    <x v="2"/>
    <x v="2"/>
  </r>
  <r>
    <d v="2024-03-11T00:00:00"/>
    <x v="43"/>
    <s v="Management Reporting"/>
    <n v="1.78"/>
    <x v="15"/>
    <s v="Yes"/>
    <s v="Cashflow, meeting with James Con"/>
    <x v="2"/>
    <x v="2"/>
  </r>
  <r>
    <d v="2024-03-11T00:00:00"/>
    <x v="43"/>
    <s v="Management Reporting"/>
    <n v="5.77"/>
    <x v="15"/>
    <s v="Yes"/>
    <s v="Month End BS Rec"/>
    <x v="2"/>
    <x v="2"/>
  </r>
  <r>
    <d v="2024-03-11T00:00:00"/>
    <x v="44"/>
    <s v="Adhoc Support &amp; Advice"/>
    <n v="0.2"/>
    <x v="66"/>
    <s v="Yes"/>
    <s v="Email Andrew/talk Nick re Josh's resignation"/>
    <x v="2"/>
    <x v="2"/>
  </r>
  <r>
    <d v="2024-03-11T00:00:00"/>
    <x v="44"/>
    <s v="Adhoc Support &amp; Advice"/>
    <n v="0.7"/>
    <x v="66"/>
    <s v="Yes"/>
    <s v="ITR 2023 and 2024 - run GST reports and payroll reports and send to ARC"/>
    <x v="2"/>
    <x v="2"/>
  </r>
  <r>
    <d v="2024-03-11T00:00:00"/>
    <x v="44"/>
    <s v="Bookkeeping"/>
    <n v="0.6"/>
    <x v="16"/>
    <s v="Yes"/>
    <s v="Review BS rec"/>
    <x v="2"/>
    <x v="2"/>
  </r>
  <r>
    <d v="2024-03-11T00:00:00"/>
    <x v="44"/>
    <s v="Bookkeeping"/>
    <n v="1.2"/>
    <x v="16"/>
    <s v="Yes"/>
    <s v="Review BASS Bs Rec + corrections"/>
    <x v="2"/>
    <x v="2"/>
  </r>
  <r>
    <d v="2024-03-11T00:00:00"/>
    <x v="44"/>
    <s v="Client Admin"/>
    <n v="0.8"/>
    <x v="11"/>
    <s v="No"/>
    <s v="Review timesheet, approve invoices Bellinger and Capspace - check Rachele's allocation on Bellinger"/>
    <x v="2"/>
    <x v="2"/>
  </r>
  <r>
    <d v="2024-03-11T00:00:00"/>
    <x v="44"/>
    <s v="Client Manager"/>
    <n v="0.3"/>
    <x v="16"/>
    <s v="Yes"/>
    <s v="Liaise with Sam for update"/>
    <x v="2"/>
    <x v="2"/>
  </r>
  <r>
    <d v="2024-03-11T00:00:00"/>
    <x v="44"/>
    <s v="Client Manager"/>
    <n v="0.4"/>
    <x v="6"/>
    <s v="Yes"/>
    <s v="Queries Tracey, liaise with Aileen"/>
    <x v="2"/>
    <x v="2"/>
  </r>
  <r>
    <d v="2024-03-11T00:00:00"/>
    <x v="44"/>
    <s v="Client Manager"/>
    <n v="0.5"/>
    <x v="16"/>
    <s v="Yes"/>
    <s v="emails, liaise with team"/>
    <x v="2"/>
    <x v="2"/>
  </r>
  <r>
    <d v="2024-03-11T00:00:00"/>
    <x v="44"/>
    <s v="Client Manager"/>
    <n v="0.5"/>
    <x v="67"/>
    <s v="Yes"/>
    <s v="Retrieve and resend quote for Fathom report - inform client about AL"/>
    <x v="2"/>
    <x v="2"/>
  </r>
  <r>
    <d v="2024-03-11T00:00:00"/>
    <x v="44"/>
    <s v="IAS/BAS Preparation &amp; Lodgement - Feb"/>
    <n v="0.3"/>
    <x v="97"/>
    <s v="Yes"/>
    <s v="GST Jan-Feb - run reports in Sage, send to Nica"/>
    <x v="2"/>
    <x v="2"/>
  </r>
  <r>
    <d v="2024-03-11T00:00:00"/>
    <x v="44"/>
    <s v="IAS/BAS Preparation &amp; Lodgement - Jan"/>
    <n v="0.1"/>
    <x v="97"/>
    <s v="Yes"/>
    <s v="Nica's access to server"/>
    <x v="2"/>
    <x v="2"/>
  </r>
  <r>
    <d v="2024-03-11T00:00:00"/>
    <x v="44"/>
    <s v="Management Reporting"/>
    <n v="0.7"/>
    <x v="67"/>
    <s v="Yes"/>
    <s v="set up consolidated P&amp;L Feb 2024"/>
    <x v="2"/>
    <x v="2"/>
  </r>
  <r>
    <d v="2024-03-11T00:00:00"/>
    <x v="44"/>
    <s v="Meetings"/>
    <n v="0.5"/>
    <x v="11"/>
    <s v="No"/>
    <s v="Weekly catch up"/>
    <x v="2"/>
    <x v="2"/>
  </r>
  <r>
    <d v="2024-03-11T00:00:00"/>
    <x v="44"/>
    <s v="Meetings"/>
    <n v="1"/>
    <x v="11"/>
    <s v="No"/>
    <s v="Catch up Nick"/>
    <x v="2"/>
    <x v="2"/>
  </r>
  <r>
    <d v="2024-03-11T00:00:00"/>
    <x v="45"/>
    <s v="HR/Recuitment"/>
    <n v="4"/>
    <x v="11"/>
    <s v="No"/>
    <e v="#NAME?"/>
    <x v="2"/>
    <x v="2"/>
  </r>
  <r>
    <d v="2024-03-11T00:00:00"/>
    <x v="45"/>
    <s v="HR/Recuitment"/>
    <n v="4"/>
    <x v="11"/>
    <s v="No"/>
    <e v="#NAME?"/>
    <x v="2"/>
    <x v="2"/>
  </r>
  <r>
    <d v="2024-03-12T00:00:00"/>
    <x v="0"/>
    <s v="Bookkeeping"/>
    <n v="0.03"/>
    <x v="12"/>
    <s v="Yes"/>
    <s v="Email"/>
    <x v="2"/>
    <x v="3"/>
  </r>
  <r>
    <d v="2024-03-12T00:00:00"/>
    <x v="0"/>
    <s v="Bookkeeping"/>
    <n v="0.03"/>
    <x v="0"/>
    <s v="Yes"/>
    <s v="Set Lock Dates in Xero"/>
    <x v="2"/>
    <x v="3"/>
  </r>
  <r>
    <d v="2024-03-12T00:00:00"/>
    <x v="0"/>
    <s v="Bookkeeping"/>
    <n v="0.08"/>
    <x v="7"/>
    <s v="Yes"/>
    <s v="Download Bank Statements"/>
    <x v="2"/>
    <x v="3"/>
  </r>
  <r>
    <d v="2024-03-12T00:00:00"/>
    <x v="0"/>
    <s v="Bookkeeping"/>
    <n v="0.08"/>
    <x v="0"/>
    <s v="Yes"/>
    <s v="Review"/>
    <x v="2"/>
    <x v="3"/>
  </r>
  <r>
    <d v="2024-03-12T00:00:00"/>
    <x v="0"/>
    <s v="Bookkeeping"/>
    <n v="0.17"/>
    <x v="5"/>
    <s v="Yes"/>
    <s v="AP and Email/Inbox Management"/>
    <x v="2"/>
    <x v="3"/>
  </r>
  <r>
    <d v="2024-03-12T00:00:00"/>
    <x v="0"/>
    <s v="Bookkeeping"/>
    <n v="0.18"/>
    <x v="0"/>
    <s v="Yes"/>
    <s v="Check Brokerage balance in AgriChain vs Xero"/>
    <x v="2"/>
    <x v="3"/>
  </r>
  <r>
    <d v="2024-03-12T00:00:00"/>
    <x v="0"/>
    <s v="Bookkeeping"/>
    <n v="0.2"/>
    <x v="1"/>
    <s v="Yes"/>
    <s v="Clear AP inbox and Submit bills for approval in Xero"/>
    <x v="2"/>
    <x v="3"/>
  </r>
  <r>
    <d v="2024-03-12T00:00:00"/>
    <x v="0"/>
    <s v="Bookkeeping"/>
    <n v="0.22"/>
    <x v="6"/>
    <s v="Yes"/>
    <s v="AP and Email/Inbox Management"/>
    <x v="2"/>
    <x v="3"/>
  </r>
  <r>
    <d v="2024-03-12T00:00:00"/>
    <x v="0"/>
    <s v="Bookkeeping"/>
    <n v="0.23"/>
    <x v="9"/>
    <s v="Yes"/>
    <s v="Email/Inbox Management"/>
    <x v="2"/>
    <x v="3"/>
  </r>
  <r>
    <d v="2024-03-12T00:00:00"/>
    <x v="0"/>
    <s v="Bookkeeping"/>
    <n v="0.28000000000000003"/>
    <x v="4"/>
    <s v="Yes"/>
    <s v="Accounts Payable"/>
    <x v="2"/>
    <x v="3"/>
  </r>
  <r>
    <d v="2024-03-12T00:00:00"/>
    <x v="0"/>
    <s v="Bookkeeping"/>
    <n v="0.28000000000000003"/>
    <x v="5"/>
    <s v="Yes"/>
    <s v="Bank Reconciliation, Emails, and Manual Journals"/>
    <x v="2"/>
    <x v="3"/>
  </r>
  <r>
    <d v="2024-03-12T00:00:00"/>
    <x v="0"/>
    <s v="Bookkeeping"/>
    <n v="0.3"/>
    <x v="3"/>
    <s v="Yes"/>
    <s v="Bank Reconciliation"/>
    <x v="2"/>
    <x v="3"/>
  </r>
  <r>
    <d v="2024-03-12T00:00:00"/>
    <x v="0"/>
    <s v="Bookkeeping"/>
    <n v="0.33"/>
    <x v="5"/>
    <s v="Yes"/>
    <s v="AP and Emails"/>
    <x v="2"/>
    <x v="3"/>
  </r>
  <r>
    <d v="2024-03-12T00:00:00"/>
    <x v="0"/>
    <s v="Bookkeeping"/>
    <n v="0.5"/>
    <x v="0"/>
    <s v="Yes"/>
    <s v="Check Sales &amp; Purchases balance in AgriChain vs Xero"/>
    <x v="2"/>
    <x v="3"/>
  </r>
  <r>
    <d v="2024-03-12T00:00:00"/>
    <x v="0"/>
    <s v="Bookkeeping"/>
    <n v="0.56999999999999995"/>
    <x v="0"/>
    <s v="Yes"/>
    <s v="Check Sales balance in AgriChain vs Xero"/>
    <x v="2"/>
    <x v="3"/>
  </r>
  <r>
    <d v="2024-03-12T00:00:00"/>
    <x v="0"/>
    <s v="Bookkeeping"/>
    <n v="0.78"/>
    <x v="0"/>
    <s v="Yes"/>
    <s v="Check if all invoices in AgriChain are synced in Xero and Publish bills from Hubdoc to Xero"/>
    <x v="2"/>
    <x v="3"/>
  </r>
  <r>
    <d v="2024-03-12T00:00:00"/>
    <x v="0"/>
    <s v="Bookkeeping"/>
    <n v="0.78"/>
    <x v="5"/>
    <s v="Yes"/>
    <s v="Bank Reconciliation"/>
    <x v="2"/>
    <x v="3"/>
  </r>
  <r>
    <d v="2024-03-12T00:00:00"/>
    <x v="0"/>
    <s v="Bookkeeping"/>
    <n v="1.65"/>
    <x v="9"/>
    <s v="Yes"/>
    <s v="Accounts Payable"/>
    <x v="2"/>
    <x v="3"/>
  </r>
  <r>
    <d v="2024-03-12T00:00:00"/>
    <x v="0"/>
    <s v="General"/>
    <n v="0.25"/>
    <x v="11"/>
    <s v="No"/>
    <s v="Afternoon Break"/>
    <x v="2"/>
    <x v="3"/>
  </r>
  <r>
    <d v="2024-03-12T00:00:00"/>
    <x v="0"/>
    <s v="General"/>
    <n v="0.25"/>
    <x v="11"/>
    <s v="No"/>
    <s v="Morning Break"/>
    <x v="2"/>
    <x v="3"/>
  </r>
  <r>
    <d v="2024-03-12T00:00:00"/>
    <x v="0"/>
    <s v="Payroll Processing"/>
    <n v="0.03"/>
    <x v="6"/>
    <s v="Yes"/>
    <s v="Email"/>
    <x v="2"/>
    <x v="3"/>
  </r>
  <r>
    <d v="2024-03-12T00:00:00"/>
    <x v="0"/>
    <s v="Payroll Processing"/>
    <n v="0.05"/>
    <x v="6"/>
    <s v="Yes"/>
    <s v="Emails"/>
    <x v="2"/>
    <x v="3"/>
  </r>
  <r>
    <d v="2024-03-12T00:00:00"/>
    <x v="0"/>
    <s v="Payroll Processing"/>
    <n v="0.05"/>
    <x v="8"/>
    <s v="Yes"/>
    <s v="Review"/>
    <x v="2"/>
    <x v="3"/>
  </r>
  <r>
    <d v="2024-03-12T00:00:00"/>
    <x v="0"/>
    <s v="Payroll Processing"/>
    <n v="0.2"/>
    <x v="6"/>
    <s v="Yes"/>
    <s v="Set up new employee in Xero"/>
    <x v="2"/>
    <x v="3"/>
  </r>
  <r>
    <d v="2024-03-12T00:00:00"/>
    <x v="0"/>
    <s v="Payroll Processing"/>
    <n v="0.45"/>
    <x v="13"/>
    <s v="Yes"/>
    <m/>
    <x v="2"/>
    <x v="3"/>
  </r>
  <r>
    <d v="2024-03-12T00:00:00"/>
    <x v="1"/>
    <s v="P&amp;C Advisory"/>
    <n v="0.33"/>
    <x v="34"/>
    <s v="Yes"/>
    <s v="Meeting re. mediation"/>
    <x v="2"/>
    <x v="3"/>
  </r>
  <r>
    <d v="2024-03-12T00:00:00"/>
    <x v="1"/>
    <s v="P&amp;C Advisory - Group"/>
    <n v="0.75"/>
    <x v="14"/>
    <s v="Yes"/>
    <s v="Weekly meeting with FD Call with FD re. salary range/performance concerns of staff member"/>
    <x v="2"/>
    <x v="3"/>
  </r>
  <r>
    <d v="2024-03-12T00:00:00"/>
    <x v="1"/>
    <s v="P&amp;C Advisory - Group"/>
    <n v="1.25"/>
    <x v="14"/>
    <s v="Yes"/>
    <s v="Remuneration reviews and correspondence"/>
    <x v="2"/>
    <x v="3"/>
  </r>
  <r>
    <d v="2024-03-12T00:00:00"/>
    <x v="2"/>
    <s v="Bookkeeping"/>
    <n v="0.23"/>
    <x v="0"/>
    <s v="No"/>
    <s v="call with Nicole"/>
    <x v="2"/>
    <x v="3"/>
  </r>
  <r>
    <d v="2024-03-12T00:00:00"/>
    <x v="2"/>
    <s v="Bookkeeping"/>
    <n v="0.28000000000000003"/>
    <x v="0"/>
    <s v="No"/>
    <s v="call with Aileen re task"/>
    <x v="2"/>
    <x v="3"/>
  </r>
  <r>
    <d v="2024-03-12T00:00:00"/>
    <x v="2"/>
    <s v="Bookkeeping"/>
    <n v="0.77"/>
    <x v="5"/>
    <s v="Yes"/>
    <s v="Check emails, Assist with final pay calcs, chats with Mary"/>
    <x v="2"/>
    <x v="3"/>
  </r>
  <r>
    <d v="2024-03-12T00:00:00"/>
    <x v="2"/>
    <s v="Bookkeeping"/>
    <n v="1.1299999999999999"/>
    <x v="33"/>
    <s v="Yes"/>
    <m/>
    <x v="2"/>
    <x v="3"/>
  </r>
  <r>
    <d v="2024-03-12T00:00:00"/>
    <x v="2"/>
    <s v="Bookkeeping"/>
    <n v="1.92"/>
    <x v="67"/>
    <s v="Yes"/>
    <m/>
    <x v="2"/>
    <x v="3"/>
  </r>
  <r>
    <d v="2024-03-12T00:00:00"/>
    <x v="2"/>
    <s v="General"/>
    <n v="0.13"/>
    <x v="11"/>
    <s v="No"/>
    <s v="internal call, chats"/>
    <x v="2"/>
    <x v="3"/>
  </r>
  <r>
    <d v="2024-03-12T00:00:00"/>
    <x v="2"/>
    <s v="General"/>
    <n v="0.65"/>
    <x v="11"/>
    <s v="No"/>
    <s v="Asana, Sprout, emails, chats"/>
    <x v="2"/>
    <x v="3"/>
  </r>
  <r>
    <d v="2024-03-12T00:00:00"/>
    <x v="2"/>
    <s v="General"/>
    <n v="1.23"/>
    <x v="11"/>
    <s v="No"/>
    <s v="Break, chats, emails, capacity, etc"/>
    <x v="2"/>
    <x v="3"/>
  </r>
  <r>
    <d v="2024-03-12T00:00:00"/>
    <x v="2"/>
    <s v="General"/>
    <n v="1.67"/>
    <x v="11"/>
    <s v="No"/>
    <s v="call with RJ, chats re staff concerns, capacity, call with Guia re capacity, etc"/>
    <x v="2"/>
    <x v="3"/>
  </r>
  <r>
    <d v="2024-03-12T00:00:00"/>
    <x v="3"/>
    <s v="Business Development"/>
    <n v="8"/>
    <x v="11"/>
    <s v="No"/>
    <s v="screen through existing processes to filter through what to keep and delete  start of video and manual edits "/>
    <x v="2"/>
    <x v="3"/>
  </r>
  <r>
    <d v="2024-03-12T00:00:00"/>
    <x v="4"/>
    <s v="Business Development"/>
    <n v="7"/>
    <x v="11"/>
    <s v="No"/>
    <m/>
    <x v="2"/>
    <x v="3"/>
  </r>
  <r>
    <d v="2024-03-12T00:00:00"/>
    <x v="5"/>
    <s v="Bookkeeping"/>
    <n v="1.47"/>
    <x v="15"/>
    <s v="Yes"/>
    <s v="Amend James' comments for EFT weekly lists "/>
    <x v="2"/>
    <x v="3"/>
  </r>
  <r>
    <d v="2024-03-12T00:00:00"/>
    <x v="5"/>
    <s v="Bookkeeping"/>
    <n v="1.75"/>
    <x v="15"/>
    <s v="Yes"/>
    <s v="Statement Checking "/>
    <x v="2"/>
    <x v="3"/>
  </r>
  <r>
    <d v="2024-03-12T00:00:00"/>
    <x v="5"/>
    <s v="Bookkeeping"/>
    <n v="1.78"/>
    <x v="15"/>
    <s v="Yes"/>
    <s v="Email Management "/>
    <x v="2"/>
    <x v="3"/>
  </r>
  <r>
    <d v="2024-03-12T00:00:00"/>
    <x v="5"/>
    <s v="Bookkeeping"/>
    <n v="3.2"/>
    <x v="15"/>
    <s v="Yes"/>
    <s v="Posting of Invoices"/>
    <x v="2"/>
    <x v="3"/>
  </r>
  <r>
    <d v="2024-03-12T00:00:00"/>
    <x v="6"/>
    <s v="Automations"/>
    <n v="8"/>
    <x v="11"/>
    <s v="No"/>
    <s v="XeroDownloadReportsAutomation - Debugging some errors found while running in the VM"/>
    <x v="2"/>
    <x v="3"/>
  </r>
  <r>
    <d v="2024-03-12T00:00:00"/>
    <x v="7"/>
    <s v="Budget - Monthly"/>
    <n v="0.02"/>
    <x v="104"/>
    <s v="No"/>
    <m/>
    <x v="2"/>
    <x v="3"/>
  </r>
  <r>
    <d v="2024-03-12T00:00:00"/>
    <x v="7"/>
    <s v="Budget - Monthly"/>
    <n v="0.02"/>
    <x v="105"/>
    <s v="No"/>
    <m/>
    <x v="2"/>
    <x v="3"/>
  </r>
  <r>
    <d v="2024-03-12T00:00:00"/>
    <x v="8"/>
    <s v="Automations"/>
    <n v="4.5"/>
    <x v="11"/>
    <s v="No"/>
    <s v="Run four Alliance automations + AP automation;  Added 6 supplier to Alliance Automation Statements/Credit Adjustments"/>
    <x v="2"/>
    <x v="3"/>
  </r>
  <r>
    <d v="2024-03-12T00:00:00"/>
    <x v="9"/>
    <s v="Automations"/>
    <n v="9.25"/>
    <x v="11"/>
    <s v="No"/>
    <s v="Connected Culture New Template Development"/>
    <x v="2"/>
    <x v="3"/>
  </r>
  <r>
    <d v="2024-03-12T00:00:00"/>
    <x v="10"/>
    <s v="Bookkeeping"/>
    <n v="0.17"/>
    <x v="42"/>
    <s v="Yes"/>
    <s v="Checking emails, bank recon"/>
    <x v="2"/>
    <x v="3"/>
  </r>
  <r>
    <d v="2024-03-12T00:00:00"/>
    <x v="10"/>
    <s v="Bookkeeping"/>
    <n v="0.42"/>
    <x v="23"/>
    <s v="Yes"/>
    <s v="Creating invoice for client"/>
    <x v="2"/>
    <x v="3"/>
  </r>
  <r>
    <d v="2024-03-12T00:00:00"/>
    <x v="10"/>
    <s v="Bookkeeping"/>
    <n v="0.92"/>
    <x v="85"/>
    <s v="Yes"/>
    <s v="Loading receipts from Dext, bank recon, AP payment"/>
    <x v="2"/>
    <x v="3"/>
  </r>
  <r>
    <d v="2024-03-12T00:00:00"/>
    <x v="10"/>
    <s v="General"/>
    <n v="0.5"/>
    <x v="11"/>
    <s v="No"/>
    <s v="break"/>
    <x v="2"/>
    <x v="3"/>
  </r>
  <r>
    <d v="2024-03-12T00:00:00"/>
    <x v="10"/>
    <s v="Payroll Processing"/>
    <n v="1.25"/>
    <x v="61"/>
    <s v="No"/>
    <s v="Learning the process, reading emails, reviewing the exceptions spreadsheet, checking previous payruns and checking each employee's payslips"/>
    <x v="2"/>
    <x v="3"/>
  </r>
  <r>
    <d v="2024-03-12T00:00:00"/>
    <x v="10"/>
    <s v="Payroll Processing"/>
    <n v="4.75"/>
    <x v="61"/>
    <s v="Yes"/>
    <s v="Monthly payroll"/>
    <x v="2"/>
    <x v="3"/>
  </r>
  <r>
    <d v="2024-03-12T00:00:00"/>
    <x v="46"/>
    <s v="CFO001 - CFO Services"/>
    <n v="0.5"/>
    <x v="5"/>
    <s v="Yes"/>
    <s v="Review + coordinate final pay calc + payroll"/>
    <x v="2"/>
    <x v="3"/>
  </r>
  <r>
    <d v="2024-03-12T00:00:00"/>
    <x v="47"/>
    <s v="Company Tax Returns"/>
    <n v="1"/>
    <x v="70"/>
    <s v="Yes"/>
    <s v="uploaded all the returns (6 entities) to xero for signing, billing instructions to Mel; updating ASANA, updating 2024 tax schedule, email Bec to let her know and confirm if ADFLMF is approved for signature"/>
    <x v="2"/>
    <x v="3"/>
  </r>
  <r>
    <d v="2024-03-12T00:00:00"/>
    <x v="11"/>
    <s v="Bookkeeping"/>
    <n v="0.22"/>
    <x v="60"/>
    <s v="No"/>
    <s v="review and approve invoice"/>
    <x v="2"/>
    <x v="3"/>
  </r>
  <r>
    <d v="2024-03-12T00:00:00"/>
    <x v="11"/>
    <s v="Bookkeeping"/>
    <n v="0.28000000000000003"/>
    <x v="31"/>
    <s v="Yes"/>
    <s v="admin"/>
    <x v="2"/>
    <x v="3"/>
  </r>
  <r>
    <d v="2024-03-12T00:00:00"/>
    <x v="11"/>
    <s v="Bookkeeping"/>
    <n v="0.28000000000000003"/>
    <x v="45"/>
    <s v="Yes"/>
    <s v="queries"/>
    <x v="2"/>
    <x v="3"/>
  </r>
  <r>
    <d v="2024-03-12T00:00:00"/>
    <x v="11"/>
    <s v="Bookkeeping"/>
    <n v="0.32"/>
    <x v="73"/>
    <s v="Yes"/>
    <s v="emails/queries"/>
    <x v="2"/>
    <x v="3"/>
  </r>
  <r>
    <d v="2024-03-12T00:00:00"/>
    <x v="11"/>
    <s v="Bookkeeping"/>
    <n v="0.33"/>
    <x v="25"/>
    <s v="Yes"/>
    <s v="queries"/>
    <x v="2"/>
    <x v="3"/>
  </r>
  <r>
    <d v="2024-03-12T00:00:00"/>
    <x v="11"/>
    <s v="Bookkeeping"/>
    <n v="0.35"/>
    <x v="27"/>
    <s v="Yes"/>
    <s v="emails/ requests/ queries"/>
    <x v="2"/>
    <x v="3"/>
  </r>
  <r>
    <d v="2024-03-12T00:00:00"/>
    <x v="11"/>
    <s v="Bookkeeping"/>
    <n v="0.45"/>
    <x v="25"/>
    <s v="Yes"/>
    <s v="queries/emails"/>
    <x v="2"/>
    <x v="3"/>
  </r>
  <r>
    <d v="2024-03-12T00:00:00"/>
    <x v="11"/>
    <s v="Bookkeeping"/>
    <n v="0.56999999999999995"/>
    <x v="29"/>
    <s v="Yes"/>
    <s v="Deputy report"/>
    <x v="2"/>
    <x v="3"/>
  </r>
  <r>
    <d v="2024-03-12T00:00:00"/>
    <x v="11"/>
    <s v="Bookkeeping"/>
    <n v="1.25"/>
    <x v="42"/>
    <s v="Yes"/>
    <s v="Apple"/>
    <x v="2"/>
    <x v="3"/>
  </r>
  <r>
    <d v="2024-03-12T00:00:00"/>
    <x v="11"/>
    <s v="Bookkeeping - Emails"/>
    <n v="0.28000000000000003"/>
    <x v="31"/>
    <s v="Yes"/>
    <m/>
    <x v="2"/>
    <x v="3"/>
  </r>
  <r>
    <d v="2024-03-12T00:00:00"/>
    <x v="11"/>
    <s v="General"/>
    <n v="0.43"/>
    <x v="11"/>
    <s v="No"/>
    <s v="teams queries"/>
    <x v="2"/>
    <x v="3"/>
  </r>
  <r>
    <d v="2024-03-12T00:00:00"/>
    <x v="11"/>
    <s v="General"/>
    <n v="0.5"/>
    <x v="11"/>
    <s v="No"/>
    <s v="break"/>
    <x v="2"/>
    <x v="3"/>
  </r>
  <r>
    <d v="2024-03-12T00:00:00"/>
    <x v="11"/>
    <s v="General"/>
    <n v="0.65"/>
    <x v="11"/>
    <s v="No"/>
    <s v="inbox/ leave calendar/ Sprout/ reminder"/>
    <x v="2"/>
    <x v="3"/>
  </r>
  <r>
    <d v="2024-03-12T00:00:00"/>
    <x v="11"/>
    <s v="General"/>
    <n v="1.18"/>
    <x v="11"/>
    <s v="No"/>
    <s v="career dev't plan"/>
    <x v="2"/>
    <x v="3"/>
  </r>
  <r>
    <d v="2024-03-12T00:00:00"/>
    <x v="11"/>
    <s v="Payroll Processing"/>
    <n v="0.65"/>
    <x v="29"/>
    <s v="Yes"/>
    <s v="review"/>
    <x v="2"/>
    <x v="3"/>
  </r>
  <r>
    <d v="2024-03-12T00:00:00"/>
    <x v="11"/>
    <s v="Xero Migration"/>
    <n v="0.25"/>
    <x v="106"/>
    <s v="Yes"/>
    <s v="adding users"/>
    <x v="2"/>
    <x v="3"/>
  </r>
  <r>
    <d v="2024-03-12T00:00:00"/>
    <x v="12"/>
    <s v="Bookkeeping"/>
    <n v="0.32"/>
    <x v="15"/>
    <s v="Yes"/>
    <e v="#NAME?"/>
    <x v="2"/>
    <x v="3"/>
  </r>
  <r>
    <d v="2024-03-12T00:00:00"/>
    <x v="12"/>
    <s v="Bookkeeping"/>
    <n v="0.48"/>
    <x v="15"/>
    <s v="Yes"/>
    <e v="#NAME?"/>
    <x v="2"/>
    <x v="3"/>
  </r>
  <r>
    <d v="2024-03-12T00:00:00"/>
    <x v="12"/>
    <s v="General"/>
    <n v="8.98"/>
    <x v="11"/>
    <s v="No"/>
    <s v="- ASIC - Call to ATO for RSVP.Com - Nick's email management - Follow up with Travel Agents - Zoho data update"/>
    <x v="2"/>
    <x v="3"/>
  </r>
  <r>
    <d v="2024-03-12T00:00:00"/>
    <x v="13"/>
    <s v="Bookkeeping"/>
    <n v="0.55000000000000004"/>
    <x v="30"/>
    <s v="Yes"/>
    <s v="ap report"/>
    <x v="2"/>
    <x v="3"/>
  </r>
  <r>
    <d v="2024-03-12T00:00:00"/>
    <x v="13"/>
    <s v="Bookkeeping"/>
    <n v="0.87"/>
    <x v="30"/>
    <s v="Yes"/>
    <s v="bank recon"/>
    <x v="2"/>
    <x v="3"/>
  </r>
  <r>
    <d v="2024-03-12T00:00:00"/>
    <x v="13"/>
    <s v="Bookkeeping"/>
    <n v="1.43"/>
    <x v="71"/>
    <s v="Yes"/>
    <s v="invoices inbox"/>
    <x v="2"/>
    <x v="3"/>
  </r>
  <r>
    <d v="2024-03-12T00:00:00"/>
    <x v="13"/>
    <s v="Bookkeeping"/>
    <n v="2.35"/>
    <x v="29"/>
    <s v="Yes"/>
    <s v="bank recon ap invoices from inbox approve ap invoices in xero"/>
    <x v="2"/>
    <x v="3"/>
  </r>
  <r>
    <d v="2024-03-12T00:00:00"/>
    <x v="13"/>
    <s v="Bookkeeping"/>
    <n v="2.5499999999999998"/>
    <x v="72"/>
    <s v="Yes"/>
    <s v="spinning and woolpack invoices"/>
    <x v="2"/>
    <x v="3"/>
  </r>
  <r>
    <d v="2024-03-12T00:00:00"/>
    <x v="13"/>
    <s v="General"/>
    <n v="0.25"/>
    <x v="11"/>
    <s v="No"/>
    <s v="break"/>
    <x v="2"/>
    <x v="3"/>
  </r>
  <r>
    <d v="2024-03-12T00:00:00"/>
    <x v="14"/>
    <s v="Bookkeeping"/>
    <n v="1.02"/>
    <x v="32"/>
    <s v="Yes"/>
    <s v="Checking mails, drafting email, checking accounts"/>
    <x v="2"/>
    <x v="3"/>
  </r>
  <r>
    <d v="2024-03-12T00:00:00"/>
    <x v="14"/>
    <s v="Bookkeeping"/>
    <n v="1.35"/>
    <x v="32"/>
    <s v="Yes"/>
    <s v="AR invoices, answering queries/emails"/>
    <x v="2"/>
    <x v="3"/>
  </r>
  <r>
    <d v="2024-03-12T00:00:00"/>
    <x v="14"/>
    <s v="Bookkeeping"/>
    <n v="2.75"/>
    <x v="73"/>
    <s v="Yes"/>
    <s v="Recording of invoices"/>
    <x v="2"/>
    <x v="3"/>
  </r>
  <r>
    <d v="2024-03-12T00:00:00"/>
    <x v="14"/>
    <s v="General"/>
    <n v="0.17"/>
    <x v="11"/>
    <s v="No"/>
    <s v="Checking emails"/>
    <x v="2"/>
    <x v="3"/>
  </r>
  <r>
    <d v="2024-03-12T00:00:00"/>
    <x v="14"/>
    <s v="Management Reporting"/>
    <n v="0.5"/>
    <x v="25"/>
    <s v="Yes"/>
    <s v="Cashflow updates"/>
    <x v="2"/>
    <x v="3"/>
  </r>
  <r>
    <d v="2024-03-12T00:00:00"/>
    <x v="14"/>
    <s v="Management Reporting"/>
    <n v="0.7"/>
    <x v="73"/>
    <s v="Yes"/>
    <s v="Updating month-end report"/>
    <x v="2"/>
    <x v="3"/>
  </r>
  <r>
    <d v="2024-03-12T00:00:00"/>
    <x v="14"/>
    <s v="Payroll Processing"/>
    <n v="1.6"/>
    <x v="34"/>
    <s v="Yes"/>
    <s v="Payroll "/>
    <x v="2"/>
    <x v="3"/>
  </r>
  <r>
    <d v="2024-03-12T00:00:00"/>
    <x v="15"/>
    <s v="Bookkeeping"/>
    <n v="0.48"/>
    <x v="102"/>
    <s v="Yes"/>
    <s v="bank rec"/>
    <x v="2"/>
    <x v="3"/>
  </r>
  <r>
    <d v="2024-03-12T00:00:00"/>
    <x v="15"/>
    <s v="Bookkeeping"/>
    <n v="0.98"/>
    <x v="20"/>
    <s v="Yes"/>
    <s v="update oporto report templates - across all oporto files"/>
    <x v="2"/>
    <x v="3"/>
  </r>
  <r>
    <d v="2024-03-12T00:00:00"/>
    <x v="15"/>
    <s v="Bookkeeping"/>
    <n v="1.45"/>
    <x v="102"/>
    <s v="Yes"/>
    <s v="bank rec and check bills and invoices"/>
    <x v="2"/>
    <x v="3"/>
  </r>
  <r>
    <d v="2024-03-12T00:00:00"/>
    <x v="15"/>
    <s v="Bookkeeping"/>
    <n v="1.5"/>
    <x v="50"/>
    <s v="Yes"/>
    <s v="review loan balances"/>
    <x v="2"/>
    <x v="3"/>
  </r>
  <r>
    <d v="2024-03-12T00:00:00"/>
    <x v="15"/>
    <s v="General"/>
    <n v="0.33"/>
    <x v="11"/>
    <s v="No"/>
    <s v="emails. chat, asana"/>
    <x v="2"/>
    <x v="3"/>
  </r>
  <r>
    <d v="2024-03-12T00:00:00"/>
    <x v="15"/>
    <s v="General"/>
    <n v="1.63"/>
    <x v="11"/>
    <s v="No"/>
    <s v="IT fix server starleaton, emails, follow up Sam of Yacht life"/>
    <x v="2"/>
    <x v="3"/>
  </r>
  <r>
    <d v="2024-03-12T00:00:00"/>
    <x v="15"/>
    <s v="IAS/BAS Preparation &amp; Lodgement - Feb"/>
    <n v="0.35"/>
    <x v="97"/>
    <s v="Yes"/>
    <s v="GST return lodgement"/>
    <x v="2"/>
    <x v="3"/>
  </r>
  <r>
    <d v="2024-03-12T00:00:00"/>
    <x v="15"/>
    <s v="Learning &amp; Development"/>
    <n v="1.33"/>
    <x v="11"/>
    <s v="No"/>
    <s v="review process flows"/>
    <x v="2"/>
    <x v="3"/>
  </r>
  <r>
    <d v="2024-03-12T00:00:00"/>
    <x v="15"/>
    <s v="Management Reporting"/>
    <n v="0.28000000000000003"/>
    <x v="35"/>
    <s v="No"/>
    <s v="assist Rac and answer query"/>
    <x v="2"/>
    <x v="3"/>
  </r>
  <r>
    <d v="2024-03-12T00:00:00"/>
    <x v="16"/>
    <s v="Bookkeeping"/>
    <n v="7.92"/>
    <x v="35"/>
    <s v="Yes"/>
    <m/>
    <x v="2"/>
    <x v="3"/>
  </r>
  <r>
    <d v="2024-03-12T00:00:00"/>
    <x v="16"/>
    <s v="Payroll Processing"/>
    <n v="0.23"/>
    <x v="1"/>
    <s v="Yes"/>
    <s v="Super "/>
    <x v="2"/>
    <x v="3"/>
  </r>
  <r>
    <d v="2024-03-12T00:00:00"/>
    <x v="17"/>
    <s v="P&amp;C Advisory"/>
    <n v="7.5"/>
    <x v="34"/>
    <s v="Yes"/>
    <s v="Handover prep Daily HR team mtg 2 x salary review mtgs and subsequent updates to report Inbox mgmt Doc pack prepared &amp; submitted to MD for upcoming org change Investigation mtg handover"/>
    <x v="2"/>
    <x v="3"/>
  </r>
  <r>
    <d v="2024-03-12T00:00:00"/>
    <x v="18"/>
    <s v="Bookkeeping"/>
    <n v="0.32"/>
    <x v="41"/>
    <s v="Yes"/>
    <m/>
    <x v="2"/>
    <x v="3"/>
  </r>
  <r>
    <d v="2024-03-12T00:00:00"/>
    <x v="18"/>
    <s v="Bookkeeping"/>
    <n v="0.35"/>
    <x v="36"/>
    <s v="Yes"/>
    <m/>
    <x v="2"/>
    <x v="3"/>
  </r>
  <r>
    <d v="2024-03-12T00:00:00"/>
    <x v="18"/>
    <s v="Bookkeeping"/>
    <n v="0.75"/>
    <x v="37"/>
    <s v="Yes"/>
    <m/>
    <x v="2"/>
    <x v="3"/>
  </r>
  <r>
    <d v="2024-03-12T00:00:00"/>
    <x v="18"/>
    <s v="Bookkeeping"/>
    <n v="0.78"/>
    <x v="39"/>
    <s v="Yes"/>
    <s v="reconciling bunnings invoices, ap invoices bank recon"/>
    <x v="2"/>
    <x v="3"/>
  </r>
  <r>
    <d v="2024-03-12T00:00:00"/>
    <x v="18"/>
    <s v="Bookkeeping"/>
    <n v="1.3"/>
    <x v="40"/>
    <s v="Yes"/>
    <m/>
    <x v="2"/>
    <x v="3"/>
  </r>
  <r>
    <d v="2024-03-12T00:00:00"/>
    <x v="18"/>
    <s v="Bookkeeping"/>
    <n v="1.37"/>
    <x v="27"/>
    <s v="Yes"/>
    <m/>
    <x v="2"/>
    <x v="3"/>
  </r>
  <r>
    <d v="2024-03-12T00:00:00"/>
    <x v="18"/>
    <s v="Bookkeeping"/>
    <n v="1.57"/>
    <x v="27"/>
    <s v="Yes"/>
    <s v="client query for ap items, unscheduled ap bills payment"/>
    <x v="2"/>
    <x v="3"/>
  </r>
  <r>
    <d v="2024-03-12T00:00:00"/>
    <x v="18"/>
    <s v="Bookkeeping"/>
    <n v="1.65"/>
    <x v="27"/>
    <s v="Yes"/>
    <s v="Action items sent by Maria &amp; Caitlin for the uncoded statement lines"/>
    <x v="2"/>
    <x v="3"/>
  </r>
  <r>
    <d v="2024-03-12T00:00:00"/>
    <x v="19"/>
    <s v="Automations - Surefire"/>
    <n v="8"/>
    <x v="11"/>
    <s v="No"/>
    <s v="SureFire Services - Automation"/>
    <x v="2"/>
    <x v="3"/>
  </r>
  <r>
    <d v="2024-03-12T00:00:00"/>
    <x v="20"/>
    <s v="Sick Leave"/>
    <n v="8"/>
    <x v="11"/>
    <s v="No"/>
    <m/>
    <x v="2"/>
    <x v="3"/>
  </r>
  <r>
    <d v="2024-03-12T00:00:00"/>
    <x v="21"/>
    <s v="Automations"/>
    <n v="8"/>
    <x v="11"/>
    <s v="No"/>
    <s v="Run: LOC Dev: Pinnacle Oporto Automation Dev: Holdsworth Update"/>
    <x v="2"/>
    <x v="3"/>
  </r>
  <r>
    <d v="2024-03-12T00:00:00"/>
    <x v="22"/>
    <s v="Bookkeeping"/>
    <n v="0.05"/>
    <x v="22"/>
    <s v="Yes"/>
    <s v="Check reconciliation"/>
    <x v="2"/>
    <x v="3"/>
  </r>
  <r>
    <d v="2024-03-12T00:00:00"/>
    <x v="22"/>
    <s v="Bookkeeping"/>
    <n v="0.08"/>
    <x v="81"/>
    <s v="Yes"/>
    <s v="Email re compassionate leave, update Asana task for end date on icare policy"/>
    <x v="2"/>
    <x v="3"/>
  </r>
  <r>
    <d v="2024-03-12T00:00:00"/>
    <x v="22"/>
    <s v="Bookkeeping"/>
    <n v="0.33"/>
    <x v="42"/>
    <s v="Yes"/>
    <s v="Nine review"/>
    <x v="2"/>
    <x v="3"/>
  </r>
  <r>
    <d v="2024-03-12T00:00:00"/>
    <x v="22"/>
    <s v="Bookkeeping"/>
    <n v="0.77"/>
    <x v="44"/>
    <s v="Yes"/>
    <s v="Invoicing - setup new contact, set up tracking category, review invoice settings (remove cutaway), create invoice according to proposal.  Email to Zoe for review."/>
    <x v="2"/>
    <x v="3"/>
  </r>
  <r>
    <d v="2024-03-12T00:00:00"/>
    <x v="22"/>
    <s v="Bookkeeping"/>
    <n v="0.77"/>
    <x v="19"/>
    <s v="Yes"/>
    <s v="Oporto reporting PL and balance sheet"/>
    <x v="2"/>
    <x v="3"/>
  </r>
  <r>
    <d v="2024-03-12T00:00:00"/>
    <x v="22"/>
    <s v="Bookkeeping"/>
    <n v="0.77"/>
    <x v="20"/>
    <s v="Yes"/>
    <s v="Oporto Head office report including template updates and process "/>
    <x v="2"/>
    <x v="3"/>
  </r>
  <r>
    <d v="2024-03-12T00:00:00"/>
    <x v="22"/>
    <s v="Bookkeeping"/>
    <n v="0.82"/>
    <x v="42"/>
    <s v="Yes"/>
    <s v="Contract for new employee.  Phone call and follow up with Charlie from Nine."/>
    <x v="2"/>
    <x v="3"/>
  </r>
  <r>
    <d v="2024-03-12T00:00:00"/>
    <x v="22"/>
    <s v="Client Admin"/>
    <n v="0.17"/>
    <x v="11"/>
    <s v="No"/>
    <s v="Queste credit note and issue statement "/>
    <x v="2"/>
    <x v="3"/>
  </r>
  <r>
    <d v="2024-03-12T00:00:00"/>
    <x v="22"/>
    <s v="Client Admin"/>
    <n v="0.22"/>
    <x v="11"/>
    <s v="No"/>
    <s v="Emails and filing downloads, junk mail Respond to Mayday email re Affluens group set up for Irish"/>
    <x v="2"/>
    <x v="3"/>
  </r>
  <r>
    <d v="2024-03-12T00:00:00"/>
    <x v="22"/>
    <s v="Client Admin"/>
    <n v="0.22"/>
    <x v="11"/>
    <s v="No"/>
    <s v="General emails "/>
    <x v="2"/>
    <x v="3"/>
  </r>
  <r>
    <d v="2024-03-12T00:00:00"/>
    <x v="22"/>
    <s v="Client Admin"/>
    <n v="0.27"/>
    <x v="11"/>
    <s v="No"/>
    <s v="Review and send invoices"/>
    <x v="2"/>
    <x v="3"/>
  </r>
  <r>
    <d v="2024-03-12T00:00:00"/>
    <x v="22"/>
    <s v="Client Admin"/>
    <n v="0.33"/>
    <x v="11"/>
    <s v="No"/>
    <s v="Messages with Emily re tax clients, Nica re Oporto reports and Gen re RSVP"/>
    <x v="2"/>
    <x v="3"/>
  </r>
  <r>
    <d v="2024-03-12T00:00:00"/>
    <x v="22"/>
    <s v="Client Admin"/>
    <n v="0.42"/>
    <x v="11"/>
    <s v="No"/>
    <s v="Follow up overdue invoves with Ang Email to upstage"/>
    <x v="2"/>
    <x v="3"/>
  </r>
  <r>
    <d v="2024-03-12T00:00:00"/>
    <x v="22"/>
    <s v="Client Manager"/>
    <n v="0.03"/>
    <x v="90"/>
    <s v="Yes"/>
    <s v="Internal messages re spectrum GST differences to LM"/>
    <x v="2"/>
    <x v="3"/>
  </r>
  <r>
    <d v="2024-03-12T00:00:00"/>
    <x v="22"/>
    <s v="General"/>
    <n v="0.17"/>
    <x v="11"/>
    <s v="No"/>
    <s v="Teams and Asana - update Tasman Agri tassk"/>
    <x v="2"/>
    <x v="3"/>
  </r>
  <r>
    <d v="2024-03-12T00:00:00"/>
    <x v="22"/>
    <s v="Payroll Processing"/>
    <n v="0.32"/>
    <x v="34"/>
    <s v="Yes"/>
    <s v="Lodge update events for SVS and NSW to attempt to correct PAYG figures"/>
    <x v="2"/>
    <x v="3"/>
  </r>
  <r>
    <d v="2024-03-12T00:00:00"/>
    <x v="22"/>
    <s v="Payroll Processing"/>
    <n v="0.45"/>
    <x v="34"/>
    <s v="Yes"/>
    <s v="Review payroll, email re Caleb Stubbs"/>
    <x v="2"/>
    <x v="3"/>
  </r>
  <r>
    <d v="2024-03-12T00:00:00"/>
    <x v="22"/>
    <s v="Payroll Processing"/>
    <n v="0.55000000000000004"/>
    <x v="34"/>
    <s v="Yes"/>
    <s v="Review QLD payroll and emails"/>
    <x v="2"/>
    <x v="3"/>
  </r>
  <r>
    <d v="2024-03-12T00:00:00"/>
    <x v="22"/>
    <s v="Payroll Processing"/>
    <n v="0.67"/>
    <x v="103"/>
    <s v="Yes"/>
    <s v="Liaise with Sarah re new store, check pay code setup Call with Eric re opening / fixed fees"/>
    <x v="2"/>
    <x v="3"/>
  </r>
  <r>
    <d v="2024-03-12T00:00:00"/>
    <x v="22"/>
    <s v="Payroll Processing"/>
    <n v="0.78"/>
    <x v="34"/>
    <s v="Yes"/>
    <s v="review payrolls and emils"/>
    <x v="2"/>
    <x v="3"/>
  </r>
  <r>
    <d v="2024-03-12T00:00:00"/>
    <x v="23"/>
    <s v="Automations"/>
    <n v="0.1"/>
    <x v="11"/>
    <s v="No"/>
    <s v="IAS exportation email"/>
    <x v="2"/>
    <x v="3"/>
  </r>
  <r>
    <d v="2024-03-12T00:00:00"/>
    <x v="23"/>
    <s v="Client Meeting"/>
    <n v="0.05"/>
    <x v="107"/>
    <s v="No"/>
    <s v="email"/>
    <x v="2"/>
    <x v="3"/>
  </r>
  <r>
    <d v="2024-03-12T00:00:00"/>
    <x v="23"/>
    <s v="Client Meeting"/>
    <n v="7.0000000000000007E-2"/>
    <x v="62"/>
    <s v="No"/>
    <s v="email"/>
    <x v="2"/>
    <x v="3"/>
  </r>
  <r>
    <d v="2024-03-12T00:00:00"/>
    <x v="23"/>
    <s v="Client Meeting"/>
    <n v="0.08"/>
    <x v="16"/>
    <s v="No"/>
    <s v="email"/>
    <x v="2"/>
    <x v="3"/>
  </r>
  <r>
    <d v="2024-03-12T00:00:00"/>
    <x v="23"/>
    <s v="Client Meeting"/>
    <n v="0.08"/>
    <x v="79"/>
    <s v="No"/>
    <s v="Attending to queries"/>
    <x v="2"/>
    <x v="3"/>
  </r>
  <r>
    <d v="2024-03-12T00:00:00"/>
    <x v="23"/>
    <s v="Client Meeting"/>
    <n v="0.08"/>
    <x v="92"/>
    <s v="No"/>
    <s v="email"/>
    <x v="2"/>
    <x v="3"/>
  </r>
  <r>
    <d v="2024-03-12T00:00:00"/>
    <x v="23"/>
    <s v="Client Meeting"/>
    <n v="0.08"/>
    <x v="50"/>
    <s v="No"/>
    <s v="email"/>
    <x v="2"/>
    <x v="3"/>
  </r>
  <r>
    <d v="2024-03-12T00:00:00"/>
    <x v="23"/>
    <s v="Client Meeting"/>
    <n v="0.08"/>
    <x v="23"/>
    <s v="No"/>
    <s v="email"/>
    <x v="2"/>
    <x v="3"/>
  </r>
  <r>
    <d v="2024-03-12T00:00:00"/>
    <x v="23"/>
    <s v="Client Meeting"/>
    <n v="0.08"/>
    <x v="33"/>
    <s v="No"/>
    <s v="email"/>
    <x v="2"/>
    <x v="3"/>
  </r>
  <r>
    <d v="2024-03-12T00:00:00"/>
    <x v="23"/>
    <s v="Client Meeting"/>
    <n v="0.08"/>
    <x v="108"/>
    <s v="No"/>
    <s v="email"/>
    <x v="2"/>
    <x v="3"/>
  </r>
  <r>
    <d v="2024-03-12T00:00:00"/>
    <x v="23"/>
    <s v="Client Meeting"/>
    <n v="0.1"/>
    <x v="22"/>
    <s v="No"/>
    <s v="WPS update and email"/>
    <x v="2"/>
    <x v="3"/>
  </r>
  <r>
    <d v="2024-03-12T00:00:00"/>
    <x v="23"/>
    <s v="Client Meeting"/>
    <n v="0.12"/>
    <x v="22"/>
    <s v="No"/>
    <s v="Email"/>
    <x v="2"/>
    <x v="3"/>
  </r>
  <r>
    <d v="2024-03-12T00:00:00"/>
    <x v="23"/>
    <s v="Client Meeting"/>
    <n v="0.15"/>
    <x v="11"/>
    <s v="No"/>
    <s v="Meeting with Linsday"/>
    <x v="2"/>
    <x v="3"/>
  </r>
  <r>
    <d v="2024-03-12T00:00:00"/>
    <x v="23"/>
    <s v="Client Meeting"/>
    <n v="0.17"/>
    <x v="24"/>
    <s v="No"/>
    <s v="Responding to Kate Queries"/>
    <x v="2"/>
    <x v="3"/>
  </r>
  <r>
    <d v="2024-03-12T00:00:00"/>
    <x v="23"/>
    <s v="Client Meeting"/>
    <n v="0.18"/>
    <x v="30"/>
    <s v="No"/>
    <s v="email"/>
    <x v="2"/>
    <x v="3"/>
  </r>
  <r>
    <d v="2024-03-12T00:00:00"/>
    <x v="23"/>
    <s v="Client Meeting"/>
    <n v="0.48"/>
    <x v="11"/>
    <s v="No"/>
    <s v="meeting with Angela"/>
    <x v="2"/>
    <x v="3"/>
  </r>
  <r>
    <d v="2024-03-12T00:00:00"/>
    <x v="23"/>
    <s v="General"/>
    <n v="0.25"/>
    <x v="11"/>
    <s v="No"/>
    <s v="AFTERNOON Break: 15 mins coffee breaks as paid per Labor Code of the Philippines, Article 85"/>
    <x v="2"/>
    <x v="3"/>
  </r>
  <r>
    <d v="2024-03-12T00:00:00"/>
    <x v="23"/>
    <s v="General"/>
    <n v="0.25"/>
    <x v="11"/>
    <s v="No"/>
    <s v="MORNING Break: 15 mins coffee breaks as paid per Labor Code of the Philippines, Article 85. "/>
    <x v="2"/>
    <x v="3"/>
  </r>
  <r>
    <d v="2024-03-12T00:00:00"/>
    <x v="23"/>
    <s v="General"/>
    <n v="0.53"/>
    <x v="11"/>
    <s v="No"/>
    <m/>
    <x v="2"/>
    <x v="3"/>
  </r>
  <r>
    <d v="2024-03-12T00:00:00"/>
    <x v="23"/>
    <s v="General"/>
    <n v="0.78"/>
    <x v="11"/>
    <s v="No"/>
    <s v="&gt;_x0009_Reading through emails and diving into email history. &gt;_x0009_Going back and forth on client concerns through email. &gt;_x0009_Double-checking and validating accounts before hitting reply. &gt;_x0009_Organizing folders in Outlook for each client. &gt;_x0009_Adding labels to keep things neat and tidy per client. &gt;_x0009_Doing some email spring cleaning and other odds and ends. &gt;_x0009_Keeping up with tasks on Asana. ****_x0009_Others emails sorted &gt;IAS Report Exportation &gt;Request for Contact Details of Main Accountant - Zoho Clean-Up Process &gt;Productivity Session &gt;Training Evaluation &gt;Rose Caliwag leaving Dexterous &gt;Location: Con's Farewell Lunch Party &gt;RE: Client Portfolio &gt;Re: Dexterous L&amp;D Course Update &gt;Employee of the Month &gt;BAS/IAS signatory_Exceptions List &gt;TWT Group &gt;It is payroll cut-off time again, action needed. &gt;February Learning Report &gt;Re: ATO Lodgment Report &gt;Pinnacle Entities &gt;Re: XPM/Asana Tasks &gt;BAS - Account Rec"/>
    <x v="2"/>
    <x v="3"/>
  </r>
  <r>
    <d v="2024-03-12T00:00:00"/>
    <x v="23"/>
    <s v="General"/>
    <n v="0.87"/>
    <x v="11"/>
    <s v="No"/>
    <s v="&gt;Learning, Unpaid invoices XPM and Xero. chats with Mel and Mark. RE: on hold client &gt;Meeting with ASANA history notes issues"/>
    <x v="2"/>
    <x v="3"/>
  </r>
  <r>
    <d v="2024-03-12T00:00:00"/>
    <x v="23"/>
    <s v="General"/>
    <n v="1.1000000000000001"/>
    <x v="11"/>
    <s v="No"/>
    <s v="&gt;Asana updates &gt;XPM &gt;Email &gt;Team chats &gt;Organizing folder"/>
    <x v="2"/>
    <x v="3"/>
  </r>
  <r>
    <d v="2024-03-12T00:00:00"/>
    <x v="23"/>
    <s v="IAS/BAS Preparation &amp; Lodgement - Apr-Jun"/>
    <n v="0.47"/>
    <x v="24"/>
    <s v="No"/>
    <s v="Checking and digging 157785 as per kate queries. "/>
    <x v="2"/>
    <x v="3"/>
  </r>
  <r>
    <d v="2024-03-12T00:00:00"/>
    <x v="23"/>
    <s v="IAS/BAS Preparation &amp; Lodgement - Feb"/>
    <n v="0.18"/>
    <x v="46"/>
    <s v="Yes"/>
    <m/>
    <x v="2"/>
    <x v="3"/>
  </r>
  <r>
    <d v="2024-03-12T00:00:00"/>
    <x v="23"/>
    <s v="IAS/BAS Preparation &amp; Lodgement - Feb"/>
    <n v="0.22"/>
    <x v="62"/>
    <s v="Yes"/>
    <s v="IAS"/>
    <x v="2"/>
    <x v="3"/>
  </r>
  <r>
    <d v="2024-03-12T00:00:00"/>
    <x v="23"/>
    <s v="IT"/>
    <n v="1.37"/>
    <x v="11"/>
    <s v="No"/>
    <s v="Fixing outlook, getting authenticator, creating new outlook,log in to ignito, reformat cellphone, and others. Chat with Mark "/>
    <x v="2"/>
    <x v="3"/>
  </r>
  <r>
    <d v="2024-03-12T00:00:00"/>
    <x v="48"/>
    <s v="HR/Recuitment"/>
    <n v="1"/>
    <x v="11"/>
    <s v="No"/>
    <s v="Complete ref checks for HR Advisory candidate.  Complete job offer.  Send to candidate. Complete CV check and follow up results.  Send unsuccessful letters to final candidates via Seek."/>
    <x v="2"/>
    <x v="3"/>
  </r>
  <r>
    <d v="2024-03-12T00:00:00"/>
    <x v="48"/>
    <s v="P&amp;C Advisory"/>
    <n v="6.5"/>
    <x v="9"/>
    <s v="Yes"/>
    <s v="Teams meeting with Finance.  Teams meeting with Insurance employee.  Employee Connect updates to performance management module for probationary reviews.  Download Coex appraisals and all Coex employee information from EC and store in Sharepoint.  Update HR policies - Covid 19, work health and safety policy, evacuation policies and employee records.  "/>
    <x v="2"/>
    <x v="3"/>
  </r>
  <r>
    <d v="2024-03-12T00:00:00"/>
    <x v="24"/>
    <s v="Bookkeeping"/>
    <n v="1.5"/>
    <x v="54"/>
    <s v="Yes"/>
    <m/>
    <x v="2"/>
    <x v="3"/>
  </r>
  <r>
    <d v="2024-03-12T00:00:00"/>
    <x v="24"/>
    <s v="Bookkeeping"/>
    <n v="6.12"/>
    <x v="15"/>
    <s v="Yes"/>
    <m/>
    <x v="2"/>
    <x v="3"/>
  </r>
  <r>
    <d v="2024-03-12T00:00:00"/>
    <x v="24"/>
    <s v="General"/>
    <n v="0.15"/>
    <x v="11"/>
    <s v="No"/>
    <s v="emails, asana"/>
    <x v="2"/>
    <x v="3"/>
  </r>
  <r>
    <d v="2024-03-12T00:00:00"/>
    <x v="24"/>
    <s v="Payroll Processing"/>
    <n v="0.32"/>
    <x v="30"/>
    <s v="Yes"/>
    <m/>
    <x v="2"/>
    <x v="3"/>
  </r>
  <r>
    <d v="2024-03-12T00:00:00"/>
    <x v="25"/>
    <s v="Bookkeeping"/>
    <n v="1"/>
    <x v="16"/>
    <s v="Yes"/>
    <s v="update Interco Rec file Review BELCR &amp; BLM variance"/>
    <x v="2"/>
    <x v="3"/>
  </r>
  <r>
    <d v="2024-03-12T00:00:00"/>
    <x v="26"/>
    <s v="Debt Collection"/>
    <n v="2.5"/>
    <x v="11"/>
    <s v="No"/>
    <m/>
    <x v="2"/>
    <x v="3"/>
  </r>
  <r>
    <d v="2024-03-12T00:00:00"/>
    <x v="26"/>
    <s v="Debt Collection"/>
    <n v="5"/>
    <x v="15"/>
    <s v="Yes"/>
    <m/>
    <x v="2"/>
    <x v="3"/>
  </r>
  <r>
    <d v="2024-03-12T00:00:00"/>
    <x v="26"/>
    <s v="General"/>
    <n v="0.5"/>
    <x v="11"/>
    <s v="No"/>
    <s v="break"/>
    <x v="2"/>
    <x v="3"/>
  </r>
  <r>
    <d v="2024-03-12T00:00:00"/>
    <x v="27"/>
    <s v="Management Reporting"/>
    <n v="1.23"/>
    <x v="11"/>
    <s v="No"/>
    <s v="hand over / cash flow / emails"/>
    <x v="2"/>
    <x v="3"/>
  </r>
  <r>
    <d v="2024-03-12T00:00:00"/>
    <x v="27"/>
    <s v="Management Reporting"/>
    <n v="2.2000000000000002"/>
    <x v="15"/>
    <s v="Yes"/>
    <s v="month-end / handover"/>
    <x v="2"/>
    <x v="3"/>
  </r>
  <r>
    <d v="2024-03-12T00:00:00"/>
    <x v="27"/>
    <s v="Management Reporting"/>
    <n v="5.83"/>
    <x v="15"/>
    <s v="Yes"/>
    <s v="monthend / handover"/>
    <x v="2"/>
    <x v="3"/>
  </r>
  <r>
    <d v="2024-03-12T00:00:00"/>
    <x v="28"/>
    <s v="Bookkeeping"/>
    <n v="1.05"/>
    <x v="57"/>
    <s v="Yes"/>
    <s v="Intercompany loan reconciliation Consolidation summary tab P&amp;L -BM"/>
    <x v="2"/>
    <x v="3"/>
  </r>
  <r>
    <d v="2024-03-12T00:00:00"/>
    <x v="28"/>
    <s v="Bookkeeping"/>
    <n v="2.0299999999999998"/>
    <x v="57"/>
    <s v="Yes"/>
    <s v="Intercompany loan reconciliation Consolidation summary tab LOC Inc Find the variance with Ms. Rose Bills raise postscript transactions Approving sales to a2x of postscript transactions"/>
    <x v="2"/>
    <x v="3"/>
  </r>
  <r>
    <d v="2024-03-12T00:00:00"/>
    <x v="28"/>
    <s v="Bookkeeping"/>
    <n v="4.43"/>
    <x v="57"/>
    <s v="Yes"/>
    <s v="Email Management Bills raise to xero Bank Reconcilaition BM and LOC INC Approving sales to a2x"/>
    <x v="2"/>
    <x v="3"/>
  </r>
  <r>
    <d v="2024-03-12T00:00:00"/>
    <x v="28"/>
    <s v="General"/>
    <n v="0.5"/>
    <x v="11"/>
    <s v="No"/>
    <s v="Break"/>
    <x v="2"/>
    <x v="3"/>
  </r>
  <r>
    <d v="2024-03-12T00:00:00"/>
    <x v="29"/>
    <s v="IT"/>
    <n v="9"/>
    <x v="11"/>
    <s v="No"/>
    <s v="IT Support"/>
    <x v="2"/>
    <x v="3"/>
  </r>
  <r>
    <d v="2024-03-12T00:00:00"/>
    <x v="30"/>
    <s v="Sick Leave"/>
    <n v="8"/>
    <x v="11"/>
    <s v="No"/>
    <m/>
    <x v="2"/>
    <x v="3"/>
  </r>
  <r>
    <d v="2024-03-12T00:00:00"/>
    <x v="31"/>
    <s v="Accounts"/>
    <n v="0.4"/>
    <x v="11"/>
    <s v="No"/>
    <s v="Additional invoicing and continuous review of Xero and XPM clients name."/>
    <x v="2"/>
    <x v="3"/>
  </r>
  <r>
    <d v="2024-03-12T00:00:00"/>
    <x v="31"/>
    <s v="Accounts"/>
    <n v="4.2699999999999996"/>
    <x v="11"/>
    <s v="No"/>
    <s v="Review all the XPM and Xero client list and align with Mark, Kate and LM for queries. Rename all other/previous invoices and repeating template."/>
    <x v="2"/>
    <x v="3"/>
  </r>
  <r>
    <d v="2024-03-12T00:00:00"/>
    <x v="31"/>
    <s v="Bookkeeping"/>
    <n v="1.02"/>
    <x v="11"/>
    <s v="No"/>
    <s v="Update bank recs. Catch up email and respond to Kate. Do necessary actions and feedback."/>
    <x v="2"/>
    <x v="3"/>
  </r>
  <r>
    <d v="2024-03-12T00:00:00"/>
    <x v="31"/>
    <s v="General"/>
    <n v="0.55000000000000004"/>
    <x v="56"/>
    <s v="No"/>
    <s v="Coordination and emailing regarding change of address requirements"/>
    <x v="2"/>
    <x v="3"/>
  </r>
  <r>
    <d v="2024-03-12T00:00:00"/>
    <x v="31"/>
    <s v="Meetings"/>
    <n v="0.33"/>
    <x v="56"/>
    <s v="No"/>
    <s v="Call with Mark and LM re: access request and clarification on Asana "/>
    <x v="2"/>
    <x v="3"/>
  </r>
  <r>
    <d v="2024-03-12T00:00:00"/>
    <x v="31"/>
    <s v="Payroll Processing"/>
    <n v="2.6"/>
    <x v="56"/>
    <s v="No"/>
    <s v="Processing of SSS, PHIC and HDMF for the month of February 2024. Prepare necessary files for Compliance."/>
    <x v="2"/>
    <x v="3"/>
  </r>
  <r>
    <d v="2024-03-12T00:00:00"/>
    <x v="32"/>
    <s v="Web"/>
    <n v="10"/>
    <x v="11"/>
    <s v="No"/>
    <s v="✅ CUBPC - Nick requested to get this presentation using Dexterous Group branding  📌 congratulate Nica on coming to Australia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the data layer receives data from the web and being consumed by tag manager to post data in analytics    option 1    1. setup a feed on Gravity Forms (gforms)   2. add an event parameter and value to be passed on data layer (gforms)   3. add a data layer variable in Tag Manager    4. setup a trigger in Google Analytics for form submission   5. setup a event tag to be triggered by the trigger for form submission   6. add an event parameter from the data layer variable    option 2    1. setup the google analytics plugin   2. create a custom event on Google Analytics   3. create a name for the custom event   4. the form_submit will be used the event name for creation   5. use the form_id paramter to filter the form for tracking submission of different form (gform_1)   6. use other paramters for filtering events     Hi Steph,  We have now created the events for when the user subscribes to our newsletter, the form sits currently on homepage and insights page so we created one for each. The following are the event names for those.  ▪ subscribe_newsletter_home ▪ subscribe_newsletter_insights  Though the Zapier Integration didn't work for the embedded Zoho Bookings form, we found a way to effectively track the  form submission event from the contact us page. This will be named   ▪ free_consult_lead  Right now, we're just waiting for these events to be recorded in Analytics so we can set those as conversions. Let me know if you have any questions.  Thanks, Miguel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update the content of the Terms and Conditions page  📌 check integration of Zoho CRM to zoho Bookings  📌 change the logo of bookings in Zoho "/>
    <x v="2"/>
    <x v="3"/>
  </r>
  <r>
    <d v="2024-03-12T00:00:00"/>
    <x v="33"/>
    <s v="Bookkeeping"/>
    <n v="0.25"/>
    <x v="79"/>
    <s v="Yes"/>
    <m/>
    <x v="2"/>
    <x v="3"/>
  </r>
  <r>
    <d v="2024-03-12T00:00:00"/>
    <x v="33"/>
    <s v="Bookkeeping"/>
    <n v="0.25"/>
    <x v="48"/>
    <s v="Yes"/>
    <m/>
    <x v="2"/>
    <x v="3"/>
  </r>
  <r>
    <d v="2024-03-12T00:00:00"/>
    <x v="33"/>
    <s v="Bookkeeping"/>
    <n v="0.5"/>
    <x v="60"/>
    <s v="Yes"/>
    <m/>
    <x v="2"/>
    <x v="3"/>
  </r>
  <r>
    <d v="2024-03-12T00:00:00"/>
    <x v="33"/>
    <s v="Bookkeeping"/>
    <n v="0.5"/>
    <x v="59"/>
    <s v="Yes"/>
    <m/>
    <x v="2"/>
    <x v="3"/>
  </r>
  <r>
    <d v="2024-03-12T00:00:00"/>
    <x v="33"/>
    <s v="Bookkeeping"/>
    <n v="2.5"/>
    <x v="9"/>
    <s v="Yes"/>
    <m/>
    <x v="2"/>
    <x v="3"/>
  </r>
  <r>
    <d v="2024-03-12T00:00:00"/>
    <x v="33"/>
    <s v="Meetings"/>
    <n v="0.25"/>
    <x v="11"/>
    <s v="No"/>
    <s v="Chat with Ann"/>
    <x v="2"/>
    <x v="3"/>
  </r>
  <r>
    <d v="2024-03-12T00:00:00"/>
    <x v="33"/>
    <s v="Payroll Processing"/>
    <n v="0.25"/>
    <x v="95"/>
    <s v="Yes"/>
    <m/>
    <x v="2"/>
    <x v="3"/>
  </r>
  <r>
    <d v="2024-03-12T00:00:00"/>
    <x v="33"/>
    <s v="Payroll Processing"/>
    <n v="0.5"/>
    <x v="89"/>
    <s v="Yes"/>
    <m/>
    <x v="2"/>
    <x v="3"/>
  </r>
  <r>
    <d v="2024-03-12T00:00:00"/>
    <x v="34"/>
    <s v="Client Manager"/>
    <n v="0.05"/>
    <x v="61"/>
    <s v="No"/>
    <s v="follow up Asana tasks"/>
    <x v="2"/>
    <x v="3"/>
  </r>
  <r>
    <d v="2024-03-12T00:00:00"/>
    <x v="34"/>
    <s v="Client Manager"/>
    <n v="0.08"/>
    <x v="96"/>
    <s v="No"/>
    <s v="estimate of time to update analysis"/>
    <x v="2"/>
    <x v="3"/>
  </r>
  <r>
    <d v="2024-03-12T00:00:00"/>
    <x v="34"/>
    <s v="Client Manager"/>
    <n v="0.68"/>
    <x v="0"/>
    <s v="Yes"/>
    <s v="P&amp;L rearrange of accounts and brokarage accruals review"/>
    <x v="2"/>
    <x v="3"/>
  </r>
  <r>
    <d v="2024-03-12T00:00:00"/>
    <x v="34"/>
    <s v="Client Manager"/>
    <n v="2.4500000000000002"/>
    <x v="0"/>
    <s v="No"/>
    <s v="follow up Asana tasks"/>
    <x v="2"/>
    <x v="3"/>
  </r>
  <r>
    <d v="2024-03-12T00:00:00"/>
    <x v="34"/>
    <s v="General"/>
    <n v="0.4"/>
    <x v="11"/>
    <s v="No"/>
    <s v="emails, teams, Asana"/>
    <x v="2"/>
    <x v="3"/>
  </r>
  <r>
    <d v="2024-03-12T00:00:00"/>
    <x v="34"/>
    <s v="Meetings"/>
    <n v="0.28000000000000003"/>
    <x v="11"/>
    <s v="No"/>
    <s v="Fortnightly meeting with Alison"/>
    <x v="2"/>
    <x v="3"/>
  </r>
  <r>
    <d v="2024-03-12T00:00:00"/>
    <x v="35"/>
    <s v="Bookkeeping"/>
    <n v="0.6"/>
    <x v="33"/>
    <s v="Yes"/>
    <s v="AP, travel allowance search"/>
    <x v="2"/>
    <x v="3"/>
  </r>
  <r>
    <d v="2024-03-12T00:00:00"/>
    <x v="35"/>
    <s v="Bookkeeping"/>
    <n v="0.78"/>
    <x v="33"/>
    <s v="Yes"/>
    <s v="AP, BR"/>
    <x v="2"/>
    <x v="3"/>
  </r>
  <r>
    <d v="2024-03-12T00:00:00"/>
    <x v="35"/>
    <s v="Bookkeeping"/>
    <n v="1.42"/>
    <x v="33"/>
    <s v="Yes"/>
    <s v="AP"/>
    <x v="2"/>
    <x v="3"/>
  </r>
  <r>
    <d v="2024-03-12T00:00:00"/>
    <x v="35"/>
    <s v="Bookkeeping"/>
    <n v="1.6"/>
    <x v="62"/>
    <s v="Yes"/>
    <s v="AP"/>
    <x v="2"/>
    <x v="3"/>
  </r>
  <r>
    <d v="2024-03-12T00:00:00"/>
    <x v="35"/>
    <s v="General"/>
    <n v="0.93"/>
    <x v="11"/>
    <s v="No"/>
    <s v="email, proc doc review, server config"/>
    <x v="2"/>
    <x v="3"/>
  </r>
  <r>
    <d v="2024-03-12T00:00:00"/>
    <x v="35"/>
    <s v="IT"/>
    <n v="1.17"/>
    <x v="11"/>
    <s v="No"/>
    <s v="config"/>
    <x v="2"/>
    <x v="3"/>
  </r>
  <r>
    <d v="2024-03-12T00:00:00"/>
    <x v="35"/>
    <s v="Payroll Processing"/>
    <n v="1.45"/>
    <x v="29"/>
    <s v="Yes"/>
    <m/>
    <x v="2"/>
    <x v="3"/>
  </r>
  <r>
    <d v="2024-03-12T00:00:00"/>
    <x v="36"/>
    <s v="Bookkeeping"/>
    <n v="1.85"/>
    <x v="16"/>
    <s v="Yes"/>
    <s v="3E recon"/>
    <x v="2"/>
    <x v="3"/>
  </r>
  <r>
    <d v="2024-03-12T00:00:00"/>
    <x v="36"/>
    <s v="Bookkeeping"/>
    <n v="5.47"/>
    <x v="16"/>
    <s v="Yes"/>
    <s v="Bank recs"/>
    <x v="2"/>
    <x v="3"/>
  </r>
  <r>
    <d v="2024-03-12T00:00:00"/>
    <x v="36"/>
    <s v="General"/>
    <n v="0.3"/>
    <x v="11"/>
    <s v="No"/>
    <s v="dex  emails"/>
    <x v="2"/>
    <x v="3"/>
  </r>
  <r>
    <d v="2024-03-12T00:00:00"/>
    <x v="36"/>
    <s v="Management Reporting"/>
    <n v="1.22"/>
    <x v="35"/>
    <s v="Yes"/>
    <s v="cHSP reporting + emails"/>
    <x v="2"/>
    <x v="3"/>
  </r>
  <r>
    <d v="2024-03-12T00:00:00"/>
    <x v="36"/>
    <s v="Meetings"/>
    <n v="0.25"/>
    <x v="11"/>
    <s v="No"/>
    <s v="Seniors Catchups"/>
    <x v="2"/>
    <x v="3"/>
  </r>
  <r>
    <d v="2024-03-12T00:00:00"/>
    <x v="37"/>
    <s v="General"/>
    <n v="1.72"/>
    <x v="11"/>
    <s v="No"/>
    <s v="Call with Ann Monthly reporting file meeting with Con 1:1 Rejie"/>
    <x v="2"/>
    <x v="3"/>
  </r>
  <r>
    <d v="2024-03-12T00:00:00"/>
    <x v="37"/>
    <s v="General"/>
    <n v="2.1800000000000002"/>
    <x v="11"/>
    <s v="No"/>
    <s v="Cashflow"/>
    <x v="2"/>
    <x v="3"/>
  </r>
  <r>
    <d v="2024-03-12T00:00:00"/>
    <x v="37"/>
    <s v="General"/>
    <n v="3.83"/>
    <x v="11"/>
    <s v="No"/>
    <s v="Alliance and Primebuild back up planning HO funding request training Cashflow queries   "/>
    <x v="2"/>
    <x v="3"/>
  </r>
  <r>
    <d v="2024-03-12T00:00:00"/>
    <x v="37"/>
    <s v="Meetings"/>
    <n v="0.32"/>
    <x v="11"/>
    <s v="No"/>
    <s v="Call with seniors for Rose back-up"/>
    <x v="2"/>
    <x v="3"/>
  </r>
  <r>
    <d v="2024-03-12T00:00:00"/>
    <x v="37"/>
    <s v="Meetings"/>
    <n v="0.55000000000000004"/>
    <x v="11"/>
    <s v="No"/>
    <s v="1:1 Rose"/>
    <x v="2"/>
    <x v="3"/>
  </r>
  <r>
    <d v="2024-03-12T00:00:00"/>
    <x v="38"/>
    <s v="Bookkeeping"/>
    <n v="8.73"/>
    <x v="15"/>
    <s v="Yes"/>
    <m/>
    <x v="2"/>
    <x v="3"/>
  </r>
  <r>
    <d v="2024-03-12T00:00:00"/>
    <x v="39"/>
    <s v="Bookkeeping"/>
    <n v="0.92"/>
    <x v="28"/>
    <s v="Yes"/>
    <s v="Call with Gerardo re his queries"/>
    <x v="2"/>
    <x v="3"/>
  </r>
  <r>
    <d v="2024-03-12T00:00:00"/>
    <x v="39"/>
    <s v="Bookkeeping"/>
    <n v="0.98"/>
    <x v="57"/>
    <s v="Yes"/>
    <s v="Call with Maan re interco loan account recon wkp and process, messages Lauren queries, discuss other month end tasks"/>
    <x v="2"/>
    <x v="3"/>
  </r>
  <r>
    <d v="2024-03-12T00:00:00"/>
    <x v="39"/>
    <s v="General"/>
    <n v="0.5"/>
    <x v="11"/>
    <s v="No"/>
    <s v="Break"/>
    <x v="2"/>
    <x v="3"/>
  </r>
  <r>
    <d v="2024-03-12T00:00:00"/>
    <x v="39"/>
    <s v="General"/>
    <n v="0.83"/>
    <x v="11"/>
    <s v="No"/>
    <s v="Teams messages throughout the day Emails etc"/>
    <x v="2"/>
    <x v="3"/>
  </r>
  <r>
    <d v="2024-03-12T00:00:00"/>
    <x v="39"/>
    <s v="Meetings"/>
    <n v="0.25"/>
    <x v="11"/>
    <s v="No"/>
    <s v="Seniors catch up with Ralph"/>
    <x v="2"/>
    <x v="3"/>
  </r>
  <r>
    <d v="2024-03-12T00:00:00"/>
    <x v="39"/>
    <s v="Meetings"/>
    <n v="0.52"/>
    <x v="11"/>
    <s v="No"/>
    <s v="Catch up with Ralph"/>
    <x v="2"/>
    <x v="3"/>
  </r>
  <r>
    <d v="2024-03-12T00:00:00"/>
    <x v="39"/>
    <s v="Payroll Processing"/>
    <n v="0.08"/>
    <x v="89"/>
    <s v="Yes"/>
    <s v="Load ABA for CRI/VGS"/>
    <x v="2"/>
    <x v="3"/>
  </r>
  <r>
    <d v="2024-03-12T00:00:00"/>
    <x v="39"/>
    <s v="Payroll Processing"/>
    <n v="0.23"/>
    <x v="34"/>
    <s v="Yes"/>
    <s v="Discussion with Kate re PB tasks and budget hours"/>
    <x v="2"/>
    <x v="3"/>
  </r>
  <r>
    <d v="2024-03-12T00:00:00"/>
    <x v="39"/>
    <s v="Payroll Processing"/>
    <n v="0.37"/>
    <x v="15"/>
    <s v="Yes"/>
    <s v="Reply to payroll emails, check ELMO for new employees"/>
    <x v="2"/>
    <x v="3"/>
  </r>
  <r>
    <d v="2024-03-12T00:00:00"/>
    <x v="39"/>
    <s v="Payroll Processing"/>
    <n v="0.57999999999999996"/>
    <x v="15"/>
    <s v="Yes"/>
    <s v="Action payroll emails"/>
    <x v="2"/>
    <x v="3"/>
  </r>
  <r>
    <d v="2024-03-12T00:00:00"/>
    <x v="39"/>
    <s v="Payroll Processing"/>
    <n v="1.27"/>
    <x v="34"/>
    <s v="Yes"/>
    <s v="Unapproved/unallocated report Update live file from emails Payroll processing"/>
    <x v="2"/>
    <x v="3"/>
  </r>
  <r>
    <d v="2024-03-12T00:00:00"/>
    <x v="39"/>
    <s v="Payroll Processing"/>
    <n v="1.47"/>
    <x v="34"/>
    <s v="Yes"/>
    <s v="Payroll processing"/>
    <x v="2"/>
    <x v="3"/>
  </r>
  <r>
    <d v="2024-03-12T00:00:00"/>
    <x v="41"/>
    <s v="Bookkeeping"/>
    <n v="1.17"/>
    <x v="36"/>
    <s v="Yes"/>
    <s v="AP and bank rec review Update cashflow file Send BOQ requirements"/>
    <x v="2"/>
    <x v="3"/>
  </r>
  <r>
    <d v="2024-03-12T00:00:00"/>
    <x v="41"/>
    <s v="Bookkeeping"/>
    <n v="1.78"/>
    <x v="16"/>
    <s v="Yes"/>
    <s v="Inbox mgmt Bank rec AP run"/>
    <x v="2"/>
    <x v="3"/>
  </r>
  <r>
    <d v="2024-03-12T00:00:00"/>
    <x v="41"/>
    <s v="Bookkeeping"/>
    <n v="1.93"/>
    <x v="16"/>
    <s v="Yes"/>
    <s v="AP run Bank rec Adhoc reconciliations"/>
    <x v="2"/>
    <x v="3"/>
  </r>
  <r>
    <d v="2024-03-12T00:00:00"/>
    <x v="41"/>
    <s v="Bookkeeping"/>
    <n v="2.4"/>
    <x v="16"/>
    <s v="Yes"/>
    <s v="Catch up on emails Adhoc reconciliations"/>
    <x v="2"/>
    <x v="3"/>
  </r>
  <r>
    <d v="2024-03-12T00:00:00"/>
    <x v="41"/>
    <s v="General"/>
    <n v="0.5"/>
    <x v="11"/>
    <s v="No"/>
    <s v="Paid break"/>
    <x v="2"/>
    <x v="3"/>
  </r>
  <r>
    <d v="2024-03-12T00:00:00"/>
    <x v="41"/>
    <s v="Meetings"/>
    <n v="0.25"/>
    <x v="11"/>
    <s v="No"/>
    <s v="Team RJ SA catch up"/>
    <x v="2"/>
    <x v="3"/>
  </r>
  <r>
    <d v="2024-03-12T00:00:00"/>
    <x v="42"/>
    <s v="Client Manager"/>
    <n v="0.25"/>
    <x v="36"/>
    <s v="Yes"/>
    <s v="Attend to email from the accountant. Save draft FS under the folder. Coordinate with Sarah to send requested documents to BOQ"/>
    <x v="2"/>
    <x v="3"/>
  </r>
  <r>
    <d v="2024-03-12T00:00:00"/>
    <x v="42"/>
    <s v="Client Manager"/>
    <n v="0.25"/>
    <x v="33"/>
    <s v="Yes"/>
    <s v="Attend to email re travel/meal allowance. Setup payables and email Katherine/Shalisa for approval"/>
    <x v="2"/>
    <x v="3"/>
  </r>
  <r>
    <d v="2024-03-12T00:00:00"/>
    <x v="42"/>
    <s v="Client Manager"/>
    <n v="8"/>
    <x v="102"/>
    <s v="Yes"/>
    <s v="Onsite: Go through accounts email, print all supplier invoices, send to MYOB and move to respective folders. Enter all PO in MYOB sitting under Pending PO Register. Print same. Enter supplier invoices for overhead, convert PO to bills. Collate paperwork for each PO. Go through delivery dockets and allocate as required. Setup supplier cards. Filing. "/>
    <x v="2"/>
    <x v="3"/>
  </r>
  <r>
    <d v="2024-03-12T00:00:00"/>
    <x v="43"/>
    <s v="Management Reporting"/>
    <n v="8"/>
    <x v="15"/>
    <s v="Yes"/>
    <s v="Cash flow, Deferred, WIP, BAS review"/>
    <x v="2"/>
    <x v="3"/>
  </r>
  <r>
    <d v="2024-03-12T00:00:00"/>
    <x v="44"/>
    <s v="Bookkeeping"/>
    <n v="0.2"/>
    <x v="16"/>
    <s v="Yes"/>
    <s v="review unreconciled Bk / cc"/>
    <x v="2"/>
    <x v="3"/>
  </r>
  <r>
    <d v="2024-03-12T00:00:00"/>
    <x v="44"/>
    <s v="Bookkeeping"/>
    <n v="0.3"/>
    <x v="16"/>
    <s v="Yes"/>
    <s v="forward invoices, label in accounts "/>
    <x v="2"/>
    <x v="3"/>
  </r>
  <r>
    <d v="2024-03-12T00:00:00"/>
    <x v="44"/>
    <s v="Bookkeeping"/>
    <n v="0.3"/>
    <x v="16"/>
    <s v="Yes"/>
    <s v="old CN in Bass- discuss their reversal"/>
    <x v="2"/>
    <x v="3"/>
  </r>
  <r>
    <d v="2024-03-12T00:00:00"/>
    <x v="44"/>
    <s v="Bookkeeping"/>
    <n v="0.3"/>
    <x v="16"/>
    <s v="Yes"/>
    <s v="review Chris Turner expenses reconciliation "/>
    <x v="2"/>
    <x v="3"/>
  </r>
  <r>
    <d v="2024-03-12T00:00:00"/>
    <x v="44"/>
    <s v="Bookkeeping"/>
    <n v="0.4"/>
    <x v="16"/>
    <s v="Yes"/>
    <s v="CPF payments rec - contact Queenie"/>
    <x v="2"/>
    <x v="3"/>
  </r>
  <r>
    <d v="2024-03-12T00:00:00"/>
    <x v="44"/>
    <s v="Bookkeeping"/>
    <n v="0.5"/>
    <x v="16"/>
    <s v="Yes"/>
    <s v="review weekly AP list "/>
    <x v="2"/>
    <x v="3"/>
  </r>
  <r>
    <d v="2024-03-12T00:00:00"/>
    <x v="44"/>
    <s v="Bookkeeping"/>
    <n v="1.4"/>
    <x v="6"/>
    <s v="Yes"/>
    <s v="review BS rec, issues with credit cards, liaise with Aileen"/>
    <x v="2"/>
    <x v="3"/>
  </r>
  <r>
    <d v="2024-03-12T00:00:00"/>
    <x v="44"/>
    <s v="Bookkeeping"/>
    <n v="2.2000000000000002"/>
    <x v="16"/>
    <s v="Yes"/>
    <s v="Interco BLM / BELCR - allocate CN, correct payments"/>
    <x v="2"/>
    <x v="3"/>
  </r>
  <r>
    <d v="2024-03-12T00:00:00"/>
    <x v="44"/>
    <s v="Client Admin"/>
    <n v="0.4"/>
    <x v="11"/>
    <s v="No"/>
    <s v="Finalise and send Bellinger FN invoice, request ITR Fy 2023 invoice from Mel, approve and send "/>
    <x v="2"/>
    <x v="3"/>
  </r>
  <r>
    <d v="2024-03-12T00:00:00"/>
    <x v="44"/>
    <s v="Client Manager"/>
    <n v="0.8"/>
    <x v="16"/>
    <s v="Yes"/>
    <s v="liaise with team, emails "/>
    <x v="2"/>
    <x v="3"/>
  </r>
  <r>
    <d v="2024-03-12T00:00:00"/>
    <x v="44"/>
    <s v="Client Manager"/>
    <n v="0.8"/>
    <x v="6"/>
    <s v="Yes"/>
    <s v="Laise with Tracey and Aileen on Imogen and payroll, look at method for novated lease in payroll"/>
    <x v="2"/>
    <x v="3"/>
  </r>
  <r>
    <d v="2024-03-12T00:00:00"/>
    <x v="44"/>
    <s v="Financial Statements"/>
    <n v="0.2"/>
    <x v="68"/>
    <s v="Yes"/>
    <s v="Search for TFN - email Josh"/>
    <x v="2"/>
    <x v="3"/>
  </r>
  <r>
    <d v="2024-03-12T00:00:00"/>
    <x v="44"/>
    <s v="General"/>
    <n v="0.1"/>
    <x v="11"/>
    <s v="No"/>
    <s v="letter Nick"/>
    <x v="2"/>
    <x v="3"/>
  </r>
  <r>
    <d v="2024-03-12T00:00:00"/>
    <x v="44"/>
    <s v="General"/>
    <n v="1"/>
    <x v="11"/>
    <s v="No"/>
    <s v="emails, teams, update Asana, timesheet"/>
    <x v="2"/>
    <x v="3"/>
  </r>
  <r>
    <d v="2024-03-12T00:00:00"/>
    <x v="44"/>
    <s v="IAS/BAS Preparation &amp; Lodgement - Feb"/>
    <n v="0.25"/>
    <x v="97"/>
    <s v="Yes"/>
    <s v="Review GST return Jan-Feb 2024"/>
    <x v="2"/>
    <x v="3"/>
  </r>
  <r>
    <d v="2024-03-12T00:00:00"/>
    <x v="44"/>
    <s v="Management Reporting"/>
    <n v="0.42"/>
    <x v="6"/>
    <s v="Yes"/>
    <s v="February reports"/>
    <x v="2"/>
    <x v="3"/>
  </r>
  <r>
    <d v="2024-03-12T00:00:00"/>
    <x v="44"/>
    <s v="Payroll Processing"/>
    <n v="0.2"/>
    <x v="6"/>
    <s v="Yes"/>
    <s v="review Imogen set up"/>
    <x v="2"/>
    <x v="3"/>
  </r>
  <r>
    <d v="2024-03-12T00:00:00"/>
    <x v="45"/>
    <s v="HR/Recuitment"/>
    <n v="4"/>
    <x v="11"/>
    <s v="No"/>
    <e v="#NAME?"/>
    <x v="2"/>
    <x v="3"/>
  </r>
  <r>
    <d v="2024-03-12T00:00:00"/>
    <x v="45"/>
    <s v="HR/Recuitment"/>
    <n v="4"/>
    <x v="11"/>
    <s v="No"/>
    <e v="#NAME?"/>
    <x v="2"/>
    <x v="3"/>
  </r>
  <r>
    <d v="2024-03-13T00:00:00"/>
    <x v="0"/>
    <s v="Bookkeeping"/>
    <n v="0.05"/>
    <x v="4"/>
    <s v="Yes"/>
    <s v="Email"/>
    <x v="2"/>
    <x v="4"/>
  </r>
  <r>
    <d v="2024-03-13T00:00:00"/>
    <x v="0"/>
    <s v="Bookkeeping"/>
    <n v="7.0000000000000007E-2"/>
    <x v="4"/>
    <s v="Yes"/>
    <s v="AP and Manual Journal"/>
    <x v="2"/>
    <x v="4"/>
  </r>
  <r>
    <d v="2024-03-13T00:00:00"/>
    <x v="0"/>
    <s v="Bookkeeping"/>
    <n v="7.0000000000000007E-2"/>
    <x v="6"/>
    <s v="Yes"/>
    <s v="Email"/>
    <x v="2"/>
    <x v="4"/>
  </r>
  <r>
    <d v="2024-03-13T00:00:00"/>
    <x v="0"/>
    <s v="Bookkeeping"/>
    <n v="0.08"/>
    <x v="6"/>
    <s v="Yes"/>
    <s v="AP and Manual Journal"/>
    <x v="2"/>
    <x v="4"/>
  </r>
  <r>
    <d v="2024-03-13T00:00:00"/>
    <x v="0"/>
    <s v="Bookkeeping"/>
    <n v="0.08"/>
    <x v="0"/>
    <s v="Yes"/>
    <s v="Email"/>
    <x v="2"/>
    <x v="4"/>
  </r>
  <r>
    <d v="2024-03-13T00:00:00"/>
    <x v="0"/>
    <s v="Bookkeeping"/>
    <n v="0.08"/>
    <x v="0"/>
    <s v="Yes"/>
    <s v="Email/Inbox Management"/>
    <x v="2"/>
    <x v="4"/>
  </r>
  <r>
    <d v="2024-03-13T00:00:00"/>
    <x v="0"/>
    <s v="Bookkeeping"/>
    <n v="0.13"/>
    <x v="5"/>
    <s v="Yes"/>
    <s v="Bank Reconciliation"/>
    <x v="2"/>
    <x v="4"/>
  </r>
  <r>
    <d v="2024-03-13T00:00:00"/>
    <x v="0"/>
    <s v="Bookkeeping"/>
    <n v="0.15"/>
    <x v="3"/>
    <s v="Yes"/>
    <s v="Accounts Payable"/>
    <x v="2"/>
    <x v="4"/>
  </r>
  <r>
    <d v="2024-03-13T00:00:00"/>
    <x v="0"/>
    <s v="Bookkeeping"/>
    <n v="0.18"/>
    <x v="1"/>
    <s v="Yes"/>
    <s v="Clear AP inbox and Submit bills for approval in Xero"/>
    <x v="2"/>
    <x v="4"/>
  </r>
  <r>
    <d v="2024-03-13T00:00:00"/>
    <x v="0"/>
    <s v="Bookkeeping"/>
    <n v="0.22"/>
    <x v="5"/>
    <s v="Yes"/>
    <s v="Email"/>
    <x v="2"/>
    <x v="4"/>
  </r>
  <r>
    <d v="2024-03-13T00:00:00"/>
    <x v="0"/>
    <s v="Bookkeeping"/>
    <n v="0.28000000000000003"/>
    <x v="5"/>
    <s v="Yes"/>
    <s v="AP and Email/Inbox Management"/>
    <x v="2"/>
    <x v="4"/>
  </r>
  <r>
    <d v="2024-03-13T00:00:00"/>
    <x v="0"/>
    <s v="Bookkeeping"/>
    <n v="0.32"/>
    <x v="0"/>
    <s v="Yes"/>
    <s v="Bank Reconciliation"/>
    <x v="2"/>
    <x v="4"/>
  </r>
  <r>
    <d v="2024-03-13T00:00:00"/>
    <x v="0"/>
    <s v="Bookkeeping"/>
    <n v="0.38"/>
    <x v="13"/>
    <s v="Yes"/>
    <s v="Bank Reconciliation"/>
    <x v="2"/>
    <x v="4"/>
  </r>
  <r>
    <d v="2024-03-13T00:00:00"/>
    <x v="0"/>
    <s v="Bookkeeping"/>
    <n v="0.5"/>
    <x v="5"/>
    <s v="Yes"/>
    <s v="Accounts Payable"/>
    <x v="2"/>
    <x v="4"/>
  </r>
  <r>
    <d v="2024-03-13T00:00:00"/>
    <x v="0"/>
    <s v="Bookkeeping"/>
    <n v="0.65"/>
    <x v="6"/>
    <s v="Yes"/>
    <s v="Bank Reconciliation"/>
    <x v="2"/>
    <x v="4"/>
  </r>
  <r>
    <d v="2024-03-13T00:00:00"/>
    <x v="0"/>
    <s v="Bookkeeping"/>
    <n v="1.17"/>
    <x v="9"/>
    <s v="Yes"/>
    <s v="AP and Email/Inbox Management"/>
    <x v="2"/>
    <x v="4"/>
  </r>
  <r>
    <d v="2024-03-13T00:00:00"/>
    <x v="0"/>
    <s v="Bookkeeping"/>
    <n v="1.33"/>
    <x v="9"/>
    <s v="Yes"/>
    <s v="Accounts Payable"/>
    <x v="2"/>
    <x v="4"/>
  </r>
  <r>
    <d v="2024-03-13T00:00:00"/>
    <x v="0"/>
    <s v="Bookkeeping"/>
    <n v="1.48"/>
    <x v="8"/>
    <s v="Yes"/>
    <s v="Bank Reconciliation"/>
    <x v="2"/>
    <x v="4"/>
  </r>
  <r>
    <d v="2024-03-13T00:00:00"/>
    <x v="0"/>
    <s v="General"/>
    <n v="0.25"/>
    <x v="11"/>
    <s v="No"/>
    <s v="Afternoon Break"/>
    <x v="2"/>
    <x v="4"/>
  </r>
  <r>
    <d v="2024-03-13T00:00:00"/>
    <x v="0"/>
    <s v="General"/>
    <n v="0.25"/>
    <x v="11"/>
    <s v="No"/>
    <s v="Morning Break"/>
    <x v="2"/>
    <x v="4"/>
  </r>
  <r>
    <d v="2024-03-13T00:00:00"/>
    <x v="0"/>
    <s v="Payroll Processing"/>
    <n v="0.27"/>
    <x v="6"/>
    <s v="Yes"/>
    <m/>
    <x v="2"/>
    <x v="4"/>
  </r>
  <r>
    <d v="2024-03-13T00:00:00"/>
    <x v="1"/>
    <s v="P&amp;C Advisory"/>
    <n v="1.5"/>
    <x v="34"/>
    <s v="No"/>
    <s v="Handover"/>
    <x v="2"/>
    <x v="4"/>
  </r>
  <r>
    <d v="2024-03-13T00:00:00"/>
    <x v="1"/>
    <s v="P&amp;C Advisory - Group"/>
    <n v="1.75"/>
    <x v="14"/>
    <s v="Yes"/>
    <s v="Handling difficult conversations presentation and correspondence Call with FD Correspondence re. online performance plans and follow up with managers"/>
    <x v="2"/>
    <x v="4"/>
  </r>
  <r>
    <d v="2024-03-13T00:00:00"/>
    <x v="1"/>
    <s v="P&amp;C Advisory - Nordfab"/>
    <n v="0.8"/>
    <x v="14"/>
    <s v="Yes"/>
    <s v="Call with GM re. disciplinary matter Review of candidates"/>
    <x v="2"/>
    <x v="4"/>
  </r>
  <r>
    <d v="2024-03-13T00:00:00"/>
    <x v="2"/>
    <s v="Annual Leave"/>
    <n v="4"/>
    <x v="11"/>
    <s v="No"/>
    <m/>
    <x v="2"/>
    <x v="4"/>
  </r>
  <r>
    <d v="2024-03-13T00:00:00"/>
    <x v="2"/>
    <s v="Bookkeeping"/>
    <n v="0.42"/>
    <x v="58"/>
    <s v="Yes"/>
    <m/>
    <x v="2"/>
    <x v="4"/>
  </r>
  <r>
    <d v="2024-03-13T00:00:00"/>
    <x v="2"/>
    <s v="Bookkeeping"/>
    <n v="3.05"/>
    <x v="67"/>
    <s v="Yes"/>
    <s v="management reports"/>
    <x v="2"/>
    <x v="4"/>
  </r>
  <r>
    <d v="2024-03-13T00:00:00"/>
    <x v="2"/>
    <s v="General"/>
    <n v="0.38"/>
    <x v="11"/>
    <s v="No"/>
    <m/>
    <x v="2"/>
    <x v="4"/>
  </r>
  <r>
    <d v="2024-03-13T00:00:00"/>
    <x v="2"/>
    <s v="Meetings"/>
    <n v="0.2"/>
    <x v="11"/>
    <s v="No"/>
    <s v="call with Con and Z re staff concern"/>
    <x v="2"/>
    <x v="4"/>
  </r>
  <r>
    <d v="2024-03-13T00:00:00"/>
    <x v="3"/>
    <s v="Business Development"/>
    <n v="8"/>
    <x v="11"/>
    <s v="No"/>
    <s v="screen through existing processes to filter through what to keep and delete  start of video and manual edits  catchup with Alison"/>
    <x v="2"/>
    <x v="4"/>
  </r>
  <r>
    <d v="2024-03-13T00:00:00"/>
    <x v="4"/>
    <s v="Business Development"/>
    <n v="8"/>
    <x v="11"/>
    <s v="No"/>
    <m/>
    <x v="2"/>
    <x v="4"/>
  </r>
  <r>
    <d v="2024-03-13T00:00:00"/>
    <x v="5"/>
    <s v="Bookkeeping"/>
    <n v="0.28000000000000003"/>
    <x v="15"/>
    <s v="Yes"/>
    <s v="Sending of Remittance Advice"/>
    <x v="2"/>
    <x v="4"/>
  </r>
  <r>
    <d v="2024-03-13T00:00:00"/>
    <x v="5"/>
    <s v="Bookkeeping"/>
    <n v="0.42"/>
    <x v="15"/>
    <s v="Yes"/>
    <s v="Marking as paid in SimPRO"/>
    <x v="2"/>
    <x v="4"/>
  </r>
  <r>
    <d v="2024-03-13T00:00:00"/>
    <x v="5"/>
    <s v="Bookkeeping"/>
    <n v="0.56999999999999995"/>
    <x v="15"/>
    <s v="Yes"/>
    <s v="Leave Balances"/>
    <x v="2"/>
    <x v="4"/>
  </r>
  <r>
    <d v="2024-03-13T00:00:00"/>
    <x v="5"/>
    <s v="Bookkeeping"/>
    <n v="1.8"/>
    <x v="15"/>
    <s v="Yes"/>
    <s v="Email Management "/>
    <x v="2"/>
    <x v="4"/>
  </r>
  <r>
    <d v="2024-03-13T00:00:00"/>
    <x v="5"/>
    <s v="Bookkeeping"/>
    <n v="5.0199999999999996"/>
    <x v="15"/>
    <s v="Yes"/>
    <s v="AP Processing"/>
    <x v="2"/>
    <x v="4"/>
  </r>
  <r>
    <d v="2024-03-13T00:00:00"/>
    <x v="6"/>
    <s v="Automations - Pinnacle"/>
    <n v="8"/>
    <x v="11"/>
    <s v="No"/>
    <s v="XeroDownloadReportsAutomation - Debugging some errors found while running in the VM"/>
    <x v="2"/>
    <x v="4"/>
  </r>
  <r>
    <d v="2024-03-13T00:00:00"/>
    <x v="7"/>
    <s v="Budget - Monthly"/>
    <n v="0.02"/>
    <x v="0"/>
    <s v="No"/>
    <m/>
    <x v="2"/>
    <x v="4"/>
  </r>
  <r>
    <d v="2024-03-13T00:00:00"/>
    <x v="8"/>
    <s v="Automations"/>
    <n v="3.5"/>
    <x v="11"/>
    <s v="No"/>
    <s v="Run four Alliance automations + AP automation;  Added 4 supplier to Alliance Automation Tax Invoice/Credit Adjustments"/>
    <x v="2"/>
    <x v="4"/>
  </r>
  <r>
    <d v="2024-03-13T00:00:00"/>
    <x v="9"/>
    <s v="Automations"/>
    <n v="9.02"/>
    <x v="11"/>
    <s v="No"/>
    <s v="Capspace Report generation for the month of February. Checking of output and concerns."/>
    <x v="2"/>
    <x v="4"/>
  </r>
  <r>
    <d v="2024-03-13T00:00:00"/>
    <x v="10"/>
    <s v="Bookkeeping"/>
    <n v="0.25"/>
    <x v="42"/>
    <s v="No"/>
    <s v="Checking"/>
    <x v="2"/>
    <x v="4"/>
  </r>
  <r>
    <d v="2024-03-13T00:00:00"/>
    <x v="10"/>
    <s v="Bookkeeping"/>
    <n v="0.33"/>
    <x v="50"/>
    <s v="No"/>
    <s v="Pinnacle payroll walk through with Sarah"/>
    <x v="2"/>
    <x v="4"/>
  </r>
  <r>
    <d v="2024-03-13T00:00:00"/>
    <x v="10"/>
    <s v="Bookkeeping"/>
    <n v="2.42"/>
    <x v="23"/>
    <s v="Yes"/>
    <s v="Emails, loading bills, bank recon"/>
    <x v="2"/>
    <x v="4"/>
  </r>
  <r>
    <d v="2024-03-13T00:00:00"/>
    <x v="10"/>
    <s v="Bookkeeping"/>
    <n v="3"/>
    <x v="42"/>
    <s v="Yes"/>
    <s v="Emails, loading bills, bank recon, payables list,  BS recon, employee termination processing"/>
    <x v="2"/>
    <x v="4"/>
  </r>
  <r>
    <d v="2024-03-13T00:00:00"/>
    <x v="10"/>
    <s v="General"/>
    <n v="0.5"/>
    <x v="11"/>
    <s v="No"/>
    <s v="break"/>
    <x v="2"/>
    <x v="4"/>
  </r>
  <r>
    <d v="2024-03-13T00:00:00"/>
    <x v="10"/>
    <s v="Payroll Processing"/>
    <n v="1.5"/>
    <x v="61"/>
    <s v="No"/>
    <s v="Answering Nicole's payroll queries, reviewing the exceptions spreadsheet, checking previous payruns"/>
    <x v="2"/>
    <x v="4"/>
  </r>
  <r>
    <d v="2024-03-13T00:00:00"/>
    <x v="47"/>
    <s v="Company Tax Returns"/>
    <n v="0.5"/>
    <x v="70"/>
    <s v="Yes"/>
    <s v="responded to Anthony's email regarding lodgement due dates for payable entities.   send out ADLMF's tax return for singing, responded to Anthony's email, billing instructions for Mel, update tax schedule"/>
    <x v="2"/>
    <x v="4"/>
  </r>
  <r>
    <d v="2024-03-13T00:00:00"/>
    <x v="11"/>
    <s v="Bookkeeping"/>
    <n v="0.35"/>
    <x v="27"/>
    <s v="Yes"/>
    <s v="queries/ emails"/>
    <x v="2"/>
    <x v="4"/>
  </r>
  <r>
    <d v="2024-03-13T00:00:00"/>
    <x v="11"/>
    <s v="Bookkeeping"/>
    <n v="0.37"/>
    <x v="32"/>
    <s v="Yes"/>
    <s v="query re: BK changeoever"/>
    <x v="2"/>
    <x v="4"/>
  </r>
  <r>
    <d v="2024-03-13T00:00:00"/>
    <x v="11"/>
    <s v="General"/>
    <n v="0.35"/>
    <x v="11"/>
    <s v="No"/>
    <s v="teams queries"/>
    <x v="2"/>
    <x v="4"/>
  </r>
  <r>
    <d v="2024-03-13T00:00:00"/>
    <x v="11"/>
    <s v="General"/>
    <n v="0.5"/>
    <x v="11"/>
    <s v="No"/>
    <s v="break"/>
    <x v="2"/>
    <x v="4"/>
  </r>
  <r>
    <d v="2024-03-13T00:00:00"/>
    <x v="11"/>
    <s v="Learning &amp; Development"/>
    <n v="2"/>
    <x v="11"/>
    <s v="No"/>
    <s v="Fathom"/>
    <x v="2"/>
    <x v="4"/>
  </r>
  <r>
    <d v="2024-03-13T00:00:00"/>
    <x v="11"/>
    <s v="Management Reporting"/>
    <n v="1.17"/>
    <x v="25"/>
    <s v="Yes"/>
    <s v="update Dec and Jan conso reps"/>
    <x v="2"/>
    <x v="4"/>
  </r>
  <r>
    <d v="2024-03-13T00:00:00"/>
    <x v="11"/>
    <s v="Payroll Processing"/>
    <n v="1.37"/>
    <x v="15"/>
    <s v="Yes"/>
    <s v="payroll update file proj"/>
    <x v="2"/>
    <x v="4"/>
  </r>
  <r>
    <d v="2024-03-13T00:00:00"/>
    <x v="11"/>
    <s v="Payroll Processing"/>
    <n v="1.48"/>
    <x v="27"/>
    <s v="Yes"/>
    <s v="review"/>
    <x v="2"/>
    <x v="4"/>
  </r>
  <r>
    <d v="2024-03-13T00:00:00"/>
    <x v="11"/>
    <s v="Xero Migration"/>
    <n v="0.42"/>
    <x v="106"/>
    <s v="Yes"/>
    <s v="queries re: Feb NZ transactions"/>
    <x v="2"/>
    <x v="4"/>
  </r>
  <r>
    <d v="2024-03-13T00:00:00"/>
    <x v="12"/>
    <s v="General"/>
    <n v="9.7200000000000006"/>
    <x v="11"/>
    <s v="No"/>
    <s v="- ASIC - Ethical Clearance - ATO Lodgment Report - Nick's email management - Check and verified documents ATO sent by post. - Update Zoho data. - Newsletter "/>
    <x v="2"/>
    <x v="4"/>
  </r>
  <r>
    <d v="2024-03-13T00:00:00"/>
    <x v="13"/>
    <s v="Bookkeeping"/>
    <n v="0.52"/>
    <x v="30"/>
    <s v="Yes"/>
    <s v="email checking of previous reports"/>
    <x v="2"/>
    <x v="4"/>
  </r>
  <r>
    <d v="2024-03-13T00:00:00"/>
    <x v="13"/>
    <s v="Bookkeeping"/>
    <n v="1.1499999999999999"/>
    <x v="28"/>
    <s v="Yes"/>
    <s v="BAS &amp; IAS Call with Ms.Rose"/>
    <x v="2"/>
    <x v="4"/>
  </r>
  <r>
    <d v="2024-03-13T00:00:00"/>
    <x v="13"/>
    <s v="Bookkeeping"/>
    <n v="1.33"/>
    <x v="30"/>
    <s v="Yes"/>
    <s v="bank recon. ap invoices"/>
    <x v="2"/>
    <x v="4"/>
  </r>
  <r>
    <d v="2024-03-13T00:00:00"/>
    <x v="13"/>
    <s v="Bookkeeping"/>
    <n v="2.0299999999999998"/>
    <x v="29"/>
    <s v="Yes"/>
    <s v="ap batch payment"/>
    <x v="2"/>
    <x v="4"/>
  </r>
  <r>
    <d v="2024-03-13T00:00:00"/>
    <x v="13"/>
    <s v="Bookkeeping - AP"/>
    <n v="0.87"/>
    <x v="31"/>
    <s v="Yes"/>
    <s v="approve ap invoices"/>
    <x v="2"/>
    <x v="4"/>
  </r>
  <r>
    <d v="2024-03-13T00:00:00"/>
    <x v="13"/>
    <s v="Bookkeeping - AP"/>
    <n v="1.6"/>
    <x v="31"/>
    <s v="Yes"/>
    <m/>
    <x v="2"/>
    <x v="4"/>
  </r>
  <r>
    <d v="2024-03-13T00:00:00"/>
    <x v="13"/>
    <s v="General"/>
    <n v="0.5"/>
    <x v="11"/>
    <s v="No"/>
    <s v="break"/>
    <x v="2"/>
    <x v="4"/>
  </r>
  <r>
    <d v="2024-03-13T00:00:00"/>
    <x v="14"/>
    <s v="Bookkeeping"/>
    <n v="0.7"/>
    <x v="25"/>
    <s v="Yes"/>
    <s v="Checking journals"/>
    <x v="2"/>
    <x v="4"/>
  </r>
  <r>
    <d v="2024-03-13T00:00:00"/>
    <x v="14"/>
    <s v="Bookkeeping"/>
    <n v="0.95"/>
    <x v="73"/>
    <s v="Yes"/>
    <s v="Recording of invoices, Bank recs"/>
    <x v="2"/>
    <x v="4"/>
  </r>
  <r>
    <d v="2024-03-13T00:00:00"/>
    <x v="14"/>
    <s v="Bookkeeping"/>
    <n v="1.1200000000000001"/>
    <x v="25"/>
    <s v="Yes"/>
    <s v="Checking intercompany accounts, bank recs, manual journals"/>
    <x v="2"/>
    <x v="4"/>
  </r>
  <r>
    <d v="2024-03-13T00:00:00"/>
    <x v="14"/>
    <s v="Bookkeeping"/>
    <n v="1.82"/>
    <x v="73"/>
    <s v="Yes"/>
    <s v="Bank recs, recording of invoices"/>
    <x v="2"/>
    <x v="4"/>
  </r>
  <r>
    <d v="2024-03-13T00:00:00"/>
    <x v="14"/>
    <s v="Bookkeeping"/>
    <n v="2.97"/>
    <x v="73"/>
    <s v="Yes"/>
    <s v="Recording of invoices, checking journals/reconciliations"/>
    <x v="2"/>
    <x v="4"/>
  </r>
  <r>
    <d v="2024-03-13T00:00:00"/>
    <x v="14"/>
    <s v="General"/>
    <n v="0.22"/>
    <x v="11"/>
    <s v="No"/>
    <s v="Checking emails, asana"/>
    <x v="2"/>
    <x v="4"/>
  </r>
  <r>
    <d v="2024-03-13T00:00:00"/>
    <x v="14"/>
    <s v="Payroll Processing"/>
    <n v="0.8"/>
    <x v="34"/>
    <s v="Yes"/>
    <s v="Checking employee pay"/>
    <x v="2"/>
    <x v="4"/>
  </r>
  <r>
    <d v="2024-03-13T00:00:00"/>
    <x v="15"/>
    <s v="Bookkeeping"/>
    <n v="0.83"/>
    <x v="18"/>
    <s v="No"/>
    <s v="review xero file"/>
    <x v="2"/>
    <x v="4"/>
  </r>
  <r>
    <d v="2024-03-13T00:00:00"/>
    <x v="15"/>
    <s v="Bookkeeping"/>
    <n v="0.97"/>
    <x v="18"/>
    <s v="No"/>
    <s v="review xero file; dont charge client yet as this is only a preparation for meeting. "/>
    <x v="2"/>
    <x v="4"/>
  </r>
  <r>
    <d v="2024-03-13T00:00:00"/>
    <x v="15"/>
    <s v="Bookkeeping"/>
    <n v="1.85"/>
    <x v="50"/>
    <s v="Yes"/>
    <s v="review of loan balances"/>
    <x v="2"/>
    <x v="4"/>
  </r>
  <r>
    <d v="2024-03-13T00:00:00"/>
    <x v="15"/>
    <s v="General"/>
    <n v="0.35"/>
    <x v="11"/>
    <s v="No"/>
    <s v="emails"/>
    <x v="2"/>
    <x v="4"/>
  </r>
  <r>
    <d v="2024-03-13T00:00:00"/>
    <x v="15"/>
    <s v="General"/>
    <n v="0.73"/>
    <x v="11"/>
    <s v="No"/>
    <s v="sign e-card, answer training survey"/>
    <x v="2"/>
    <x v="4"/>
  </r>
  <r>
    <d v="2024-03-13T00:00:00"/>
    <x v="15"/>
    <s v="General"/>
    <n v="0.87"/>
    <x v="11"/>
    <s v="No"/>
    <s v="emails - yachtlife response, chat with kate about pinnacle and spectrum, chat with Mark about setting up email"/>
    <x v="2"/>
    <x v="4"/>
  </r>
  <r>
    <d v="2024-03-13T00:00:00"/>
    <x v="15"/>
    <s v="General"/>
    <n v="1.82"/>
    <x v="11"/>
    <s v="No"/>
    <s v="process flows"/>
    <x v="2"/>
    <x v="4"/>
  </r>
  <r>
    <d v="2024-03-13T00:00:00"/>
    <x v="15"/>
    <s v="Management Reporting"/>
    <n v="0.62"/>
    <x v="85"/>
    <s v="No"/>
    <s v="update budget forecast but tagged as non billable as per shalini"/>
    <x v="2"/>
    <x v="4"/>
  </r>
  <r>
    <d v="2024-03-13T00:00:00"/>
    <x v="16"/>
    <s v="Bookkeeping"/>
    <n v="2.2200000000000002"/>
    <x v="35"/>
    <s v="Yes"/>
    <m/>
    <x v="2"/>
    <x v="4"/>
  </r>
  <r>
    <d v="2024-03-13T00:00:00"/>
    <x v="16"/>
    <s v="Payroll Processing"/>
    <n v="5.85"/>
    <x v="1"/>
    <s v="Yes"/>
    <m/>
    <x v="2"/>
    <x v="4"/>
  </r>
  <r>
    <d v="2024-03-13T00:00:00"/>
    <x v="17"/>
    <s v="P&amp;C Advisory"/>
    <n v="8"/>
    <x v="34"/>
    <s v="Yes"/>
    <s v="Handover mtgs with Dex Daily HR team mtg Investigation follow up calls Louie future-dated task allocations Salary Review mtgs with Regional Heads Handover emails to external stakeholders"/>
    <x v="2"/>
    <x v="4"/>
  </r>
  <r>
    <d v="2024-03-13T00:00:00"/>
    <x v="18"/>
    <s v="Bookkeeping"/>
    <n v="0.13"/>
    <x v="37"/>
    <s v="Yes"/>
    <m/>
    <x v="2"/>
    <x v="4"/>
  </r>
  <r>
    <d v="2024-03-13T00:00:00"/>
    <x v="18"/>
    <s v="Bookkeeping"/>
    <n v="0.33"/>
    <x v="41"/>
    <s v="Yes"/>
    <s v="dext prepare items, bank recon"/>
    <x v="2"/>
    <x v="4"/>
  </r>
  <r>
    <d v="2024-03-13T00:00:00"/>
    <x v="18"/>
    <s v="Bookkeeping"/>
    <n v="0.5"/>
    <x v="39"/>
    <s v="Yes"/>
    <m/>
    <x v="2"/>
    <x v="4"/>
  </r>
  <r>
    <d v="2024-03-13T00:00:00"/>
    <x v="18"/>
    <s v="Bookkeeping"/>
    <n v="0.5"/>
    <x v="36"/>
    <s v="Yes"/>
    <m/>
    <x v="2"/>
    <x v="4"/>
  </r>
  <r>
    <d v="2024-03-13T00:00:00"/>
    <x v="18"/>
    <s v="Bookkeeping"/>
    <n v="0.5"/>
    <x v="40"/>
    <s v="Yes"/>
    <s v="EH Items, Leave Approvals query sent to Brett, hubdoc and procore items query"/>
    <x v="2"/>
    <x v="4"/>
  </r>
  <r>
    <d v="2024-03-13T00:00:00"/>
    <x v="18"/>
    <s v="Bookkeeping"/>
    <n v="0.92"/>
    <x v="41"/>
    <s v="Yes"/>
    <s v="Checking with client open items, old ap bills to reconcile."/>
    <x v="2"/>
    <x v="4"/>
  </r>
  <r>
    <d v="2024-03-13T00:00:00"/>
    <x v="18"/>
    <s v="Bookkeeping"/>
    <n v="1"/>
    <x v="27"/>
    <s v="Yes"/>
    <s v="client queries, update payroll and employee profile as per client instructions"/>
    <x v="2"/>
    <x v="4"/>
  </r>
  <r>
    <d v="2024-03-13T00:00:00"/>
    <x v="18"/>
    <s v="Bookkeeping"/>
    <n v="1.18"/>
    <x v="27"/>
    <s v="Yes"/>
    <s v="ap items, dext prep, batch prep, email queries"/>
    <x v="2"/>
    <x v="4"/>
  </r>
  <r>
    <d v="2024-03-13T00:00:00"/>
    <x v="18"/>
    <s v="Bookkeeping"/>
    <n v="1.35"/>
    <x v="40"/>
    <s v="Yes"/>
    <s v="ap items, invoices from procore."/>
    <x v="2"/>
    <x v="4"/>
  </r>
  <r>
    <d v="2024-03-13T00:00:00"/>
    <x v="18"/>
    <s v="Learning &amp; Development"/>
    <n v="0.57999999999999996"/>
    <x v="11"/>
    <s v="No"/>
    <s v="Wyzed"/>
    <x v="2"/>
    <x v="4"/>
  </r>
  <r>
    <d v="2024-03-13T00:00:00"/>
    <x v="18"/>
    <s v="Payroll Processing"/>
    <n v="0.5"/>
    <x v="27"/>
    <s v="Yes"/>
    <m/>
    <x v="2"/>
    <x v="4"/>
  </r>
  <r>
    <d v="2024-03-13T00:00:00"/>
    <x v="18"/>
    <s v="Payroll Processing"/>
    <n v="0.5"/>
    <x v="40"/>
    <s v="Yes"/>
    <m/>
    <x v="2"/>
    <x v="4"/>
  </r>
  <r>
    <d v="2024-03-13T00:00:00"/>
    <x v="19"/>
    <s v="Automations - Surefire"/>
    <n v="8"/>
    <x v="11"/>
    <s v="No"/>
    <s v="SureFire Services - Automation"/>
    <x v="2"/>
    <x v="4"/>
  </r>
  <r>
    <d v="2024-03-13T00:00:00"/>
    <x v="20"/>
    <s v="Sick Leave"/>
    <n v="8"/>
    <x v="11"/>
    <s v="No"/>
    <m/>
    <x v="2"/>
    <x v="4"/>
  </r>
  <r>
    <d v="2024-03-13T00:00:00"/>
    <x v="21"/>
    <s v="Automations"/>
    <n v="8"/>
    <x v="11"/>
    <s v="No"/>
    <s v="Run: LOC Dev: Pinnacle Oporto Automation Dev: Holdsworth Update"/>
    <x v="2"/>
    <x v="4"/>
  </r>
  <r>
    <d v="2024-03-13T00:00:00"/>
    <x v="22"/>
    <s v="Bookkeeping"/>
    <n v="0.17"/>
    <x v="44"/>
    <s v="Yes"/>
    <s v="PL to RD grant consultant, call with Zoe, email Fortescue invoice"/>
    <x v="2"/>
    <x v="4"/>
  </r>
  <r>
    <d v="2024-03-13T00:00:00"/>
    <x v="22"/>
    <s v="Bookkeeping"/>
    <n v="0.35"/>
    <x v="42"/>
    <s v="Yes"/>
    <s v="Load payables, AMEX payment and ATO paymetnt, email for approvals Email for change to reporitng cycle"/>
    <x v="2"/>
    <x v="4"/>
  </r>
  <r>
    <d v="2024-03-13T00:00:00"/>
    <x v="22"/>
    <s v="Bookkeeping"/>
    <n v="0.78"/>
    <x v="90"/>
    <s v="Yes"/>
    <s v="Ackad Family Trust file bank recon"/>
    <x v="2"/>
    <x v="4"/>
  </r>
  <r>
    <d v="2024-03-13T00:00:00"/>
    <x v="22"/>
    <s v="Client Manager"/>
    <n v="0.33"/>
    <x v="58"/>
    <s v="Yes"/>
    <s v="Assist Mary with budget report - budget not displaying"/>
    <x v="2"/>
    <x v="4"/>
  </r>
  <r>
    <d v="2024-03-13T00:00:00"/>
    <x v="22"/>
    <s v="Client Manager"/>
    <n v="0.67"/>
    <x v="58"/>
    <s v="Yes"/>
    <s v="Call with Nicole, follow up with Ann / Mary/  review NAB etc."/>
    <x v="2"/>
    <x v="4"/>
  </r>
  <r>
    <d v="2024-03-13T00:00:00"/>
    <x v="22"/>
    <s v="Client Meeting"/>
    <n v="0.28000000000000003"/>
    <x v="90"/>
    <s v="Yes"/>
    <s v="Meeting with Marianne and Tyson re using Xero for supplier bills"/>
    <x v="2"/>
    <x v="4"/>
  </r>
  <r>
    <d v="2024-03-13T00:00:00"/>
    <x v="22"/>
    <s v="Client Meeting"/>
    <n v="1"/>
    <x v="76"/>
    <s v="Yes"/>
    <s v="CIN7 configuration meeting"/>
    <x v="2"/>
    <x v="4"/>
  </r>
  <r>
    <d v="2024-03-13T00:00:00"/>
    <x v="22"/>
    <s v="General"/>
    <n v="0.2"/>
    <x v="11"/>
    <s v="No"/>
    <s v="Teams message re report automation"/>
    <x v="2"/>
    <x v="4"/>
  </r>
  <r>
    <d v="2024-03-13T00:00:00"/>
    <x v="22"/>
    <s v="General"/>
    <n v="0.33"/>
    <x v="11"/>
    <s v="No"/>
    <s v="Teams messages, emails"/>
    <x v="2"/>
    <x v="4"/>
  </r>
  <r>
    <d v="2024-03-13T00:00:00"/>
    <x v="22"/>
    <s v="General"/>
    <n v="1"/>
    <x v="11"/>
    <s v="No"/>
    <s v="chat with Nick "/>
    <x v="2"/>
    <x v="4"/>
  </r>
  <r>
    <d v="2024-03-13T00:00:00"/>
    <x v="22"/>
    <s v="Payroll Processing"/>
    <n v="0.15"/>
    <x v="42"/>
    <s v="Yes"/>
    <s v="Payroll review"/>
    <x v="2"/>
    <x v="4"/>
  </r>
  <r>
    <d v="2024-03-13T00:00:00"/>
    <x v="22"/>
    <s v="Payroll Processing"/>
    <n v="0.17"/>
    <x v="90"/>
    <s v="Yes"/>
    <s v="Re set up Tyson payment, call with Tyson and Julian"/>
    <x v="2"/>
    <x v="4"/>
  </r>
  <r>
    <d v="2024-03-13T00:00:00"/>
    <x v="22"/>
    <s v="Payroll Processing"/>
    <n v="0.23"/>
    <x v="19"/>
    <s v="Yes"/>
    <s v="Review payroll"/>
    <x v="2"/>
    <x v="4"/>
  </r>
  <r>
    <d v="2024-03-13T00:00:00"/>
    <x v="22"/>
    <s v="Payroll Processing"/>
    <n v="0.25"/>
    <x v="34"/>
    <s v="Yes"/>
    <s v="Chase approvals, call Andrew / Ronnie and messages"/>
    <x v="2"/>
    <x v="4"/>
  </r>
  <r>
    <d v="2024-03-13T00:00:00"/>
    <x v="22"/>
    <s v="Payroll Processing"/>
    <n v="0.25"/>
    <x v="34"/>
    <s v="Yes"/>
    <s v="Load payrolls to bank and send email to client for approvals"/>
    <x v="2"/>
    <x v="4"/>
  </r>
  <r>
    <d v="2024-03-13T00:00:00"/>
    <x v="22"/>
    <s v="Payroll Processing"/>
    <n v="0.27"/>
    <x v="34"/>
    <s v="Yes"/>
    <s v="Finalise payruns and send for approval"/>
    <x v="2"/>
    <x v="4"/>
  </r>
  <r>
    <d v="2024-03-13T00:00:00"/>
    <x v="22"/>
    <s v="Payroll Processing"/>
    <n v="1.2"/>
    <x v="20"/>
    <s v="Yes"/>
    <s v="Check employment types, review payroll Check backpay for Logan, leave for Micaylah and Iziaha etc. "/>
    <x v="2"/>
    <x v="4"/>
  </r>
  <r>
    <d v="2024-03-13T00:00:00"/>
    <x v="23"/>
    <s v="Client Meeting"/>
    <n v="0.08"/>
    <x v="26"/>
    <s v="No"/>
    <s v="Attending to queries and modify asana"/>
    <x v="2"/>
    <x v="4"/>
  </r>
  <r>
    <d v="2024-03-13T00:00:00"/>
    <x v="23"/>
    <s v="Client Meeting"/>
    <n v="0.1"/>
    <x v="102"/>
    <s v="No"/>
    <s v="Attending to queries and set up Asana"/>
    <x v="2"/>
    <x v="4"/>
  </r>
  <r>
    <d v="2024-03-13T00:00:00"/>
    <x v="23"/>
    <s v="Client Meeting"/>
    <n v="0.18"/>
    <x v="83"/>
    <s v="No"/>
    <s v="Email"/>
    <x v="2"/>
    <x v="4"/>
  </r>
  <r>
    <d v="2024-03-13T00:00:00"/>
    <x v="23"/>
    <s v="Client Meeting"/>
    <n v="0.3"/>
    <x v="15"/>
    <s v="No"/>
    <s v="Attending to Sheryl's queries as she is new to Xero. We digging variances of 3K"/>
    <x v="2"/>
    <x v="4"/>
  </r>
  <r>
    <d v="2024-03-13T00:00:00"/>
    <x v="23"/>
    <s v="Client Meeting"/>
    <n v="0.3"/>
    <x v="62"/>
    <s v="Yes"/>
    <s v="Attending to Queries and checking data"/>
    <x v="2"/>
    <x v="4"/>
  </r>
  <r>
    <d v="2024-03-13T00:00:00"/>
    <x v="23"/>
    <s v="Client Meeting"/>
    <n v="0.68"/>
    <x v="15"/>
    <s v="Yes"/>
    <s v="Meeting with Sheryl and fixing XPM"/>
    <x v="2"/>
    <x v="4"/>
  </r>
  <r>
    <d v="2024-03-13T00:00:00"/>
    <x v="23"/>
    <s v="Company Tax Returns"/>
    <n v="0.25"/>
    <x v="62"/>
    <s v="No"/>
    <s v="Assisting Princess regarding refund payment"/>
    <x v="2"/>
    <x v="4"/>
  </r>
  <r>
    <d v="2024-03-13T00:00:00"/>
    <x v="23"/>
    <s v="General"/>
    <n v="0.25"/>
    <x v="11"/>
    <s v="No"/>
    <s v="AFTERNOON Break: 15 mins coffee breaks as paid per Labor Code of the Philippines, Article 85"/>
    <x v="2"/>
    <x v="4"/>
  </r>
  <r>
    <d v="2024-03-13T00:00:00"/>
    <x v="23"/>
    <s v="General"/>
    <n v="0.25"/>
    <x v="11"/>
    <s v="No"/>
    <s v="MORNING Break: 15 mins coffee breaks as paid per Labor Code of the Philippines, Article 85. "/>
    <x v="2"/>
    <x v="4"/>
  </r>
  <r>
    <d v="2024-03-13T00:00:00"/>
    <x v="23"/>
    <s v="General"/>
    <n v="0.53"/>
    <x v="11"/>
    <s v="No"/>
    <s v="Email, chat with Bern, chat with Gen and read some teams and other adhocs"/>
    <x v="2"/>
    <x v="4"/>
  </r>
  <r>
    <d v="2024-03-13T00:00:00"/>
    <x v="23"/>
    <s v="IAS/BAS Preparation &amp; Lodgement - Feb"/>
    <n v="0.13"/>
    <x v="53"/>
    <s v="No"/>
    <s v="IAS"/>
    <x v="2"/>
    <x v="4"/>
  </r>
  <r>
    <d v="2024-03-13T00:00:00"/>
    <x v="23"/>
    <s v="IAS/BAS Preparation &amp; Lodgement - Feb"/>
    <n v="0.18"/>
    <x v="52"/>
    <s v="Yes"/>
    <s v="IAS"/>
    <x v="2"/>
    <x v="4"/>
  </r>
  <r>
    <d v="2024-03-13T00:00:00"/>
    <x v="23"/>
    <s v="IAS/BAS Preparation &amp; Lodgement - Feb"/>
    <n v="0.48"/>
    <x v="102"/>
    <s v="No"/>
    <s v="Nonbillable - resolving XPM error and checking of ATO portal"/>
    <x v="2"/>
    <x v="4"/>
  </r>
  <r>
    <d v="2024-03-13T00:00:00"/>
    <x v="23"/>
    <s v="IAS/BAS Preparation &amp; Lodgement - Feb"/>
    <n v="0.53"/>
    <x v="109"/>
    <s v="No"/>
    <s v="Others "/>
    <x v="2"/>
    <x v="4"/>
  </r>
  <r>
    <d v="2024-03-13T00:00:00"/>
    <x v="23"/>
    <s v="IAS/BAS Preparation &amp; Lodgement - Feb"/>
    <n v="1.18"/>
    <x v="109"/>
    <s v="Yes"/>
    <s v="BAS"/>
    <x v="2"/>
    <x v="4"/>
  </r>
  <r>
    <d v="2024-03-13T00:00:00"/>
    <x v="23"/>
    <s v="IAS/BAS Preparation &amp; Lodgement - Feb"/>
    <n v="2.3199999999999998"/>
    <x v="15"/>
    <s v="Yes"/>
    <s v="BAS"/>
    <x v="2"/>
    <x v="4"/>
  </r>
  <r>
    <d v="2024-03-13T00:00:00"/>
    <x v="23"/>
    <s v="IT"/>
    <n v="0.25"/>
    <x v="11"/>
    <s v="No"/>
    <m/>
    <x v="2"/>
    <x v="4"/>
  </r>
  <r>
    <d v="2024-03-13T00:00:00"/>
    <x v="48"/>
    <s v="HR/Recuitment"/>
    <n v="4"/>
    <x v="11"/>
    <s v="No"/>
    <s v="Preparing induction and onboarding for HRBP, sending emails, Teams messages and booking calendar invites.  Commence drafting variation agreement letters for global team - variation to termination clauses in contracts of employment.  MS Teams call with AH and JS for Prime Build HR handover."/>
    <x v="2"/>
    <x v="4"/>
  </r>
  <r>
    <d v="2024-03-13T00:00:00"/>
    <x v="48"/>
    <s v="P&amp;C Advisory"/>
    <n v="4"/>
    <x v="9"/>
    <s v="Yes"/>
    <s v="Employee connect updates - deactivating Coex employees on the system and updating employee records.  Updating covid 19 policy and sending to CEO for approval.  Updating and reviewing HR policies in line with new legislation, and reviewing other policies - motor vehicle accident policy and procedure. MS Teams call with Reception.  "/>
    <x v="2"/>
    <x v="4"/>
  </r>
  <r>
    <d v="2024-03-13T00:00:00"/>
    <x v="24"/>
    <s v="Bookkeeping"/>
    <n v="1.57"/>
    <x v="55"/>
    <s v="Yes"/>
    <m/>
    <x v="2"/>
    <x v="4"/>
  </r>
  <r>
    <d v="2024-03-13T00:00:00"/>
    <x v="24"/>
    <s v="Bookkeeping"/>
    <n v="2"/>
    <x v="46"/>
    <s v="Yes"/>
    <m/>
    <x v="2"/>
    <x v="4"/>
  </r>
  <r>
    <d v="2024-03-13T00:00:00"/>
    <x v="24"/>
    <s v="Bookkeeping"/>
    <n v="3.27"/>
    <x v="15"/>
    <s v="Yes"/>
    <m/>
    <x v="2"/>
    <x v="4"/>
  </r>
  <r>
    <d v="2024-03-13T00:00:00"/>
    <x v="24"/>
    <s v="Payroll Processing"/>
    <n v="2.33"/>
    <x v="30"/>
    <s v="Yes"/>
    <m/>
    <x v="2"/>
    <x v="4"/>
  </r>
  <r>
    <d v="2024-03-13T00:00:00"/>
    <x v="26"/>
    <s v="Adhoc Support &amp; Advice"/>
    <n v="1"/>
    <x v="15"/>
    <s v="No"/>
    <s v="recon"/>
    <x v="2"/>
    <x v="4"/>
  </r>
  <r>
    <d v="2024-03-13T00:00:00"/>
    <x v="26"/>
    <s v="Debt Collection"/>
    <n v="2"/>
    <x v="11"/>
    <s v="No"/>
    <m/>
    <x v="2"/>
    <x v="4"/>
  </r>
  <r>
    <d v="2024-03-13T00:00:00"/>
    <x v="26"/>
    <s v="Debt Collection"/>
    <n v="3.5"/>
    <x v="15"/>
    <s v="Yes"/>
    <m/>
    <x v="2"/>
    <x v="4"/>
  </r>
  <r>
    <d v="2024-03-13T00:00:00"/>
    <x v="26"/>
    <s v="General"/>
    <n v="0.5"/>
    <x v="11"/>
    <s v="No"/>
    <s v="break"/>
    <x v="2"/>
    <x v="4"/>
  </r>
  <r>
    <d v="2024-03-13T00:00:00"/>
    <x v="26"/>
    <s v="General"/>
    <n v="1"/>
    <x v="11"/>
    <s v="No"/>
    <s v="Clean up email, asana"/>
    <x v="2"/>
    <x v="4"/>
  </r>
  <r>
    <d v="2024-03-13T00:00:00"/>
    <x v="27"/>
    <s v="General"/>
    <n v="1.5"/>
    <x v="11"/>
    <s v="No"/>
    <s v="handover / compliance payment / emails"/>
    <x v="2"/>
    <x v="4"/>
  </r>
  <r>
    <d v="2024-03-13T00:00:00"/>
    <x v="27"/>
    <s v="Management Reporting"/>
    <n v="3.25"/>
    <x v="15"/>
    <s v="Yes"/>
    <s v="handover / month-end"/>
    <x v="2"/>
    <x v="4"/>
  </r>
  <r>
    <d v="2024-03-13T00:00:00"/>
    <x v="27"/>
    <s v="Management Reporting"/>
    <n v="3.83"/>
    <x v="15"/>
    <s v="Yes"/>
    <s v="month-end / handover"/>
    <x v="2"/>
    <x v="4"/>
  </r>
  <r>
    <d v="2024-03-13T00:00:00"/>
    <x v="28"/>
    <s v="Bookkeeping"/>
    <n v="2.2799999999999998"/>
    <x v="57"/>
    <s v="Yes"/>
    <s v="Process payment to CBA  Bills raise to xero postscript transactions Approving postscript transactions to a2x Reconciled postscript transactions "/>
    <x v="2"/>
    <x v="4"/>
  </r>
  <r>
    <d v="2024-03-13T00:00:00"/>
    <x v="28"/>
    <s v="Bookkeeping"/>
    <n v="5.22"/>
    <x v="57"/>
    <s v="Yes"/>
    <s v="Email Managemnet Bills raise to xero Approving bills in draft that is in direct debit Bank reconciliation BM and LOC Inc Approving sales to a2x Prepared payment summary report for approval"/>
    <x v="2"/>
    <x v="4"/>
  </r>
  <r>
    <d v="2024-03-13T00:00:00"/>
    <x v="28"/>
    <s v="General"/>
    <n v="0.5"/>
    <x v="11"/>
    <s v="No"/>
    <s v="Break"/>
    <x v="2"/>
    <x v="4"/>
  </r>
  <r>
    <d v="2024-03-13T00:00:00"/>
    <x v="29"/>
    <s v="IT"/>
    <n v="9"/>
    <x v="11"/>
    <s v="No"/>
    <s v="IT Support &amp; Security"/>
    <x v="2"/>
    <x v="4"/>
  </r>
  <r>
    <d v="2024-03-13T00:00:00"/>
    <x v="30"/>
    <s v="Sick Leave"/>
    <n v="8"/>
    <x v="11"/>
    <s v="No"/>
    <m/>
    <x v="2"/>
    <x v="4"/>
  </r>
  <r>
    <d v="2024-03-13T00:00:00"/>
    <x v="31"/>
    <s v="Accounts"/>
    <n v="0.23"/>
    <x v="11"/>
    <s v="No"/>
    <s v="Status of payment on Dherick latest billing. Coordinate via messenger for him to give feedback. Update Ms Con to verify the status."/>
    <x v="2"/>
    <x v="4"/>
  </r>
  <r>
    <d v="2024-03-13T00:00:00"/>
    <x v="31"/>
    <s v="Accounts"/>
    <n v="0.63"/>
    <x v="11"/>
    <s v="No"/>
    <s v="Call with Gen re: ATO PAYG Installment on Dexterous Holdings Pty Ltd"/>
    <x v="2"/>
    <x v="4"/>
  </r>
  <r>
    <d v="2024-03-13T00:00:00"/>
    <x v="31"/>
    <s v="Accounts"/>
    <n v="1.02"/>
    <x v="11"/>
    <s v="No"/>
    <s v="Communication with Dherick/Ms Con and email Nick for the status of refund. Payment via XE was not successful."/>
    <x v="2"/>
    <x v="4"/>
  </r>
  <r>
    <d v="2024-03-13T00:00:00"/>
    <x v="31"/>
    <s v="Accounts"/>
    <n v="1.48"/>
    <x v="11"/>
    <s v="No"/>
    <s v="Respond to Shalini's request of all invoices needed by Ben. MDF invoice update as requested by Wayne.Prepare additional invoices based on Asana tasks (ADFLMF invoices and Employee Protection)"/>
    <x v="2"/>
    <x v="4"/>
  </r>
  <r>
    <d v="2024-03-13T00:00:00"/>
    <x v="31"/>
    <s v="Bookkeeping"/>
    <n v="0.42"/>
    <x v="11"/>
    <s v="No"/>
    <s v="Process bills for ATO payment. MJ the February 2024 IAS. Inform Nick for the deadline and details of payment."/>
    <x v="2"/>
    <x v="4"/>
  </r>
  <r>
    <d v="2024-03-13T00:00:00"/>
    <x v="31"/>
    <s v="Bookkeeping"/>
    <n v="1.97"/>
    <x v="11"/>
    <s v="No"/>
    <s v="Process bills. Catch up emails. Reach out to Shalini and Carly for Supply Crew invoice. Coordinate various queries to resolve/escalate from Accounts emails. Process further bank recs."/>
    <x v="2"/>
    <x v="4"/>
  </r>
  <r>
    <d v="2024-03-13T00:00:00"/>
    <x v="31"/>
    <s v="Learning &amp; Development"/>
    <n v="3.42"/>
    <x v="11"/>
    <s v="No"/>
    <s v="Payroll Processing on Wyzed"/>
    <x v="2"/>
    <x v="4"/>
  </r>
  <r>
    <d v="2024-03-13T00:00:00"/>
    <x v="31"/>
    <s v="Payroll Processing"/>
    <n v="0.48"/>
    <x v="56"/>
    <s v="No"/>
    <s v="Process HDMF Feb 2024 contribution lists with updates on new EE ER share.via HDMF portal"/>
    <x v="2"/>
    <x v="4"/>
  </r>
  <r>
    <d v="2024-03-13T00:00:00"/>
    <x v="32"/>
    <s v="Web"/>
    <n v="10"/>
    <x v="11"/>
    <s v="No"/>
    <s v="🟨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to be notified by Bern which documents belong to what category and subcategory    📝 copy the index page for the sub category (optional)   📝 copy the index page to designated folder   📝 download all the files related to flow   📝 edit the content of the page copie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x v="2"/>
    <x v="4"/>
  </r>
  <r>
    <d v="2024-03-13T00:00:00"/>
    <x v="33"/>
    <s v="Bookkeeping"/>
    <n v="0.5"/>
    <x v="60"/>
    <s v="Yes"/>
    <s v="preparing AP list"/>
    <x v="2"/>
    <x v="4"/>
  </r>
  <r>
    <d v="2024-03-13T00:00:00"/>
    <x v="33"/>
    <s v="Bookkeeping"/>
    <n v="0.5"/>
    <x v="60"/>
    <s v="Yes"/>
    <s v="Uploading payments"/>
    <x v="2"/>
    <x v="4"/>
  </r>
  <r>
    <d v="2024-03-13T00:00:00"/>
    <x v="33"/>
    <s v="Bookkeeping"/>
    <n v="0.5"/>
    <x v="48"/>
    <s v="Yes"/>
    <m/>
    <x v="2"/>
    <x v="4"/>
  </r>
  <r>
    <d v="2024-03-13T00:00:00"/>
    <x v="33"/>
    <s v="Bookkeeping"/>
    <n v="0.5"/>
    <x v="59"/>
    <s v="Yes"/>
    <m/>
    <x v="2"/>
    <x v="4"/>
  </r>
  <r>
    <d v="2024-03-13T00:00:00"/>
    <x v="33"/>
    <s v="Bookkeeping"/>
    <n v="2"/>
    <x v="9"/>
    <s v="Yes"/>
    <m/>
    <x v="2"/>
    <x v="4"/>
  </r>
  <r>
    <d v="2024-03-13T00:00:00"/>
    <x v="33"/>
    <s v="Payroll Processing"/>
    <n v="0.5"/>
    <x v="89"/>
    <s v="Yes"/>
    <m/>
    <x v="2"/>
    <x v="4"/>
  </r>
  <r>
    <d v="2024-03-13T00:00:00"/>
    <x v="33"/>
    <s v="Payroll Processing"/>
    <n v="1"/>
    <x v="60"/>
    <s v="Yes"/>
    <s v="preparing payroll and uploading "/>
    <x v="2"/>
    <x v="4"/>
  </r>
  <r>
    <d v="2024-03-13T00:00:00"/>
    <x v="34"/>
    <s v="Client Manager"/>
    <n v="0.42"/>
    <x v="0"/>
    <s v="No"/>
    <s v="Internal emails Review of tasks for month end"/>
    <x v="2"/>
    <x v="4"/>
  </r>
  <r>
    <d v="2024-03-13T00:00:00"/>
    <x v="34"/>
    <s v="Client Manager"/>
    <n v="0.6"/>
    <x v="61"/>
    <s v="Yes"/>
    <s v="Payroll for march"/>
    <x v="2"/>
    <x v="4"/>
  </r>
  <r>
    <d v="2024-03-13T00:00:00"/>
    <x v="34"/>
    <s v="Client Manager"/>
    <n v="1.95"/>
    <x v="0"/>
    <s v="Yes"/>
    <e v="#NAME?"/>
    <x v="2"/>
    <x v="4"/>
  </r>
  <r>
    <d v="2024-03-13T00:00:00"/>
    <x v="34"/>
    <s v="Client Manager"/>
    <n v="4.12"/>
    <x v="61"/>
    <s v="No"/>
    <s v="Payroll for march"/>
    <x v="2"/>
    <x v="4"/>
  </r>
  <r>
    <d v="2024-03-13T00:00:00"/>
    <x v="35"/>
    <s v="Bookkeeping"/>
    <n v="0.28000000000000003"/>
    <x v="33"/>
    <s v="Yes"/>
    <s v="BR"/>
    <x v="2"/>
    <x v="4"/>
  </r>
  <r>
    <d v="2024-03-13T00:00:00"/>
    <x v="35"/>
    <s v="Bookkeeping"/>
    <n v="0.37"/>
    <x v="33"/>
    <s v="Yes"/>
    <s v="AP, allow"/>
    <x v="2"/>
    <x v="4"/>
  </r>
  <r>
    <d v="2024-03-13T00:00:00"/>
    <x v="35"/>
    <s v="Bookkeeping"/>
    <n v="0.4"/>
    <x v="62"/>
    <s v="Yes"/>
    <s v="BR"/>
    <x v="2"/>
    <x v="4"/>
  </r>
  <r>
    <d v="2024-03-13T00:00:00"/>
    <x v="35"/>
    <s v="Bookkeeping"/>
    <n v="0.4"/>
    <x v="33"/>
    <s v="Yes"/>
    <s v="email"/>
    <x v="2"/>
    <x v="4"/>
  </r>
  <r>
    <d v="2024-03-13T00:00:00"/>
    <x v="35"/>
    <s v="Bookkeeping"/>
    <n v="0.48"/>
    <x v="62"/>
    <s v="Yes"/>
    <s v="files"/>
    <x v="2"/>
    <x v="4"/>
  </r>
  <r>
    <d v="2024-03-13T00:00:00"/>
    <x v="35"/>
    <s v="Bookkeeping"/>
    <n v="0.5"/>
    <x v="33"/>
    <s v="Yes"/>
    <s v="allowance rate, email, search"/>
    <x v="2"/>
    <x v="4"/>
  </r>
  <r>
    <d v="2024-03-13T00:00:00"/>
    <x v="35"/>
    <s v="Bookkeeping"/>
    <n v="0.68"/>
    <x v="33"/>
    <s v="Yes"/>
    <s v="AR report"/>
    <x v="2"/>
    <x v="4"/>
  </r>
  <r>
    <d v="2024-03-13T00:00:00"/>
    <x v="35"/>
    <s v="Bookkeeping"/>
    <n v="0.93"/>
    <x v="33"/>
    <s v="Yes"/>
    <s v="BR, email"/>
    <x v="2"/>
    <x v="4"/>
  </r>
  <r>
    <d v="2024-03-13T00:00:00"/>
    <x v="35"/>
    <s v="Bookkeeping"/>
    <n v="1.5"/>
    <x v="62"/>
    <s v="Yes"/>
    <s v="AP"/>
    <x v="2"/>
    <x v="4"/>
  </r>
  <r>
    <d v="2024-03-13T00:00:00"/>
    <x v="35"/>
    <s v="Client Meeting"/>
    <n v="0.48"/>
    <x v="33"/>
    <s v="Yes"/>
    <s v="with srac team"/>
    <x v="2"/>
    <x v="4"/>
  </r>
  <r>
    <d v="2024-03-13T00:00:00"/>
    <x v="35"/>
    <s v="Meetings"/>
    <n v="0.88"/>
    <x v="11"/>
    <s v="No"/>
    <s v="MDF Handover"/>
    <x v="2"/>
    <x v="4"/>
  </r>
  <r>
    <d v="2024-03-13T00:00:00"/>
    <x v="35"/>
    <s v="Meetings"/>
    <n v="1.1000000000000001"/>
    <x v="11"/>
    <s v="No"/>
    <s v="MDF shadow"/>
    <x v="2"/>
    <x v="4"/>
  </r>
  <r>
    <d v="2024-03-13T00:00:00"/>
    <x v="36"/>
    <s v="Bookkeeping"/>
    <n v="6.25"/>
    <x v="35"/>
    <s v="Yes"/>
    <m/>
    <x v="2"/>
    <x v="4"/>
  </r>
  <r>
    <d v="2024-03-13T00:00:00"/>
    <x v="36"/>
    <s v="Client Meeting"/>
    <n v="1.47"/>
    <x v="35"/>
    <s v="Yes"/>
    <s v="Finance meeting"/>
    <x v="2"/>
    <x v="4"/>
  </r>
  <r>
    <d v="2024-03-13T00:00:00"/>
    <x v="36"/>
    <s v="General"/>
    <n v="0.28000000000000003"/>
    <x v="11"/>
    <s v="No"/>
    <s v="Dex emails"/>
    <x v="2"/>
    <x v="4"/>
  </r>
  <r>
    <d v="2024-03-13T00:00:00"/>
    <x v="36"/>
    <s v="Payroll Processing"/>
    <n v="0.38"/>
    <x v="1"/>
    <s v="Yes"/>
    <m/>
    <x v="2"/>
    <x v="4"/>
  </r>
  <r>
    <d v="2024-03-13T00:00:00"/>
    <x v="37"/>
    <s v="General"/>
    <n v="4.32"/>
    <x v="11"/>
    <s v="No"/>
    <s v="1:1 Sarah WIP dashboard continuation creation FTE analysis"/>
    <x v="2"/>
    <x v="4"/>
  </r>
  <r>
    <d v="2024-03-13T00:00:00"/>
    <x v="37"/>
    <s v="General"/>
    <n v="4.3499999999999996"/>
    <x v="11"/>
    <s v="No"/>
    <s v="FTE analysis building Cap planning Govt remittances training handover "/>
    <x v="2"/>
    <x v="4"/>
  </r>
  <r>
    <d v="2024-03-13T00:00:00"/>
    <x v="38"/>
    <s v="Bookkeeping"/>
    <n v="10.85"/>
    <x v="15"/>
    <s v="Yes"/>
    <m/>
    <x v="2"/>
    <x v="4"/>
  </r>
  <r>
    <d v="2024-03-13T00:00:00"/>
    <x v="39"/>
    <s v="Bookkeeping"/>
    <n v="0.45"/>
    <x v="46"/>
    <s v="Yes"/>
    <s v="Check Trupanion Managers payable and funding"/>
    <x v="2"/>
    <x v="4"/>
  </r>
  <r>
    <d v="2024-03-13T00:00:00"/>
    <x v="39"/>
    <s v="Bookkeeping"/>
    <n v="0.67"/>
    <x v="72"/>
    <s v="Yes"/>
    <s v="List all weekly tasks for weekly hotels Create a master file for account coding guide"/>
    <x v="2"/>
    <x v="4"/>
  </r>
  <r>
    <d v="2024-03-13T00:00:00"/>
    <x v="39"/>
    <s v="Bookkeeping"/>
    <n v="1"/>
    <x v="28"/>
    <s v="Yes"/>
    <s v="Enter weekly spreadsheet and recon cash on hand"/>
    <x v="2"/>
    <x v="4"/>
  </r>
  <r>
    <d v="2024-03-13T00:00:00"/>
    <x v="39"/>
    <s v="Bookkeeping"/>
    <n v="1.32"/>
    <x v="28"/>
    <s v="Yes"/>
    <s v="Export IAS reports for Pelan and Shebeling Enter BAS journals for LON, COM, SWH,WPK with Gerardo"/>
    <x v="2"/>
    <x v="4"/>
  </r>
  <r>
    <d v="2024-03-13T00:00:00"/>
    <x v="39"/>
    <s v="General"/>
    <n v="0.45"/>
    <x v="11"/>
    <s v="No"/>
    <s v="Morning emails"/>
    <x v="2"/>
    <x v="4"/>
  </r>
  <r>
    <d v="2024-03-13T00:00:00"/>
    <x v="39"/>
    <s v="General"/>
    <n v="0.5"/>
    <x v="11"/>
    <s v="No"/>
    <s v="Break"/>
    <x v="2"/>
    <x v="4"/>
  </r>
  <r>
    <d v="2024-03-13T00:00:00"/>
    <x v="39"/>
    <s v="General"/>
    <n v="0.57999999999999996"/>
    <x v="11"/>
    <s v="No"/>
    <s v="Answer survey for 3x training session"/>
    <x v="2"/>
    <x v="4"/>
  </r>
  <r>
    <d v="2024-03-13T00:00:00"/>
    <x v="39"/>
    <s v="General"/>
    <n v="0.82"/>
    <x v="11"/>
    <s v="No"/>
    <s v="Emails throughout the day Teams messages (assist on questions, etc)"/>
    <x v="2"/>
    <x v="4"/>
  </r>
  <r>
    <d v="2024-03-13T00:00:00"/>
    <x v="39"/>
    <s v="Payroll Processing"/>
    <n v="0.25"/>
    <x v="15"/>
    <s v="Yes"/>
    <s v="Action payroll email, assist Dominic P with Xero access problems"/>
    <x v="2"/>
    <x v="4"/>
  </r>
  <r>
    <d v="2024-03-13T00:00:00"/>
    <x v="39"/>
    <s v="Payroll Processing"/>
    <n v="0.28000000000000003"/>
    <x v="30"/>
    <s v="Yes"/>
    <s v="Payroll review and discussion with Lindz why there are 2 unfinalised payruns"/>
    <x v="2"/>
    <x v="4"/>
  </r>
  <r>
    <d v="2024-03-13T00:00:00"/>
    <x v="39"/>
    <s v="Payroll Processing"/>
    <n v="0.3"/>
    <x v="15"/>
    <s v="Yes"/>
    <s v="Query from Craig re super"/>
    <x v="2"/>
    <x v="4"/>
  </r>
  <r>
    <d v="2024-03-13T00:00:00"/>
    <x v="39"/>
    <s v="Payroll Processing"/>
    <n v="0.43"/>
    <x v="15"/>
    <s v="Yes"/>
    <s v="Update LastPass password and enable Microsoft authenticator as per Craig"/>
    <x v="2"/>
    <x v="4"/>
  </r>
  <r>
    <d v="2024-03-13T00:00:00"/>
    <x v="39"/>
    <s v="Payroll Processing"/>
    <n v="0.95"/>
    <x v="15"/>
    <s v="Yes"/>
    <s v="Setup new employees in Xero"/>
    <x v="2"/>
    <x v="4"/>
  </r>
  <r>
    <d v="2024-03-13T00:00:00"/>
    <x v="41"/>
    <s v="Bookkeeping"/>
    <n v="0.13"/>
    <x v="40"/>
    <s v="Yes"/>
    <s v="AP review"/>
    <x v="2"/>
    <x v="4"/>
  </r>
  <r>
    <d v="2024-03-13T00:00:00"/>
    <x v="41"/>
    <s v="Bookkeeping"/>
    <n v="0.97"/>
    <x v="36"/>
    <s v="Yes"/>
    <s v="Review cashflow AP and bank rec review Export requested reports"/>
    <x v="2"/>
    <x v="4"/>
  </r>
  <r>
    <d v="2024-03-13T00:00:00"/>
    <x v="41"/>
    <s v="General"/>
    <n v="0.5"/>
    <x v="11"/>
    <s v="No"/>
    <s v="Paid break"/>
    <x v="2"/>
    <x v="4"/>
  </r>
  <r>
    <d v="2024-03-13T00:00:00"/>
    <x v="41"/>
    <s v="Meetings"/>
    <n v="0.35"/>
    <x v="11"/>
    <s v="No"/>
    <s v="Meeting with Ralph"/>
    <x v="2"/>
    <x v="4"/>
  </r>
  <r>
    <d v="2024-03-13T00:00:00"/>
    <x v="41"/>
    <s v="Payroll Processing"/>
    <n v="0.08"/>
    <x v="51"/>
    <s v="Yes"/>
    <m/>
    <x v="2"/>
    <x v="4"/>
  </r>
  <r>
    <d v="2024-03-13T00:00:00"/>
    <x v="41"/>
    <s v="Payroll Processing"/>
    <n v="0.25"/>
    <x v="19"/>
    <s v="Yes"/>
    <m/>
    <x v="2"/>
    <x v="4"/>
  </r>
  <r>
    <d v="2024-03-13T00:00:00"/>
    <x v="41"/>
    <s v="Payroll Processing"/>
    <n v="0.25"/>
    <x v="20"/>
    <s v="Yes"/>
    <m/>
    <x v="2"/>
    <x v="4"/>
  </r>
  <r>
    <d v="2024-03-13T00:00:00"/>
    <x v="41"/>
    <s v="Payroll Processing"/>
    <n v="0.32"/>
    <x v="50"/>
    <s v="Yes"/>
    <s v="Process payroll  Handover with Ef"/>
    <x v="2"/>
    <x v="4"/>
  </r>
  <r>
    <d v="2024-03-13T00:00:00"/>
    <x v="41"/>
    <s v="Payroll Processing"/>
    <n v="1.1000000000000001"/>
    <x v="63"/>
    <s v="Yes"/>
    <m/>
    <x v="2"/>
    <x v="4"/>
  </r>
  <r>
    <d v="2024-03-13T00:00:00"/>
    <x v="41"/>
    <s v="Payroll Processing"/>
    <n v="1.75"/>
    <x v="63"/>
    <s v="Yes"/>
    <s v="Calculate pay rise and backpay Introduction and walkthrough with Cess"/>
    <x v="2"/>
    <x v="4"/>
  </r>
  <r>
    <d v="2024-03-13T00:00:00"/>
    <x v="41"/>
    <s v="Payroll Processing"/>
    <n v="2.88"/>
    <x v="63"/>
    <s v="Yes"/>
    <s v="Process payroll Walkthrough with Cess"/>
    <x v="2"/>
    <x v="4"/>
  </r>
  <r>
    <d v="2024-03-13T00:00:00"/>
    <x v="41"/>
    <s v="Payroll Processing - Senior"/>
    <n v="0.83"/>
    <x v="40"/>
    <s v="Yes"/>
    <s v="Payroll review and discussion with Jim"/>
    <x v="2"/>
    <x v="4"/>
  </r>
  <r>
    <d v="2024-03-13T00:00:00"/>
    <x v="42"/>
    <s v="Client Manager"/>
    <n v="0.25"/>
    <x v="65"/>
    <s v="Yes"/>
    <s v="Run P&amp;L for FY 2023 and BS as at 30.06.2023 and send to John, as requested."/>
    <x v="2"/>
    <x v="4"/>
  </r>
  <r>
    <d v="2024-03-13T00:00:00"/>
    <x v="42"/>
    <s v="Client Manager"/>
    <n v="0.25"/>
    <x v="82"/>
    <s v="Yes"/>
    <s v="Send copy of lodged IAS for Feb 2024 to David for payment"/>
    <x v="2"/>
    <x v="4"/>
  </r>
  <r>
    <d v="2024-03-13T00:00:00"/>
    <x v="42"/>
    <s v="Client Manager"/>
    <n v="0.5"/>
    <x v="102"/>
    <s v="Yes"/>
    <s v="Various emails to Alan and Catherine re queries, supplier payment run, NAB access. Test NAB access, not working"/>
    <x v="2"/>
    <x v="4"/>
  </r>
  <r>
    <d v="2024-03-13T00:00:00"/>
    <x v="42"/>
    <s v="Client Manager"/>
    <n v="1"/>
    <x v="33"/>
    <s v="Yes"/>
    <s v="Monthly meeting with SRAC team for Feb queries, payroll query, upload aba file and email"/>
    <x v="2"/>
    <x v="4"/>
  </r>
  <r>
    <d v="2024-03-13T00:00:00"/>
    <x v="42"/>
    <s v="Client Manager"/>
    <n v="1.5"/>
    <x v="85"/>
    <s v="Yes"/>
    <s v="Review accounts for Feb, clear rounding, correctly allocate Paid Parental Leave processed in Sep 2023. Monthly meeting with Kerry. Send action items to Ef"/>
    <x v="2"/>
    <x v="4"/>
  </r>
  <r>
    <d v="2024-03-13T00:00:00"/>
    <x v="42"/>
    <s v="General"/>
    <n v="1.25"/>
    <x v="11"/>
    <s v="No"/>
    <s v="Attend to email from Ben re SMSF invoices, liaise with Gen/Con. BAS/IAS task setup for new clients, coordinate with LM, IAS follow up, handover of clients for Sarah etc"/>
    <x v="2"/>
    <x v="4"/>
  </r>
  <r>
    <d v="2024-03-13T00:00:00"/>
    <x v="42"/>
    <s v="IAS/BAS Preparation &amp; Lodgement - Feb"/>
    <n v="0.17"/>
    <x v="87"/>
    <s v="Yes"/>
    <s v="Feb 2024 IAS review and lodgement"/>
    <x v="2"/>
    <x v="4"/>
  </r>
  <r>
    <d v="2024-03-13T00:00:00"/>
    <x v="42"/>
    <s v="IAS/BAS Preparation &amp; Lodgement - Feb"/>
    <n v="0.17"/>
    <x v="88"/>
    <s v="Yes"/>
    <s v="Feb 2024 IAS review and lodgement"/>
    <x v="2"/>
    <x v="4"/>
  </r>
  <r>
    <d v="2024-03-13T00:00:00"/>
    <x v="42"/>
    <s v="IAS/BAS Preparation &amp; Lodgement - Feb"/>
    <n v="0.17"/>
    <x v="83"/>
    <s v="Yes"/>
    <s v="Feb 2024 IAS review and lodgement"/>
    <x v="2"/>
    <x v="4"/>
  </r>
  <r>
    <d v="2024-03-13T00:00:00"/>
    <x v="42"/>
    <s v="IAS/BAS Preparation &amp; Lodgement - Feb"/>
    <n v="0.17"/>
    <x v="16"/>
    <s v="Yes"/>
    <s v="Feb 2024 IAS review and lodgement"/>
    <x v="2"/>
    <x v="4"/>
  </r>
  <r>
    <d v="2024-03-13T00:00:00"/>
    <x v="42"/>
    <s v="IAS/BAS Preparation &amp; Lodgement - Feb"/>
    <n v="0.17"/>
    <x v="99"/>
    <s v="Yes"/>
    <s v="Feb 2024 IAS review and lodgement"/>
    <x v="2"/>
    <x v="4"/>
  </r>
  <r>
    <d v="2024-03-13T00:00:00"/>
    <x v="42"/>
    <s v="IAS/BAS Preparation &amp; Lodgement - Feb"/>
    <n v="0.17"/>
    <x v="79"/>
    <s v="Yes"/>
    <s v="Feb 2024 IAS review and lodgement"/>
    <x v="2"/>
    <x v="4"/>
  </r>
  <r>
    <d v="2024-03-13T00:00:00"/>
    <x v="42"/>
    <s v="IAS/BAS Preparation &amp; Lodgement - Feb"/>
    <n v="0.17"/>
    <x v="32"/>
    <s v="Yes"/>
    <s v="Feb 2024 IAS review and lodgement"/>
    <x v="2"/>
    <x v="4"/>
  </r>
  <r>
    <d v="2024-03-13T00:00:00"/>
    <x v="42"/>
    <s v="IAS/BAS Preparation &amp; Lodgement - Feb"/>
    <n v="0.17"/>
    <x v="73"/>
    <s v="Yes"/>
    <s v="Feb 2024 IAS review and lodgement"/>
    <x v="2"/>
    <x v="4"/>
  </r>
  <r>
    <d v="2024-03-13T00:00:00"/>
    <x v="42"/>
    <s v="IAS/BAS Preparation &amp; Lodgement - Feb"/>
    <n v="0.17"/>
    <x v="25"/>
    <s v="Yes"/>
    <s v="Feb 2024 IAS review and lodgement"/>
    <x v="2"/>
    <x v="4"/>
  </r>
  <r>
    <d v="2024-03-13T00:00:00"/>
    <x v="42"/>
    <s v="IAS/BAS Preparation &amp; Lodgement - Feb"/>
    <n v="0.17"/>
    <x v="62"/>
    <s v="Yes"/>
    <s v="Feb 2024 IAS review and lodgement"/>
    <x v="2"/>
    <x v="4"/>
  </r>
  <r>
    <d v="2024-03-13T00:00:00"/>
    <x v="42"/>
    <s v="IAS/BAS Preparation &amp; Lodgement - Feb"/>
    <n v="0.17"/>
    <x v="26"/>
    <s v="Yes"/>
    <s v="Feb 2024 IAS review and lodgement"/>
    <x v="2"/>
    <x v="4"/>
  </r>
  <r>
    <d v="2024-03-13T00:00:00"/>
    <x v="42"/>
    <s v="IAS/BAS Preparation &amp; Lodgement - Feb"/>
    <n v="0.17"/>
    <x v="33"/>
    <s v="Yes"/>
    <s v="Feb 2024 IAS review and lodgement"/>
    <x v="2"/>
    <x v="4"/>
  </r>
  <r>
    <d v="2024-03-13T00:00:00"/>
    <x v="42"/>
    <s v="IAS/BAS Preparation &amp; Lodgement - Feb"/>
    <n v="0.17"/>
    <x v="5"/>
    <s v="Yes"/>
    <s v="Feb 2024 IAS review and lodgement"/>
    <x v="2"/>
    <x v="4"/>
  </r>
  <r>
    <d v="2024-03-13T00:00:00"/>
    <x v="42"/>
    <s v="IAS/BAS Preparation &amp; Lodgement - Feb"/>
    <n v="0.17"/>
    <x v="82"/>
    <s v="Yes"/>
    <s v="Feb 2024 IAS review and lodgement"/>
    <x v="2"/>
    <x v="4"/>
  </r>
  <r>
    <d v="2024-03-13T00:00:00"/>
    <x v="42"/>
    <s v="IAS/BAS Preparation &amp; Lodgement - Feb"/>
    <n v="0.17"/>
    <x v="46"/>
    <s v="Yes"/>
    <s v="Feb 2024 IAS review and lodgement"/>
    <x v="2"/>
    <x v="4"/>
  </r>
  <r>
    <d v="2024-03-13T00:00:00"/>
    <x v="42"/>
    <s v="IAS/BAS Preparation &amp; Lodgement - Feb"/>
    <n v="0.33"/>
    <x v="15"/>
    <s v="Yes"/>
    <s v="Feb 2024 BAS review and lodgement"/>
    <x v="2"/>
    <x v="4"/>
  </r>
  <r>
    <d v="2024-03-13T00:00:00"/>
    <x v="43"/>
    <s v="Bookkeeping"/>
    <n v="9.3699999999999992"/>
    <x v="15"/>
    <s v="Yes"/>
    <s v="Cashflow, Month End BS recon"/>
    <x v="2"/>
    <x v="4"/>
  </r>
  <r>
    <d v="2024-03-13T00:00:00"/>
    <x v="44"/>
    <s v="Bookkeeping"/>
    <n v="0.2"/>
    <x v="16"/>
    <s v="Yes"/>
    <s v="create payments in bank BELCR"/>
    <x v="2"/>
    <x v="4"/>
  </r>
  <r>
    <d v="2024-03-13T00:00:00"/>
    <x v="44"/>
    <s v="Bookkeeping"/>
    <n v="0.5"/>
    <x v="16"/>
    <s v="Yes"/>
    <s v="BLM - 3E queries + GST queries"/>
    <x v="2"/>
    <x v="4"/>
  </r>
  <r>
    <d v="2024-03-13T00:00:00"/>
    <x v="44"/>
    <s v="Bookkeeping"/>
    <n v="1.2"/>
    <x v="16"/>
    <s v="Yes"/>
    <s v="OMS-V25 - convert invoices to Xero, liaise with Nick and Ederm"/>
    <x v="2"/>
    <x v="4"/>
  </r>
  <r>
    <d v="2024-03-13T00:00:00"/>
    <x v="44"/>
    <s v="Bookkeeping"/>
    <n v="1.5"/>
    <x v="16"/>
    <s v="Yes"/>
    <s v="Review Bellinger Credit BS rec + corrections"/>
    <x v="2"/>
    <x v="4"/>
  </r>
  <r>
    <d v="2024-03-13T00:00:00"/>
    <x v="44"/>
    <s v="Client Manager"/>
    <n v="0.2"/>
    <x v="16"/>
    <s v="Yes"/>
    <s v="Jamie / Rachele re access to accounts email"/>
    <x v="2"/>
    <x v="4"/>
  </r>
  <r>
    <d v="2024-03-13T00:00:00"/>
    <x v="44"/>
    <s v="Client Manager"/>
    <n v="0.7"/>
    <x v="16"/>
    <s v="Yes"/>
    <s v="liaise with team"/>
    <x v="2"/>
    <x v="4"/>
  </r>
  <r>
    <d v="2024-03-13T00:00:00"/>
    <x v="44"/>
    <s v="Client Meeting"/>
    <n v="1"/>
    <x v="16"/>
    <s v="Yes"/>
    <s v="Catch up Stephen"/>
    <x v="2"/>
    <x v="4"/>
  </r>
  <r>
    <d v="2024-03-13T00:00:00"/>
    <x v="44"/>
    <s v="IAS/BAS Preparation &amp; Lodgement - Oct-Dec"/>
    <n v="0.7"/>
    <x v="99"/>
    <s v="Yes"/>
    <m/>
    <x v="2"/>
    <x v="4"/>
  </r>
  <r>
    <d v="2024-03-13T00:00:00"/>
    <x v="44"/>
    <s v="Management Reporting"/>
    <n v="1.5"/>
    <x v="67"/>
    <s v="Yes"/>
    <s v="Review BS rec, corrections"/>
    <x v="2"/>
    <x v="4"/>
  </r>
  <r>
    <d v="2024-03-13T00:00:00"/>
    <x v="44"/>
    <s v="Payroll Processing"/>
    <n v="0.5"/>
    <x v="16"/>
    <s v="Yes"/>
    <s v="Calculation Greg's salary in AUD - timing payroll April, liaise team"/>
    <x v="2"/>
    <x v="4"/>
  </r>
  <r>
    <d v="2024-03-13T00:00:00"/>
    <x v="45"/>
    <s v="HR/Recuitment"/>
    <n v="1"/>
    <x v="11"/>
    <s v="No"/>
    <e v="#NAME?"/>
    <x v="2"/>
    <x v="4"/>
  </r>
  <r>
    <d v="2024-03-13T00:00:00"/>
    <x v="45"/>
    <s v="HR/Recuitment"/>
    <n v="2"/>
    <x v="11"/>
    <s v="No"/>
    <e v="#NAME?"/>
    <x v="2"/>
    <x v="4"/>
  </r>
  <r>
    <d v="2024-03-13T00:00:00"/>
    <x v="45"/>
    <s v="HR/Recuitment"/>
    <n v="2"/>
    <x v="11"/>
    <s v="No"/>
    <e v="#NAME?"/>
    <x v="2"/>
    <x v="4"/>
  </r>
  <r>
    <d v="2024-03-13T00:00:00"/>
    <x v="45"/>
    <s v="HR/Recuitment"/>
    <n v="3"/>
    <x v="11"/>
    <s v="No"/>
    <e v="#NAME?"/>
    <x v="2"/>
    <x v="4"/>
  </r>
  <r>
    <d v="2024-03-14T00:00:00"/>
    <x v="0"/>
    <s v="Bookkeeping"/>
    <n v="7.0000000000000007E-2"/>
    <x v="6"/>
    <s v="Yes"/>
    <s v="Email"/>
    <x v="2"/>
    <x v="5"/>
  </r>
  <r>
    <d v="2024-03-14T00:00:00"/>
    <x v="0"/>
    <s v="Bookkeeping"/>
    <n v="0.08"/>
    <x v="4"/>
    <s v="Yes"/>
    <s v="Email"/>
    <x v="2"/>
    <x v="5"/>
  </r>
  <r>
    <d v="2024-03-14T00:00:00"/>
    <x v="0"/>
    <s v="Bookkeeping"/>
    <n v="0.08"/>
    <x v="10"/>
    <s v="Yes"/>
    <s v="Emails"/>
    <x v="2"/>
    <x v="5"/>
  </r>
  <r>
    <d v="2024-03-14T00:00:00"/>
    <x v="0"/>
    <s v="Bookkeeping"/>
    <n v="0.12"/>
    <x v="6"/>
    <s v="Yes"/>
    <s v="Accounts Payable"/>
    <x v="2"/>
    <x v="5"/>
  </r>
  <r>
    <d v="2024-03-14T00:00:00"/>
    <x v="0"/>
    <s v="Bookkeeping"/>
    <n v="0.13"/>
    <x v="6"/>
    <s v="Yes"/>
    <s v="Bank Reconciliation"/>
    <x v="2"/>
    <x v="5"/>
  </r>
  <r>
    <d v="2024-03-14T00:00:00"/>
    <x v="0"/>
    <s v="Bookkeeping"/>
    <n v="0.15"/>
    <x v="5"/>
    <s v="Yes"/>
    <s v="Emails"/>
    <x v="2"/>
    <x v="5"/>
  </r>
  <r>
    <d v="2024-03-14T00:00:00"/>
    <x v="0"/>
    <s v="Bookkeeping"/>
    <n v="0.2"/>
    <x v="12"/>
    <s v="Yes"/>
    <s v="Emails"/>
    <x v="2"/>
    <x v="5"/>
  </r>
  <r>
    <d v="2024-03-14T00:00:00"/>
    <x v="0"/>
    <s v="Bookkeeping"/>
    <n v="0.2"/>
    <x v="86"/>
    <s v="Yes"/>
    <s v="Bank Reconciliation"/>
    <x v="2"/>
    <x v="5"/>
  </r>
  <r>
    <d v="2024-03-14T00:00:00"/>
    <x v="0"/>
    <s v="Bookkeeping"/>
    <n v="0.22"/>
    <x v="13"/>
    <s v="Yes"/>
    <s v="Bank Reconciliation"/>
    <x v="2"/>
    <x v="5"/>
  </r>
  <r>
    <d v="2024-03-14T00:00:00"/>
    <x v="0"/>
    <s v="Bookkeeping"/>
    <n v="0.32"/>
    <x v="6"/>
    <s v="Yes"/>
    <s v="Bank Reconciliation and Email/Inbox Management"/>
    <x v="2"/>
    <x v="5"/>
  </r>
  <r>
    <d v="2024-03-14T00:00:00"/>
    <x v="0"/>
    <s v="Bookkeeping"/>
    <n v="0.35"/>
    <x v="0"/>
    <s v="Yes"/>
    <s v="Email and Set up default Purchase Account of Contacts"/>
    <x v="2"/>
    <x v="5"/>
  </r>
  <r>
    <d v="2024-03-14T00:00:00"/>
    <x v="0"/>
    <s v="Bookkeeping"/>
    <n v="0.43"/>
    <x v="5"/>
    <s v="Yes"/>
    <s v="Accounts Payable"/>
    <x v="2"/>
    <x v="5"/>
  </r>
  <r>
    <d v="2024-03-14T00:00:00"/>
    <x v="0"/>
    <s v="Bookkeeping"/>
    <n v="0.45"/>
    <x v="9"/>
    <s v="Yes"/>
    <s v="Accounts Payable"/>
    <x v="2"/>
    <x v="5"/>
  </r>
  <r>
    <d v="2024-03-14T00:00:00"/>
    <x v="0"/>
    <s v="Bookkeeping"/>
    <n v="0.48"/>
    <x v="6"/>
    <s v="Yes"/>
    <s v="Accounts Receivable"/>
    <x v="2"/>
    <x v="5"/>
  </r>
  <r>
    <d v="2024-03-14T00:00:00"/>
    <x v="0"/>
    <s v="Bookkeeping"/>
    <n v="0.5"/>
    <x v="0"/>
    <s v="No"/>
    <s v="Create Process Document"/>
    <x v="2"/>
    <x v="5"/>
  </r>
  <r>
    <d v="2024-03-14T00:00:00"/>
    <x v="0"/>
    <s v="Bookkeeping"/>
    <n v="0.53"/>
    <x v="5"/>
    <s v="Yes"/>
    <s v="AP and Email/Inbox Management"/>
    <x v="2"/>
    <x v="5"/>
  </r>
  <r>
    <d v="2024-03-14T00:00:00"/>
    <x v="0"/>
    <s v="Bookkeeping"/>
    <n v="1.03"/>
    <x v="9"/>
    <s v="Yes"/>
    <s v="AP and Email/Inbox Management"/>
    <x v="2"/>
    <x v="5"/>
  </r>
  <r>
    <d v="2024-03-14T00:00:00"/>
    <x v="0"/>
    <s v="General"/>
    <n v="0.17"/>
    <x v="11"/>
    <s v="No"/>
    <s v="Admin emails"/>
    <x v="2"/>
    <x v="5"/>
  </r>
  <r>
    <d v="2024-03-14T00:00:00"/>
    <x v="0"/>
    <s v="General"/>
    <n v="0.17"/>
    <x v="11"/>
    <s v="No"/>
    <s v="Update team huddle file"/>
    <x v="2"/>
    <x v="5"/>
  </r>
  <r>
    <d v="2024-03-14T00:00:00"/>
    <x v="0"/>
    <s v="General"/>
    <n v="0.25"/>
    <x v="11"/>
    <s v="No"/>
    <s v="Afternoon Break"/>
    <x v="2"/>
    <x v="5"/>
  </r>
  <r>
    <d v="2024-03-14T00:00:00"/>
    <x v="0"/>
    <s v="General"/>
    <n v="0.25"/>
    <x v="11"/>
    <s v="No"/>
    <s v="Morning Break"/>
    <x v="2"/>
    <x v="5"/>
  </r>
  <r>
    <d v="2024-03-14T00:00:00"/>
    <x v="0"/>
    <s v="Learning &amp; Development"/>
    <n v="0.55000000000000004"/>
    <x v="11"/>
    <s v="No"/>
    <s v="Quickbooks Training"/>
    <x v="2"/>
    <x v="5"/>
  </r>
  <r>
    <d v="2024-03-14T00:00:00"/>
    <x v="0"/>
    <s v="Learning &amp; Development"/>
    <n v="0.62"/>
    <x v="11"/>
    <s v="No"/>
    <s v="Wyzed Training"/>
    <x v="2"/>
    <x v="5"/>
  </r>
  <r>
    <d v="2024-03-14T00:00:00"/>
    <x v="0"/>
    <s v="Payroll Processing"/>
    <n v="7.0000000000000007E-2"/>
    <x v="13"/>
    <s v="Yes"/>
    <m/>
    <x v="2"/>
    <x v="5"/>
  </r>
  <r>
    <d v="2024-03-14T00:00:00"/>
    <x v="0"/>
    <s v="Payroll Processing"/>
    <n v="0.15"/>
    <x v="2"/>
    <s v="Yes"/>
    <s v="Email"/>
    <x v="2"/>
    <x v="5"/>
  </r>
  <r>
    <d v="2024-03-14T00:00:00"/>
    <x v="0"/>
    <s v="Payroll Processing"/>
    <n v="0.43"/>
    <x v="6"/>
    <s v="Yes"/>
    <m/>
    <x v="2"/>
    <x v="5"/>
  </r>
  <r>
    <d v="2024-03-14T00:00:00"/>
    <x v="1"/>
    <s v="P&amp;C Advisory"/>
    <n v="0.67"/>
    <x v="34"/>
    <s v="No"/>
    <s v="Salary review handover"/>
    <x v="2"/>
    <x v="5"/>
  </r>
  <r>
    <d v="2024-03-14T00:00:00"/>
    <x v="1"/>
    <s v="P&amp;C Advisory - Group"/>
    <n v="4.83"/>
    <x v="14"/>
    <s v="Yes"/>
    <s v="HR operating model Call with FD Call with Finance Manager"/>
    <x v="2"/>
    <x v="5"/>
  </r>
  <r>
    <d v="2024-03-14T00:00:00"/>
    <x v="1"/>
    <s v="P&amp;C Advisory - Nederman Mikropul"/>
    <n v="0.33"/>
    <x v="14"/>
    <s v="Yes"/>
    <s v="Interview guide"/>
    <x v="2"/>
    <x v="5"/>
  </r>
  <r>
    <d v="2024-03-14T00:00:00"/>
    <x v="1"/>
    <s v="P&amp;C Advisory - Nederman PT"/>
    <n v="1.08"/>
    <x v="14"/>
    <s v="Yes"/>
    <s v="PIP Update re. people issues Advertising role"/>
    <x v="2"/>
    <x v="5"/>
  </r>
  <r>
    <d v="2024-03-14T00:00:00"/>
    <x v="1"/>
    <s v="P&amp;C Advisory - Nordfab"/>
    <n v="1.17"/>
    <x v="14"/>
    <s v="Yes"/>
    <s v="Correspondence re. sales training Phone screens Disciplinary letter"/>
    <x v="2"/>
    <x v="5"/>
  </r>
  <r>
    <d v="2024-03-14T00:00:00"/>
    <x v="2"/>
    <s v="Bookkeeping"/>
    <n v="0.08"/>
    <x v="67"/>
    <s v="Yes"/>
    <m/>
    <x v="2"/>
    <x v="5"/>
  </r>
  <r>
    <d v="2024-03-14T00:00:00"/>
    <x v="2"/>
    <s v="Bookkeeping"/>
    <n v="0.08"/>
    <x v="33"/>
    <s v="No"/>
    <s v="internal meeting"/>
    <x v="2"/>
    <x v="5"/>
  </r>
  <r>
    <d v="2024-03-14T00:00:00"/>
    <x v="2"/>
    <s v="Bookkeeping"/>
    <n v="0.17"/>
    <x v="58"/>
    <s v="Yes"/>
    <m/>
    <x v="2"/>
    <x v="5"/>
  </r>
  <r>
    <d v="2024-03-14T00:00:00"/>
    <x v="2"/>
    <s v="General"/>
    <n v="0.18"/>
    <x v="11"/>
    <s v="No"/>
    <s v="chats, emails, message for Con"/>
    <x v="2"/>
    <x v="5"/>
  </r>
  <r>
    <d v="2024-03-14T00:00:00"/>
    <x v="2"/>
    <s v="General"/>
    <n v="0.38"/>
    <x v="11"/>
    <s v="No"/>
    <s v="chats, emails, attend to concerns/queries"/>
    <x v="2"/>
    <x v="5"/>
  </r>
  <r>
    <d v="2024-03-14T00:00:00"/>
    <x v="2"/>
    <s v="General"/>
    <n v="0.5"/>
    <x v="11"/>
    <s v="No"/>
    <s v="break"/>
    <x v="2"/>
    <x v="5"/>
  </r>
  <r>
    <d v="2024-03-14T00:00:00"/>
    <x v="2"/>
    <s v="General"/>
    <n v="0.87"/>
    <x v="11"/>
    <s v="No"/>
    <s v="Asana, Sprout, chats, emails, etc"/>
    <x v="2"/>
    <x v="5"/>
  </r>
  <r>
    <d v="2024-03-14T00:00:00"/>
    <x v="2"/>
    <s v="Meetings"/>
    <n v="1.1000000000000001"/>
    <x v="11"/>
    <s v="No"/>
    <s v="fortnightly catchup with seniors"/>
    <x v="2"/>
    <x v="5"/>
  </r>
  <r>
    <d v="2024-03-14T00:00:00"/>
    <x v="2"/>
    <s v="Payroll Processing"/>
    <n v="1.2"/>
    <x v="33"/>
    <s v="Yes"/>
    <m/>
    <x v="2"/>
    <x v="5"/>
  </r>
  <r>
    <d v="2024-03-14T00:00:00"/>
    <x v="2"/>
    <s v="Payroll Processing"/>
    <n v="3.43"/>
    <x v="58"/>
    <s v="Yes"/>
    <m/>
    <x v="2"/>
    <x v="5"/>
  </r>
  <r>
    <d v="2024-03-14T00:00:00"/>
    <x v="3"/>
    <s v="Annual Leave"/>
    <n v="3"/>
    <x v="11"/>
    <s v="No"/>
    <s v="**lost license application appointment"/>
    <x v="2"/>
    <x v="5"/>
  </r>
  <r>
    <d v="2024-03-14T00:00:00"/>
    <x v="3"/>
    <s v="Business Development"/>
    <n v="5"/>
    <x v="11"/>
    <s v="No"/>
    <s v="screen through existing processes to filter through what to keep and delete  start of video and manual edits"/>
    <x v="2"/>
    <x v="5"/>
  </r>
  <r>
    <d v="2024-03-14T00:00:00"/>
    <x v="4"/>
    <s v="Business Development"/>
    <n v="8"/>
    <x v="11"/>
    <s v="No"/>
    <m/>
    <x v="2"/>
    <x v="5"/>
  </r>
  <r>
    <d v="2024-03-14T00:00:00"/>
    <x v="5"/>
    <s v="Bookkeeping"/>
    <n v="1.65"/>
    <x v="15"/>
    <s v="Yes"/>
    <s v="Posting of pending invoices"/>
    <x v="2"/>
    <x v="5"/>
  </r>
  <r>
    <d v="2024-03-14T00:00:00"/>
    <x v="5"/>
    <s v="Bookkeeping"/>
    <n v="1.85"/>
    <x v="15"/>
    <s v="Yes"/>
    <s v="Email Management "/>
    <x v="2"/>
    <x v="5"/>
  </r>
  <r>
    <d v="2024-03-14T00:00:00"/>
    <x v="5"/>
    <s v="Bookkeeping"/>
    <n v="5.25"/>
    <x v="15"/>
    <s v="Yes"/>
    <s v="Create committed cost for review of James"/>
    <x v="2"/>
    <x v="5"/>
  </r>
  <r>
    <d v="2024-03-14T00:00:00"/>
    <x v="6"/>
    <s v="Automations - Alliance"/>
    <n v="0.83"/>
    <x v="11"/>
    <s v="No"/>
    <m/>
    <x v="2"/>
    <x v="5"/>
  </r>
  <r>
    <d v="2024-03-14T00:00:00"/>
    <x v="6"/>
    <s v="Automations - Pinnacle"/>
    <n v="7.17"/>
    <x v="11"/>
    <s v="No"/>
    <s v="Debugging known errors and still thinking for a workaround on this VM  Cannot bring the target application in foreground because the Windows session is locked."/>
    <x v="2"/>
    <x v="5"/>
  </r>
  <r>
    <d v="2024-03-14T00:00:00"/>
    <x v="7"/>
    <s v="Budget - Monthly"/>
    <n v="0.02"/>
    <x v="110"/>
    <s v="No"/>
    <m/>
    <x v="2"/>
    <x v="5"/>
  </r>
  <r>
    <d v="2024-03-14T00:00:00"/>
    <x v="8"/>
    <s v="Automations"/>
    <n v="1.5"/>
    <x v="11"/>
    <s v="No"/>
    <s v="Run four Alliance automations + AP automation;"/>
    <x v="2"/>
    <x v="5"/>
  </r>
  <r>
    <d v="2024-03-14T00:00:00"/>
    <x v="9"/>
    <s v="Automations - Alliance"/>
    <n v="9"/>
    <x v="11"/>
    <s v="No"/>
    <s v="Generation and re-generation of February Alliance Dashboard Report. Checking of concerns."/>
    <x v="2"/>
    <x v="5"/>
  </r>
  <r>
    <d v="2024-03-14T00:00:00"/>
    <x v="10"/>
    <s v="Bookkeeping"/>
    <n v="0.08"/>
    <x v="42"/>
    <s v="No"/>
    <s v="checking bills were approved and paid"/>
    <x v="2"/>
    <x v="5"/>
  </r>
  <r>
    <d v="2024-03-14T00:00:00"/>
    <x v="10"/>
    <s v="Bookkeeping"/>
    <n v="0.33"/>
    <x v="19"/>
    <s v="Yes"/>
    <s v="Loading bills from HubDoc, bank recon"/>
    <x v="2"/>
    <x v="5"/>
  </r>
  <r>
    <d v="2024-03-14T00:00:00"/>
    <x v="10"/>
    <s v="Bookkeeping"/>
    <n v="0.33"/>
    <x v="20"/>
    <s v="Yes"/>
    <s v="Loading bills from HubDoc, bank recon"/>
    <x v="2"/>
    <x v="5"/>
  </r>
  <r>
    <d v="2024-03-14T00:00:00"/>
    <x v="10"/>
    <s v="Bookkeeping"/>
    <n v="0.42"/>
    <x v="42"/>
    <s v="Yes"/>
    <s v="bank recon"/>
    <x v="2"/>
    <x v="5"/>
  </r>
  <r>
    <d v="2024-03-14T00:00:00"/>
    <x v="10"/>
    <s v="Bookkeeping"/>
    <n v="4.08"/>
    <x v="23"/>
    <s v="Yes"/>
    <s v="Emails, loading bills, bank recon, creating invoice, weekly report"/>
    <x v="2"/>
    <x v="5"/>
  </r>
  <r>
    <d v="2024-03-14T00:00:00"/>
    <x v="10"/>
    <s v="General"/>
    <n v="0.5"/>
    <x v="11"/>
    <s v="No"/>
    <s v="break"/>
    <x v="2"/>
    <x v="5"/>
  </r>
  <r>
    <d v="2024-03-14T00:00:00"/>
    <x v="10"/>
    <s v="Payroll Processing"/>
    <n v="0.25"/>
    <x v="61"/>
    <s v="No"/>
    <s v="Call with Kate re payroll shared drive access"/>
    <x v="2"/>
    <x v="5"/>
  </r>
  <r>
    <d v="2024-03-14T00:00:00"/>
    <x v="10"/>
    <s v="Payroll Processing"/>
    <n v="0.25"/>
    <x v="23"/>
    <s v="Yes"/>
    <s v="weekly payroll"/>
    <x v="2"/>
    <x v="5"/>
  </r>
  <r>
    <d v="2024-03-14T00:00:00"/>
    <x v="10"/>
    <s v="Payroll Processing"/>
    <n v="0.33"/>
    <x v="61"/>
    <s v="No"/>
    <s v="checking to make sure updates are correct"/>
    <x v="2"/>
    <x v="5"/>
  </r>
  <r>
    <d v="2024-03-14T00:00:00"/>
    <x v="10"/>
    <s v="Payroll Processing"/>
    <n v="1.42"/>
    <x v="61"/>
    <s v="No"/>
    <s v="Payroll updates as per client's advise"/>
    <x v="2"/>
    <x v="5"/>
  </r>
  <r>
    <d v="2024-03-14T00:00:00"/>
    <x v="46"/>
    <s v="CFO Advisory"/>
    <n v="2"/>
    <x v="3"/>
    <s v="Yes"/>
    <s v="Reserves and transactions re-classification work (Trust Deed compliance project) Follow up on emails + requests + send updates"/>
    <x v="2"/>
    <x v="5"/>
  </r>
  <r>
    <d v="2024-03-14T00:00:00"/>
    <x v="46"/>
    <s v="CFO001 - CFO Services"/>
    <n v="1"/>
    <x v="5"/>
    <s v="Yes"/>
    <s v="Reserves and transactions re-classification work (other side of TGSF review project) Schach donation rec + reporting for Lynn Investigate coding of Hunter Loan + Franking credits + request further work/post adjustments"/>
    <x v="2"/>
    <x v="5"/>
  </r>
  <r>
    <d v="2024-03-14T00:00:00"/>
    <x v="11"/>
    <s v="Bookkeeping"/>
    <n v="0.2"/>
    <x v="27"/>
    <s v="Yes"/>
    <s v="inbox/ emails/ queries"/>
    <x v="2"/>
    <x v="5"/>
  </r>
  <r>
    <d v="2024-03-14T00:00:00"/>
    <x v="11"/>
    <s v="General"/>
    <n v="0.33"/>
    <x v="11"/>
    <s v="No"/>
    <s v="training survey/ queries"/>
    <x v="2"/>
    <x v="5"/>
  </r>
  <r>
    <d v="2024-03-14T00:00:00"/>
    <x v="11"/>
    <s v="General"/>
    <n v="0.5"/>
    <x v="11"/>
    <s v="No"/>
    <s v="break"/>
    <x v="2"/>
    <x v="5"/>
  </r>
  <r>
    <d v="2024-03-14T00:00:00"/>
    <x v="11"/>
    <s v="Management Reporting"/>
    <n v="1.23"/>
    <x v="25"/>
    <s v="Yes"/>
    <s v="review Feb 2024 financials"/>
    <x v="2"/>
    <x v="5"/>
  </r>
  <r>
    <d v="2024-03-14T00:00:00"/>
    <x v="11"/>
    <s v="Meetings"/>
    <n v="1.1000000000000001"/>
    <x v="11"/>
    <s v="No"/>
    <s v="seniors catch-up"/>
    <x v="2"/>
    <x v="5"/>
  </r>
  <r>
    <d v="2024-03-14T00:00:00"/>
    <x v="11"/>
    <s v="Payroll Processing"/>
    <n v="0.65"/>
    <x v="15"/>
    <s v="Yes"/>
    <s v="inbox management/ email settings/ set-up/ calendar/ queries"/>
    <x v="2"/>
    <x v="5"/>
  </r>
  <r>
    <d v="2024-03-14T00:00:00"/>
    <x v="11"/>
    <s v="Payroll Processing"/>
    <n v="1.1499999999999999"/>
    <x v="15"/>
    <s v="Yes"/>
    <s v="review"/>
    <x v="2"/>
    <x v="5"/>
  </r>
  <r>
    <d v="2024-03-14T00:00:00"/>
    <x v="11"/>
    <s v="Payroll Processing"/>
    <n v="2.97"/>
    <x v="15"/>
    <s v="Yes"/>
    <m/>
    <x v="2"/>
    <x v="5"/>
  </r>
  <r>
    <d v="2024-03-14T00:00:00"/>
    <x v="12"/>
    <s v="General"/>
    <n v="9.92"/>
    <x v="11"/>
    <s v="No"/>
    <s v="- ASIC - ATO - Follow up on Travel Agents for Company Outing - Newsletter - Nick's email management - Gathering docs. for Dexterous RO requirements."/>
    <x v="2"/>
    <x v="5"/>
  </r>
  <r>
    <d v="2024-03-14T00:00:00"/>
    <x v="13"/>
    <s v="Bookkeeping"/>
    <n v="0.55000000000000004"/>
    <x v="29"/>
    <s v="Yes"/>
    <s v="ap invoices"/>
    <x v="2"/>
    <x v="5"/>
  </r>
  <r>
    <d v="2024-03-14T00:00:00"/>
    <x v="13"/>
    <s v="Bookkeeping"/>
    <n v="0.57999999999999996"/>
    <x v="29"/>
    <s v="Yes"/>
    <s v="bank recon inbox"/>
    <x v="2"/>
    <x v="5"/>
  </r>
  <r>
    <d v="2024-03-14T00:00:00"/>
    <x v="13"/>
    <s v="Bookkeeping"/>
    <n v="0.73"/>
    <x v="30"/>
    <s v="Yes"/>
    <s v="bank recon checking unreconciled items report email Client"/>
    <x v="2"/>
    <x v="5"/>
  </r>
  <r>
    <d v="2024-03-14T00:00:00"/>
    <x v="13"/>
    <s v="Bookkeeping"/>
    <n v="1.53"/>
    <x v="71"/>
    <s v="Yes"/>
    <s v="ap invoices"/>
    <x v="2"/>
    <x v="5"/>
  </r>
  <r>
    <d v="2024-03-14T00:00:00"/>
    <x v="13"/>
    <s v="Bookkeeping"/>
    <n v="2.88"/>
    <x v="72"/>
    <s v="Yes"/>
    <s v="ap invoices"/>
    <x v="2"/>
    <x v="5"/>
  </r>
  <r>
    <d v="2024-03-14T00:00:00"/>
    <x v="13"/>
    <s v="Bookkeeping - AP"/>
    <n v="0.95"/>
    <x v="31"/>
    <s v="Yes"/>
    <s v="ap invoices"/>
    <x v="2"/>
    <x v="5"/>
  </r>
  <r>
    <d v="2024-03-14T00:00:00"/>
    <x v="13"/>
    <s v="General"/>
    <n v="0.27"/>
    <x v="11"/>
    <s v="No"/>
    <s v="internal emails"/>
    <x v="2"/>
    <x v="5"/>
  </r>
  <r>
    <d v="2024-03-14T00:00:00"/>
    <x v="13"/>
    <s v="General"/>
    <n v="0.5"/>
    <x v="11"/>
    <s v="No"/>
    <s v="break"/>
    <x v="2"/>
    <x v="5"/>
  </r>
  <r>
    <d v="2024-03-14T00:00:00"/>
    <x v="14"/>
    <s v="Bookkeeping"/>
    <n v="0.93"/>
    <x v="25"/>
    <s v="Yes"/>
    <s v="Recording of invoices, bank recs, clearing inbox"/>
    <x v="2"/>
    <x v="5"/>
  </r>
  <r>
    <d v="2024-03-14T00:00:00"/>
    <x v="14"/>
    <s v="Bookkeeping"/>
    <n v="2.0299999999999998"/>
    <x v="25"/>
    <s v="Yes"/>
    <s v="Recording of invoices"/>
    <x v="2"/>
    <x v="5"/>
  </r>
  <r>
    <d v="2024-03-14T00:00:00"/>
    <x v="14"/>
    <s v="Client Meeting"/>
    <n v="0.23"/>
    <x v="33"/>
    <s v="No"/>
    <s v="Weekly catch-up with the team"/>
    <x v="2"/>
    <x v="5"/>
  </r>
  <r>
    <d v="2024-03-14T00:00:00"/>
    <x v="14"/>
    <s v="General"/>
    <n v="0.32"/>
    <x v="11"/>
    <s v="No"/>
    <s v="Checking emails,. asana, fixing calendar "/>
    <x v="2"/>
    <x v="5"/>
  </r>
  <r>
    <d v="2024-03-14T00:00:00"/>
    <x v="14"/>
    <s v="Meetings"/>
    <n v="1.33"/>
    <x v="11"/>
    <s v="No"/>
    <s v="Seniors catch-up with Ann"/>
    <x v="2"/>
    <x v="5"/>
  </r>
  <r>
    <d v="2024-03-14T00:00:00"/>
    <x v="14"/>
    <s v="Payroll Processing"/>
    <n v="0.52"/>
    <x v="33"/>
    <s v="Yes"/>
    <s v="Finalizing payroll"/>
    <x v="2"/>
    <x v="5"/>
  </r>
  <r>
    <d v="2024-03-14T00:00:00"/>
    <x v="14"/>
    <s v="Payroll Processing"/>
    <n v="3.72"/>
    <x v="33"/>
    <s v="Yes"/>
    <s v="Payroll"/>
    <x v="2"/>
    <x v="5"/>
  </r>
  <r>
    <d v="2024-03-14T00:00:00"/>
    <x v="15"/>
    <s v="Annual Leave"/>
    <n v="4"/>
    <x v="11"/>
    <s v="No"/>
    <m/>
    <x v="2"/>
    <x v="5"/>
  </r>
  <r>
    <d v="2024-03-14T00:00:00"/>
    <x v="15"/>
    <s v="Client Meeting"/>
    <n v="0.37"/>
    <x v="18"/>
    <s v="No"/>
    <s v="call client to follow up and review xero file"/>
    <x v="2"/>
    <x v="5"/>
  </r>
  <r>
    <d v="2024-03-14T00:00:00"/>
    <x v="15"/>
    <s v="General"/>
    <n v="0.25"/>
    <x v="11"/>
    <s v="No"/>
    <s v="paid break"/>
    <x v="2"/>
    <x v="5"/>
  </r>
  <r>
    <d v="2024-03-14T00:00:00"/>
    <x v="15"/>
    <s v="General"/>
    <n v="0.8"/>
    <x v="11"/>
    <s v="No"/>
    <s v="process flows record video"/>
    <x v="2"/>
    <x v="5"/>
  </r>
  <r>
    <d v="2024-03-14T00:00:00"/>
    <x v="15"/>
    <s v="General"/>
    <n v="1.1000000000000001"/>
    <x v="11"/>
    <s v="No"/>
    <s v=".check emails asana xpm chat with Jim aboout spaceful email Mark assist for VPN setup"/>
    <x v="2"/>
    <x v="5"/>
  </r>
  <r>
    <d v="2024-03-14T00:00:00"/>
    <x v="15"/>
    <s v="IAS/BAS Preparation &amp; Lodgement - Mar"/>
    <n v="1.18"/>
    <x v="97"/>
    <s v="Yes"/>
    <s v="fix VPN starleaton and lodge fortnightly PAYE"/>
    <x v="2"/>
    <x v="5"/>
  </r>
  <r>
    <d v="2024-03-14T00:00:00"/>
    <x v="15"/>
    <s v="Meetings"/>
    <n v="0.2"/>
    <x v="11"/>
    <s v="No"/>
    <s v="xpm wip with ralph"/>
    <x v="2"/>
    <x v="5"/>
  </r>
  <r>
    <d v="2024-03-14T00:00:00"/>
    <x v="15"/>
    <s v="Payroll Processing"/>
    <n v="0.18"/>
    <x v="40"/>
    <s v="No"/>
    <s v="assist Jim re annual leave loading"/>
    <x v="2"/>
    <x v="5"/>
  </r>
  <r>
    <d v="2024-03-14T00:00:00"/>
    <x v="16"/>
    <s v="Bookkeeping"/>
    <n v="6.98"/>
    <x v="35"/>
    <s v="Yes"/>
    <m/>
    <x v="2"/>
    <x v="5"/>
  </r>
  <r>
    <d v="2024-03-14T00:00:00"/>
    <x v="16"/>
    <s v="Payroll Processing"/>
    <n v="0.93"/>
    <x v="75"/>
    <s v="Yes"/>
    <s v="Assist client Re Payroll Query"/>
    <x v="2"/>
    <x v="5"/>
  </r>
  <r>
    <d v="2024-03-14T00:00:00"/>
    <x v="17"/>
    <s v="P&amp;C Advisory"/>
    <n v="8"/>
    <x v="34"/>
    <s v="Yes"/>
    <s v="Final handover mtgs Record-keeping - email archiving, uploads to SharePoint, OneDrive clean up etc HR Daily admin mtg "/>
    <x v="2"/>
    <x v="5"/>
  </r>
  <r>
    <d v="2024-03-14T00:00:00"/>
    <x v="18"/>
    <s v="Bookkeeping"/>
    <n v="0.33"/>
    <x v="37"/>
    <s v="Yes"/>
    <m/>
    <x v="2"/>
    <x v="5"/>
  </r>
  <r>
    <d v="2024-03-14T00:00:00"/>
    <x v="18"/>
    <s v="Bookkeeping"/>
    <n v="0.43"/>
    <x v="41"/>
    <s v="Yes"/>
    <m/>
    <x v="2"/>
    <x v="5"/>
  </r>
  <r>
    <d v="2024-03-14T00:00:00"/>
    <x v="18"/>
    <s v="Bookkeeping"/>
    <n v="0.47"/>
    <x v="27"/>
    <s v="Yes"/>
    <s v="AP Items sent in Dext prepare"/>
    <x v="2"/>
    <x v="5"/>
  </r>
  <r>
    <d v="2024-03-14T00:00:00"/>
    <x v="18"/>
    <s v="Bookkeeping"/>
    <n v="0.5"/>
    <x v="41"/>
    <s v="Yes"/>
    <s v="dext, ap, bank recon"/>
    <x v="2"/>
    <x v="5"/>
  </r>
  <r>
    <d v="2024-03-14T00:00:00"/>
    <x v="18"/>
    <s v="Bookkeeping"/>
    <n v="0.5"/>
    <x v="36"/>
    <s v="Yes"/>
    <s v="Check BS Rec for Feb, ap items, bank recon"/>
    <x v="2"/>
    <x v="5"/>
  </r>
  <r>
    <d v="2024-03-14T00:00:00"/>
    <x v="18"/>
    <s v="Bookkeeping"/>
    <n v="0.5"/>
    <x v="37"/>
    <s v="Yes"/>
    <s v="ap items, bank recon,"/>
    <x v="2"/>
    <x v="5"/>
  </r>
  <r>
    <d v="2024-03-14T00:00:00"/>
    <x v="18"/>
    <s v="Bookkeeping"/>
    <n v="1.1200000000000001"/>
    <x v="40"/>
    <s v="Yes"/>
    <m/>
    <x v="2"/>
    <x v="5"/>
  </r>
  <r>
    <d v="2024-03-14T00:00:00"/>
    <x v="18"/>
    <s v="Bookkeeping"/>
    <n v="2"/>
    <x v="35"/>
    <s v="Yes"/>
    <s v="ap bills review"/>
    <x v="2"/>
    <x v="5"/>
  </r>
  <r>
    <d v="2024-03-14T00:00:00"/>
    <x v="18"/>
    <s v="Bookkeeping"/>
    <n v="2.15"/>
    <x v="40"/>
    <s v="Yes"/>
    <s v="AP Emails, query on 2nd email regarding projects and updated bank payments of subcontractor, checking on client query regarding final pay"/>
    <x v="2"/>
    <x v="5"/>
  </r>
  <r>
    <d v="2024-03-14T00:00:00"/>
    <x v="19"/>
    <s v="Automations - Surefire"/>
    <n v="8"/>
    <x v="11"/>
    <s v="No"/>
    <s v="SureFire Services - Automation"/>
    <x v="2"/>
    <x v="5"/>
  </r>
  <r>
    <d v="2024-03-14T00:00:00"/>
    <x v="20"/>
    <s v="Automations"/>
    <n v="8"/>
    <x v="11"/>
    <s v="No"/>
    <m/>
    <x v="2"/>
    <x v="5"/>
  </r>
  <r>
    <d v="2024-03-14T00:00:00"/>
    <x v="21"/>
    <s v="Automations"/>
    <n v="8"/>
    <x v="11"/>
    <s v="No"/>
    <s v="Run: LOC Run: PrimeBuild Payroll Processing Report Run: TB Reports from Dec 2023 to February 2024 Dev: Pinnacle Oporto Automation "/>
    <x v="2"/>
    <x v="5"/>
  </r>
  <r>
    <d v="2024-03-14T00:00:00"/>
    <x v="22"/>
    <s v="Bookkeeping"/>
    <n v="0.33"/>
    <x v="44"/>
    <s v="Yes"/>
    <s v="Review WA workers comp plicy, get quotes, email to Zoe"/>
    <x v="2"/>
    <x v="5"/>
  </r>
  <r>
    <d v="2024-03-14T00:00:00"/>
    <x v="22"/>
    <s v="Bookkeeping"/>
    <n v="0.38"/>
    <x v="90"/>
    <s v="Yes"/>
    <s v="Set up REIT 40 file and accounts, email client Check issues log and draft bills"/>
    <x v="2"/>
    <x v="5"/>
  </r>
  <r>
    <d v="2024-03-14T00:00:00"/>
    <x v="22"/>
    <s v="Bookkeeping"/>
    <n v="0.42"/>
    <x v="19"/>
    <s v="Yes"/>
    <s v="Schweppes invoices to Xero"/>
    <x v="2"/>
    <x v="5"/>
  </r>
  <r>
    <d v="2024-03-14T00:00:00"/>
    <x v="22"/>
    <s v="Bookkeeping"/>
    <n v="0.42"/>
    <x v="20"/>
    <s v="Yes"/>
    <s v="Update Schweppes invoices and rerun reports Email to client"/>
    <x v="2"/>
    <x v="5"/>
  </r>
  <r>
    <d v="2024-03-14T00:00:00"/>
    <x v="22"/>
    <s v="Bookkeeping"/>
    <n v="0.62"/>
    <x v="42"/>
    <s v="Yes"/>
    <s v="Review travel again, find contractor agreements and resend email Respond to Anna email re insurance, including turnover estimate"/>
    <x v="2"/>
    <x v="5"/>
  </r>
  <r>
    <d v="2024-03-14T00:00:00"/>
    <x v="22"/>
    <s v="Bookkeeping"/>
    <n v="0.97"/>
    <x v="44"/>
    <s v="Yes"/>
    <s v="Review EMDG information, subscribe to newsletter Add client to ATO portal as Tax Agent Register for PAYG withholding from 1 Jan File STP for Jan and Feb payruns Add BAS journals to Xero and GIC to reconcile ICA "/>
    <x v="2"/>
    <x v="5"/>
  </r>
  <r>
    <d v="2024-03-14T00:00:00"/>
    <x v="22"/>
    <s v="Client Manager"/>
    <n v="0.56999999999999995"/>
    <x v="61"/>
    <s v="No"/>
    <s v="Catch up with Ef re Payroll Group, check payroll (non billable as part of handover)"/>
    <x v="2"/>
    <x v="5"/>
  </r>
  <r>
    <d v="2024-03-14T00:00:00"/>
    <x v="22"/>
    <s v="Client Manager"/>
    <n v="1.18"/>
    <x v="44"/>
    <s v="Yes"/>
    <s v="Review project and prep for meeting Review email inbox Client meeting"/>
    <x v="2"/>
    <x v="5"/>
  </r>
  <r>
    <d v="2024-03-14T00:00:00"/>
    <x v="22"/>
    <s v="General"/>
    <n v="0.15"/>
    <x v="11"/>
    <s v="No"/>
    <s v="Teams and email"/>
    <x v="2"/>
    <x v="5"/>
  </r>
  <r>
    <d v="2024-03-14T00:00:00"/>
    <x v="22"/>
    <s v="General"/>
    <n v="0.15"/>
    <x v="11"/>
    <s v="No"/>
    <s v="Teams and emails"/>
    <x v="2"/>
    <x v="5"/>
  </r>
  <r>
    <d v="2024-03-14T00:00:00"/>
    <x v="22"/>
    <s v="General"/>
    <n v="0.17"/>
    <x v="11"/>
    <s v="No"/>
    <s v="Emails and teams"/>
    <x v="2"/>
    <x v="5"/>
  </r>
  <r>
    <d v="2024-03-14T00:00:00"/>
    <x v="22"/>
    <s v="Payroll Processing"/>
    <n v="0.05"/>
    <x v="34"/>
    <s v="Yes"/>
    <s v="Email redundancy calcs to team"/>
    <x v="2"/>
    <x v="5"/>
  </r>
  <r>
    <d v="2024-03-14T00:00:00"/>
    <x v="22"/>
    <s v="Payroll Processing"/>
    <n v="0.15"/>
    <x v="42"/>
    <s v="Yes"/>
    <s v="Load payroll for termination to bank, reset Amex payment, email to Lucia"/>
    <x v="2"/>
    <x v="5"/>
  </r>
  <r>
    <d v="2024-03-14T00:00:00"/>
    <x v="22"/>
    <s v="Payroll Processing"/>
    <n v="0.37"/>
    <x v="42"/>
    <s v="Yes"/>
    <s v="Alex Ma Separation certificate completion and email to employee"/>
    <x v="2"/>
    <x v="5"/>
  </r>
  <r>
    <d v="2024-03-14T00:00:00"/>
    <x v="22"/>
    <s v="Payroll Processing"/>
    <n v="1.03"/>
    <x v="81"/>
    <s v="Yes"/>
    <s v="Payroll processing for March including update of reconciliation for Frank Calculation of leave balances and unpaid leave entry for Rinka Reconciliation of superannuation Entry of opening balances for leave types x 2 and all YTD figures. Email to Angie"/>
    <x v="2"/>
    <x v="5"/>
  </r>
  <r>
    <d v="2024-03-14T00:00:00"/>
    <x v="22"/>
    <s v="Payroll Processing"/>
    <n v="1.52"/>
    <x v="34"/>
    <s v="Yes"/>
    <s v="Review and prepare redundancy payment"/>
    <x v="2"/>
    <x v="5"/>
  </r>
  <r>
    <d v="2024-03-14T00:00:00"/>
    <x v="23"/>
    <s v="Annual GST Preparation &amp; Lodgement"/>
    <n v="0.18"/>
    <x v="99"/>
    <s v="No"/>
    <s v="Updating ASANA due to duplicate from BAS annual moved by Sylvie and corrected the project task"/>
    <x v="2"/>
    <x v="5"/>
  </r>
  <r>
    <d v="2024-03-14T00:00:00"/>
    <x v="23"/>
    <s v="Client Meeting"/>
    <n v="0.15"/>
    <x v="111"/>
    <s v="No"/>
    <s v="Email and updating ASANA"/>
    <x v="2"/>
    <x v="5"/>
  </r>
  <r>
    <d v="2024-03-14T00:00:00"/>
    <x v="23"/>
    <s v="Client Meeting"/>
    <n v="0.15"/>
    <x v="112"/>
    <s v="No"/>
    <s v="PAYGI and attending to queries"/>
    <x v="2"/>
    <x v="5"/>
  </r>
  <r>
    <d v="2024-03-14T00:00:00"/>
    <x v="23"/>
    <s v="Client Meeting"/>
    <n v="0.18"/>
    <x v="92"/>
    <s v="No"/>
    <s v="email"/>
    <x v="2"/>
    <x v="5"/>
  </r>
  <r>
    <d v="2024-03-14T00:00:00"/>
    <x v="23"/>
    <s v="Client Meeting"/>
    <n v="0.23"/>
    <x v="11"/>
    <s v="No"/>
    <s v="Team chats"/>
    <x v="2"/>
    <x v="5"/>
  </r>
  <r>
    <d v="2024-03-14T00:00:00"/>
    <x v="23"/>
    <s v="Client Meeting"/>
    <n v="0.23"/>
    <x v="113"/>
    <s v="No"/>
    <s v="PAYGI and updates, "/>
    <x v="2"/>
    <x v="5"/>
  </r>
  <r>
    <d v="2024-03-14T00:00:00"/>
    <x v="23"/>
    <s v="Client Meeting"/>
    <n v="0.25"/>
    <x v="114"/>
    <s v="No"/>
    <s v="PAYG and updates ASANA"/>
    <x v="2"/>
    <x v="5"/>
  </r>
  <r>
    <d v="2024-03-14T00:00:00"/>
    <x v="23"/>
    <s v="Client Meeting"/>
    <n v="0.25"/>
    <x v="62"/>
    <s v="No"/>
    <s v="Assisting Cess on ITR queries"/>
    <x v="2"/>
    <x v="5"/>
  </r>
  <r>
    <d v="2024-03-14T00:00:00"/>
    <x v="23"/>
    <s v="Client Meeting"/>
    <n v="0.3"/>
    <x v="15"/>
    <s v="No"/>
    <s v="Helping Sheryl as she new for the process and also updating the wps due to other adjustments"/>
    <x v="2"/>
    <x v="5"/>
  </r>
  <r>
    <d v="2024-03-14T00:00:00"/>
    <x v="23"/>
    <s v="Client Meeting"/>
    <n v="0.48"/>
    <x v="15"/>
    <s v="No"/>
    <s v="Teams and call with Sherly. James made adjustment and we need to find the variance.  "/>
    <x v="2"/>
    <x v="5"/>
  </r>
  <r>
    <d v="2024-03-14T00:00:00"/>
    <x v="23"/>
    <s v="General"/>
    <n v="0.25"/>
    <x v="11"/>
    <s v="No"/>
    <s v="AFTERNOON Break: 15 mins coffee breaks as paid per Labor Code of the Philippines, Article 85."/>
    <x v="2"/>
    <x v="5"/>
  </r>
  <r>
    <d v="2024-03-14T00:00:00"/>
    <x v="23"/>
    <s v="General"/>
    <n v="0.25"/>
    <x v="11"/>
    <s v="No"/>
    <s v="MORNING Break: 15 mins coffee breaks as paid per Labor Code of the Philippines, Article 85."/>
    <x v="2"/>
    <x v="5"/>
  </r>
  <r>
    <d v="2024-03-14T00:00:00"/>
    <x v="23"/>
    <s v="General"/>
    <n v="0.37"/>
    <x v="11"/>
    <s v="No"/>
    <m/>
    <x v="2"/>
    <x v="5"/>
  </r>
  <r>
    <d v="2024-03-14T00:00:00"/>
    <x v="23"/>
    <s v="IAS/BAS Preparation &amp; Lodgement - Dec"/>
    <n v="0.18"/>
    <x v="25"/>
    <s v="No"/>
    <s v="PAYGI"/>
    <x v="2"/>
    <x v="5"/>
  </r>
  <r>
    <d v="2024-03-14T00:00:00"/>
    <x v="23"/>
    <s v="IAS/BAS Preparation &amp; Lodgement - Dec"/>
    <n v="0.32"/>
    <x v="25"/>
    <s v="Yes"/>
    <s v="PAYGI"/>
    <x v="2"/>
    <x v="5"/>
  </r>
  <r>
    <d v="2024-03-14T00:00:00"/>
    <x v="23"/>
    <s v="IAS/BAS Preparation &amp; Lodgement - Feb"/>
    <n v="0.62"/>
    <x v="15"/>
    <s v="No"/>
    <s v="NonBillabble - reupdate and rework WPS"/>
    <x v="2"/>
    <x v="5"/>
  </r>
  <r>
    <d v="2024-03-14T00:00:00"/>
    <x v="23"/>
    <s v="IAS/BAS Preparation &amp; Lodgement - Feb"/>
    <n v="0.95"/>
    <x v="109"/>
    <s v="No"/>
    <s v="PAYGI"/>
    <x v="2"/>
    <x v="5"/>
  </r>
  <r>
    <d v="2024-03-14T00:00:00"/>
    <x v="23"/>
    <s v="IAS/BAS Preparation &amp; Lodgement - Feb"/>
    <n v="1.02"/>
    <x v="42"/>
    <s v="Yes"/>
    <s v="BAS "/>
    <x v="2"/>
    <x v="5"/>
  </r>
  <r>
    <d v="2024-03-14T00:00:00"/>
    <x v="23"/>
    <s v="IAS/BAS Preparation &amp; Lodgement - Oct"/>
    <n v="0.18"/>
    <x v="115"/>
    <s v="No"/>
    <s v="PAYGI update and ASANA"/>
    <x v="2"/>
    <x v="5"/>
  </r>
  <r>
    <d v="2024-03-14T00:00:00"/>
    <x v="23"/>
    <s v="IAS/BAS Preparation &amp; Lodgement - Oct-Dec"/>
    <n v="0.33"/>
    <x v="99"/>
    <s v="Yes"/>
    <m/>
    <x v="2"/>
    <x v="5"/>
  </r>
  <r>
    <d v="2024-03-14T00:00:00"/>
    <x v="23"/>
    <s v="Learning &amp; Development"/>
    <n v="0.32"/>
    <x v="11"/>
    <s v="No"/>
    <s v="Teaching and helping Sherryl regarding outlook and other wps materials"/>
    <x v="2"/>
    <x v="5"/>
  </r>
  <r>
    <d v="2024-03-14T00:00:00"/>
    <x v="23"/>
    <s v="Learning &amp; Development"/>
    <n v="0.77"/>
    <x v="11"/>
    <s v="No"/>
    <s v="Wyzed training - Company Tax return ( Cont )"/>
    <x v="2"/>
    <x v="5"/>
  </r>
  <r>
    <d v="2024-03-14T00:00:00"/>
    <x v="23"/>
    <s v="Meetings"/>
    <n v="0.08"/>
    <x v="11"/>
    <s v="No"/>
    <s v="Responding to Aileen"/>
    <x v="2"/>
    <x v="5"/>
  </r>
  <r>
    <d v="2024-03-14T00:00:00"/>
    <x v="48"/>
    <s v="Client Admin"/>
    <n v="0.83"/>
    <x v="11"/>
    <s v="No"/>
    <s v="Prime Build handover meeting with Jess and Ali"/>
    <x v="2"/>
    <x v="5"/>
  </r>
  <r>
    <d v="2024-03-14T00:00:00"/>
    <x v="48"/>
    <s v="HR/Recuitment"/>
    <n v="2"/>
    <x v="11"/>
    <s v="No"/>
    <s v="Complete letters for global team for variation to termination clause in contracts - assistance for Z.  Send invitations out for new HRBP and Team members to meet on 2nd April."/>
    <x v="2"/>
    <x v="5"/>
  </r>
  <r>
    <d v="2024-03-14T00:00:00"/>
    <x v="24"/>
    <s v="Bookkeeping"/>
    <n v="0.3"/>
    <x v="55"/>
    <s v="Yes"/>
    <m/>
    <x v="2"/>
    <x v="5"/>
  </r>
  <r>
    <d v="2024-03-14T00:00:00"/>
    <x v="24"/>
    <s v="Bookkeeping"/>
    <n v="0.47"/>
    <x v="46"/>
    <s v="Yes"/>
    <m/>
    <x v="2"/>
    <x v="5"/>
  </r>
  <r>
    <d v="2024-03-14T00:00:00"/>
    <x v="24"/>
    <s v="Bookkeeping"/>
    <n v="5.77"/>
    <x v="15"/>
    <s v="Yes"/>
    <m/>
    <x v="2"/>
    <x v="5"/>
  </r>
  <r>
    <d v="2024-03-14T00:00:00"/>
    <x v="24"/>
    <s v="Meetings"/>
    <n v="0.02"/>
    <x v="11"/>
    <s v="No"/>
    <s v="1:1 with Ralph"/>
    <x v="2"/>
    <x v="5"/>
  </r>
  <r>
    <d v="2024-03-14T00:00:00"/>
    <x v="24"/>
    <s v="Payroll Processing"/>
    <n v="1.58"/>
    <x v="46"/>
    <s v="Yes"/>
    <m/>
    <x v="2"/>
    <x v="5"/>
  </r>
  <r>
    <d v="2024-03-14T00:00:00"/>
    <x v="26"/>
    <s v="Adhoc Support &amp; Advice"/>
    <n v="1.5"/>
    <x v="15"/>
    <s v="No"/>
    <s v="Recon unispace client"/>
    <x v="2"/>
    <x v="5"/>
  </r>
  <r>
    <d v="2024-03-14T00:00:00"/>
    <x v="26"/>
    <s v="Debt Collection"/>
    <n v="1"/>
    <x v="11"/>
    <s v="No"/>
    <m/>
    <x v="2"/>
    <x v="5"/>
  </r>
  <r>
    <d v="2024-03-14T00:00:00"/>
    <x v="26"/>
    <s v="Debt Collection"/>
    <n v="1"/>
    <x v="11"/>
    <s v="No"/>
    <s v="review debtors list"/>
    <x v="2"/>
    <x v="5"/>
  </r>
  <r>
    <d v="2024-03-14T00:00:00"/>
    <x v="26"/>
    <s v="Debt Collection"/>
    <n v="4"/>
    <x v="15"/>
    <s v="Yes"/>
    <m/>
    <x v="2"/>
    <x v="5"/>
  </r>
  <r>
    <d v="2024-03-14T00:00:00"/>
    <x v="26"/>
    <s v="General"/>
    <n v="0.5"/>
    <x v="11"/>
    <s v="No"/>
    <s v="break"/>
    <x v="2"/>
    <x v="5"/>
  </r>
  <r>
    <d v="2024-03-14T00:00:00"/>
    <x v="27"/>
    <s v="General"/>
    <n v="1.5"/>
    <x v="11"/>
    <s v="No"/>
    <s v="emails / reimbursements "/>
    <x v="2"/>
    <x v="5"/>
  </r>
  <r>
    <d v="2024-03-14T00:00:00"/>
    <x v="27"/>
    <s v="General"/>
    <n v="7.45"/>
    <x v="11"/>
    <s v="No"/>
    <s v="handover"/>
    <x v="2"/>
    <x v="5"/>
  </r>
  <r>
    <d v="2024-03-14T00:00:00"/>
    <x v="28"/>
    <s v="Bookkeeping"/>
    <n v="0.17"/>
    <x v="101"/>
    <s v="Yes"/>
    <s v="Weekly bookkeeping"/>
    <x v="2"/>
    <x v="5"/>
  </r>
  <r>
    <d v="2024-03-14T00:00:00"/>
    <x v="28"/>
    <s v="Bookkeeping"/>
    <n v="2.2200000000000002"/>
    <x v="57"/>
    <s v="Yes"/>
    <s v="Prepared working papers for clearing accounts Clearing Paypal Domestic Clearing Afterpay domestic Clearing Shopify domestic Clearing Klarna domestic Bills raise to xero for postscript transactions"/>
    <x v="2"/>
    <x v="5"/>
  </r>
  <r>
    <d v="2024-03-14T00:00:00"/>
    <x v="28"/>
    <s v="Bookkeeping"/>
    <n v="4.28"/>
    <x v="57"/>
    <s v="Yes"/>
    <s v="Email management Bills raise to xero Check and approved sales in a2x Bank Reconciliation BM and LoC Inc Import Paypal and reconciled "/>
    <x v="2"/>
    <x v="5"/>
  </r>
  <r>
    <d v="2024-03-14T00:00:00"/>
    <x v="28"/>
    <s v="General"/>
    <n v="0.5"/>
    <x v="11"/>
    <s v="No"/>
    <s v="Break"/>
    <x v="2"/>
    <x v="5"/>
  </r>
  <r>
    <d v="2024-03-14T00:00:00"/>
    <x v="28"/>
    <s v="Learning &amp; Development"/>
    <n v="0.87"/>
    <x v="11"/>
    <s v="No"/>
    <s v="Payroll Tax"/>
    <x v="2"/>
    <x v="5"/>
  </r>
  <r>
    <d v="2024-03-14T00:00:00"/>
    <x v="29"/>
    <s v="IT"/>
    <n v="9"/>
    <x v="11"/>
    <s v="No"/>
    <s v="Support and Security"/>
    <x v="2"/>
    <x v="5"/>
  </r>
  <r>
    <d v="2024-03-14T00:00:00"/>
    <x v="30"/>
    <s v="Sick Leave"/>
    <n v="8"/>
    <x v="11"/>
    <s v="No"/>
    <m/>
    <x v="2"/>
    <x v="5"/>
  </r>
  <r>
    <d v="2024-03-14T00:00:00"/>
    <x v="31"/>
    <s v="Accounts"/>
    <n v="0.83"/>
    <x v="11"/>
    <s v="No"/>
    <s v="Coordinate with Gen/Nick re: Dherick's payout.  Catchup emails and response. Update bank recs Coordinate with Angel re: Starleaton"/>
    <x v="2"/>
    <x v="5"/>
  </r>
  <r>
    <d v="2024-03-14T00:00:00"/>
    <x v="31"/>
    <s v="Accounts"/>
    <n v="2.2200000000000002"/>
    <x v="11"/>
    <s v="No"/>
    <s v="Reconciliation of Fleetwood Group. Coordination with Nick re: Fleetwood. Process bills for Branch."/>
    <x v="2"/>
    <x v="5"/>
  </r>
  <r>
    <d v="2024-03-14T00:00:00"/>
    <x v="31"/>
    <s v="Accounts"/>
    <n v="3.8"/>
    <x v="56"/>
    <s v="No"/>
    <s v="Process bank recs. Prepare payables and request to Nick. Checking of emails and other request from RMN Accounting Office.  (with 30 mins power interruption)"/>
    <x v="2"/>
    <x v="5"/>
  </r>
  <r>
    <d v="2024-03-14T00:00:00"/>
    <x v="31"/>
    <s v="Compliance"/>
    <n v="2.83"/>
    <x v="11"/>
    <s v="No"/>
    <s v="Compliance invoicing update Tracking of Fleetwood Group - recon with Nick and put status of invoices Various concerns and catchup emails.  Respond to queries and Carly for the clarification of invoicing. Coordinate with Angel/RJ re: vaccine "/>
    <x v="2"/>
    <x v="5"/>
  </r>
  <r>
    <d v="2024-03-14T00:00:00"/>
    <x v="32"/>
    <s v="Web"/>
    <n v="10"/>
    <x v="11"/>
    <s v="No"/>
    <s v="✅ set hello@dext to receive a copy from the service notification  ✅ CUBPC - Nick requested to get this presentation using Dexterous Group branding  🟨 update the content of the Terms and Conditions page  📌 remove Maria Con from the website team page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investigate the discrepancy occured between Zoho and GA       📝 Dexterous Reporting - GA/Zoho Book a Consult Discrepancy    📝 Hey Migs &amp; Jordan    I wanted to loop back on this conversation as we are still seeing discrepancies    between GA and Zoho when it comes to tracking total website lead consults booked.       Feb:         ▪ GA tracked 3 consults booked      ▪ However, Carly noted only 1 consult was booked into Zoho via the website book a consult flow     Please can you look at things on your end to understand why this difference occurred?      Were the additional 2 consults just test bookings from your end?      - there was a visit in thank you page in 2/23 (booking was also made in feb 23 zoho bookings)     - there was visit in Feb / 7     Thanks so much!    Hi Steph,    Based on my investigation, I confirm that GA tracked 3 users booked last February on these dates :     feb 7   feb 8   feb 23     and on the Zoho Bookings too:     feb 7 - Alan Doughty - Chemika Bookkeeping Support (won)   feb 8 - 92 Proof - Paul Di Vito   feb 23 - Kevin Jensen IP analysis.    As I look at things, Carly was not added to free consult service as a staff in Zoho Bookings that's why   she's missing appointment but to confirm, do you receive service notifications from  hello@dexterousgroup.com.au @Carly?    Let me know team if you have any questions.    Thanks,   Miguel    - waiting for Carly's response  📌 review the notification email for the Application Form on website   📌 Create custom dimensions   📌 Edit the analytics view for Google Analytics  📌 check integration of Zoho CRM to zoho Bookings  📌 change the logo of bookings in Zoho   📌 Popup project from AskMarketing"/>
    <x v="2"/>
    <x v="5"/>
  </r>
  <r>
    <d v="2024-03-14T00:00:00"/>
    <x v="33"/>
    <s v="Bookkeeping"/>
    <n v="0.5"/>
    <x v="60"/>
    <s v="Yes"/>
    <s v="Bank reco, AP and payslips and STP"/>
    <x v="2"/>
    <x v="5"/>
  </r>
  <r>
    <d v="2024-03-14T00:00:00"/>
    <x v="33"/>
    <s v="Bookkeeping"/>
    <n v="0.5"/>
    <x v="79"/>
    <s v="Yes"/>
    <m/>
    <x v="2"/>
    <x v="5"/>
  </r>
  <r>
    <d v="2024-03-14T00:00:00"/>
    <x v="33"/>
    <s v="Bookkeeping"/>
    <n v="0.5"/>
    <x v="48"/>
    <s v="Yes"/>
    <m/>
    <x v="2"/>
    <x v="5"/>
  </r>
  <r>
    <d v="2024-03-14T00:00:00"/>
    <x v="33"/>
    <s v="Bookkeeping"/>
    <n v="0.5"/>
    <x v="59"/>
    <s v="Yes"/>
    <m/>
    <x v="2"/>
    <x v="5"/>
  </r>
  <r>
    <d v="2024-03-14T00:00:00"/>
    <x v="33"/>
    <s v="Bookkeeping"/>
    <n v="2.5"/>
    <x v="9"/>
    <s v="Yes"/>
    <m/>
    <x v="2"/>
    <x v="5"/>
  </r>
  <r>
    <d v="2024-03-14T00:00:00"/>
    <x v="33"/>
    <s v="Payroll Processing"/>
    <n v="0.5"/>
    <x v="89"/>
    <s v="Yes"/>
    <m/>
    <x v="2"/>
    <x v="5"/>
  </r>
  <r>
    <d v="2024-03-14T00:00:00"/>
    <x v="34"/>
    <s v="Client Manager"/>
    <n v="0.13"/>
    <x v="0"/>
    <s v="Yes"/>
    <s v="month end"/>
    <x v="2"/>
    <x v="5"/>
  </r>
  <r>
    <d v="2024-03-14T00:00:00"/>
    <x v="34"/>
    <s v="Client Manager"/>
    <n v="0.82"/>
    <x v="61"/>
    <s v="No"/>
    <s v="review of payroll"/>
    <x v="2"/>
    <x v="5"/>
  </r>
  <r>
    <d v="2024-03-14T00:00:00"/>
    <x v="34"/>
    <s v="Client Manager"/>
    <n v="4.7300000000000004"/>
    <x v="75"/>
    <s v="Yes"/>
    <s v="emails month end"/>
    <x v="2"/>
    <x v="5"/>
  </r>
  <r>
    <d v="2024-03-14T00:00:00"/>
    <x v="34"/>
    <s v="General"/>
    <n v="0.32"/>
    <x v="11"/>
    <s v="No"/>
    <s v="emails, teams, Asana"/>
    <x v="2"/>
    <x v="5"/>
  </r>
  <r>
    <d v="2024-03-14T00:00:00"/>
    <x v="35"/>
    <s v="Bookkeeping"/>
    <n v="0.38"/>
    <x v="33"/>
    <s v="No"/>
    <s v="internal meeting"/>
    <x v="2"/>
    <x v="5"/>
  </r>
  <r>
    <d v="2024-03-14T00:00:00"/>
    <x v="35"/>
    <s v="Bookkeeping"/>
    <n v="0.8"/>
    <x v="62"/>
    <s v="Yes"/>
    <s v="emails, cleaning contacts, "/>
    <x v="2"/>
    <x v="5"/>
  </r>
  <r>
    <d v="2024-03-14T00:00:00"/>
    <x v="35"/>
    <s v="Bookkeeping"/>
    <n v="1.42"/>
    <x v="62"/>
    <s v="Yes"/>
    <s v="emails, files, Awaiting approval"/>
    <x v="2"/>
    <x v="5"/>
  </r>
  <r>
    <d v="2024-03-14T00:00:00"/>
    <x v="35"/>
    <s v="Bookkeeping"/>
    <n v="2.3199999999999998"/>
    <x v="33"/>
    <s v="Yes"/>
    <s v="BS recs"/>
    <x v="2"/>
    <x v="5"/>
  </r>
  <r>
    <d v="2024-03-14T00:00:00"/>
    <x v="35"/>
    <s v="Bookkeeping"/>
    <n v="3.15"/>
    <x v="33"/>
    <s v="Yes"/>
    <s v="emails, BR, "/>
    <x v="2"/>
    <x v="5"/>
  </r>
  <r>
    <d v="2024-03-14T00:00:00"/>
    <x v="36"/>
    <s v="Bookkeeping"/>
    <n v="1.5"/>
    <x v="16"/>
    <s v="Yes"/>
    <s v="Added accts in OMS V25  Bank recs - send the list of pending to Carly"/>
    <x v="2"/>
    <x v="5"/>
  </r>
  <r>
    <d v="2024-03-14T00:00:00"/>
    <x v="36"/>
    <s v="Bookkeeping"/>
    <n v="2.9"/>
    <x v="35"/>
    <s v="Yes"/>
    <s v="AP review + emails"/>
    <x v="2"/>
    <x v="5"/>
  </r>
  <r>
    <d v="2024-03-14T00:00:00"/>
    <x v="36"/>
    <s v="General"/>
    <n v="0.37"/>
    <x v="11"/>
    <s v="No"/>
    <s v="Dex emails"/>
    <x v="2"/>
    <x v="5"/>
  </r>
  <r>
    <d v="2024-03-14T00:00:00"/>
    <x v="36"/>
    <s v="Management Reporting"/>
    <n v="3.77"/>
    <x v="35"/>
    <s v="Yes"/>
    <s v="Staff travel computation ytd - adjustment of dept in AC"/>
    <x v="2"/>
    <x v="5"/>
  </r>
  <r>
    <d v="2024-03-14T00:00:00"/>
    <x v="37"/>
    <s v="General"/>
    <n v="4.95"/>
    <x v="11"/>
    <s v="No"/>
    <s v="AP review Admin - office reqs AdHoc tasks update and follow ups HR queries WIP queries Invoicing report"/>
    <x v="2"/>
    <x v="5"/>
  </r>
  <r>
    <d v="2024-03-14T00:00:00"/>
    <x v="37"/>
    <s v="Meetings"/>
    <n v="4.5"/>
    <x v="11"/>
    <s v="No"/>
    <s v="AU payroll handover with Con AdHoc handover with Con Remaining items discussion from Con"/>
    <x v="2"/>
    <x v="5"/>
  </r>
  <r>
    <d v="2024-03-14T00:00:00"/>
    <x v="38"/>
    <s v="Bookkeeping"/>
    <n v="8.7799999999999994"/>
    <x v="15"/>
    <s v="Yes"/>
    <m/>
    <x v="2"/>
    <x v="5"/>
  </r>
  <r>
    <d v="2024-03-14T00:00:00"/>
    <x v="39"/>
    <s v="General"/>
    <n v="0.5"/>
    <x v="11"/>
    <s v="No"/>
    <s v="Break"/>
    <x v="2"/>
    <x v="5"/>
  </r>
  <r>
    <d v="2024-03-14T00:00:00"/>
    <x v="39"/>
    <s v="General"/>
    <n v="0.5"/>
    <x v="11"/>
    <s v="No"/>
    <s v="Emails and teams messages throughout the day"/>
    <x v="2"/>
    <x v="5"/>
  </r>
  <r>
    <d v="2024-03-14T00:00:00"/>
    <x v="39"/>
    <s v="General"/>
    <n v="0.62"/>
    <x v="11"/>
    <s v="No"/>
    <s v="List all tasks for handover"/>
    <x v="2"/>
    <x v="5"/>
  </r>
  <r>
    <d v="2024-03-14T00:00:00"/>
    <x v="39"/>
    <s v="General"/>
    <n v="0.63"/>
    <x v="11"/>
    <s v="No"/>
    <s v="Query from Jim re casual loading, search about it and respond"/>
    <x v="2"/>
    <x v="5"/>
  </r>
  <r>
    <d v="2024-03-14T00:00:00"/>
    <x v="39"/>
    <s v="IAS/BAS Preparation &amp; Lodgement - Feb"/>
    <n v="0.23"/>
    <x v="116"/>
    <s v="Yes"/>
    <s v="Feb IAS"/>
    <x v="2"/>
    <x v="5"/>
  </r>
  <r>
    <d v="2024-03-14T00:00:00"/>
    <x v="39"/>
    <s v="Payroll Processing"/>
    <n v="0.13"/>
    <x v="46"/>
    <s v="Yes"/>
    <s v="Payroll review"/>
    <x v="2"/>
    <x v="5"/>
  </r>
  <r>
    <d v="2024-03-14T00:00:00"/>
    <x v="39"/>
    <s v="Payroll Processing"/>
    <n v="0.23"/>
    <x v="75"/>
    <s v="Yes"/>
    <s v="Call with Jeric re redundancy pay template and calcs"/>
    <x v="2"/>
    <x v="5"/>
  </r>
  <r>
    <d v="2024-03-14T00:00:00"/>
    <x v="39"/>
    <s v="Payroll Processing"/>
    <n v="0.23"/>
    <x v="34"/>
    <s v="Yes"/>
    <s v="Review redundancy calcs - Hannah G"/>
    <x v="2"/>
    <x v="5"/>
  </r>
  <r>
    <d v="2024-03-14T00:00:00"/>
    <x v="39"/>
    <s v="Payroll Processing"/>
    <n v="0.37"/>
    <x v="15"/>
    <s v="Yes"/>
    <s v="Follow up payroll from HR, send to James for final review incl. final TS and payroll figures"/>
    <x v="2"/>
    <x v="5"/>
  </r>
  <r>
    <d v="2024-03-14T00:00:00"/>
    <x v="39"/>
    <s v="Payroll Processing"/>
    <n v="0.4"/>
    <x v="15"/>
    <s v="Yes"/>
    <s v="Finalise payroll, export reports, email for approval"/>
    <x v="2"/>
    <x v="5"/>
  </r>
  <r>
    <d v="2024-03-14T00:00:00"/>
    <x v="39"/>
    <s v="Payroll Processing"/>
    <n v="0.56999999999999995"/>
    <x v="46"/>
    <s v="Yes"/>
    <s v="Look into error in Eliza's pay, found that account name has special character, communicate with Lindsay"/>
    <x v="2"/>
    <x v="5"/>
  </r>
  <r>
    <d v="2024-03-14T00:00:00"/>
    <x v="39"/>
    <s v="Payroll Processing"/>
    <n v="0.67"/>
    <x v="15"/>
    <s v="Yes"/>
    <s v="Adjustments from James, confirm Mark J - Heyday, teams messages with Ting and James, update payroll"/>
    <x v="2"/>
    <x v="5"/>
  </r>
  <r>
    <d v="2024-03-14T00:00:00"/>
    <x v="39"/>
    <s v="Payroll Processing"/>
    <n v="1.1000000000000001"/>
    <x v="15"/>
    <s v="Yes"/>
    <s v="Payroll processing, peer review, send to HR review"/>
    <x v="2"/>
    <x v="5"/>
  </r>
  <r>
    <d v="2024-03-14T00:00:00"/>
    <x v="39"/>
    <s v="Payroll Processing"/>
    <n v="1.83"/>
    <x v="15"/>
    <s v="Yes"/>
    <s v="Payroll processing"/>
    <x v="2"/>
    <x v="5"/>
  </r>
  <r>
    <d v="2024-03-14T00:00:00"/>
    <x v="40"/>
    <s v="Out-of-Scope Services"/>
    <n v="0.77"/>
    <x v="16"/>
    <s v="Yes"/>
    <s v="Dividend statements Call with Sylvie re bookkeeping and GIC remission Send div stat to Syvlie to double check Send div stat to SK"/>
    <x v="2"/>
    <x v="5"/>
  </r>
  <r>
    <d v="2024-03-14T00:00:00"/>
    <x v="41"/>
    <s v="Bookkeeping"/>
    <n v="0.38"/>
    <x v="16"/>
    <s v="Yes"/>
    <s v="Raise invoices for MSN2630"/>
    <x v="2"/>
    <x v="5"/>
  </r>
  <r>
    <d v="2024-03-14T00:00:00"/>
    <x v="41"/>
    <s v="Bookkeeping"/>
    <n v="0.4"/>
    <x v="36"/>
    <s v="Yes"/>
    <s v="Post IAS journal and bill"/>
    <x v="2"/>
    <x v="5"/>
  </r>
  <r>
    <d v="2024-03-14T00:00:00"/>
    <x v="41"/>
    <s v="Bookkeeping"/>
    <n v="1.25"/>
    <x v="36"/>
    <s v="Yes"/>
    <s v="Update cashflow file AP run Review transactions"/>
    <x v="2"/>
    <x v="5"/>
  </r>
  <r>
    <d v="2024-03-14T00:00:00"/>
    <x v="41"/>
    <s v="Bookkeeping"/>
    <n v="3.12"/>
    <x v="16"/>
    <s v="Yes"/>
    <s v="Inbox mgmt Adhoc reconciliations AP and AR"/>
    <x v="2"/>
    <x v="5"/>
  </r>
  <r>
    <d v="2024-03-14T00:00:00"/>
    <x v="41"/>
    <s v="General"/>
    <n v="0.5"/>
    <x v="11"/>
    <s v="No"/>
    <s v="Paid break"/>
    <x v="2"/>
    <x v="5"/>
  </r>
  <r>
    <d v="2024-03-14T00:00:00"/>
    <x v="41"/>
    <s v="Payroll Processing"/>
    <n v="0.13"/>
    <x v="50"/>
    <s v="Yes"/>
    <m/>
    <x v="2"/>
    <x v="5"/>
  </r>
  <r>
    <d v="2024-03-14T00:00:00"/>
    <x v="41"/>
    <s v="Payroll Processing"/>
    <n v="1.4"/>
    <x v="63"/>
    <s v="Yes"/>
    <s v="Export ABA and reports Meeting with Wayne"/>
    <x v="2"/>
    <x v="5"/>
  </r>
  <r>
    <d v="2024-03-14T00:00:00"/>
    <x v="41"/>
    <s v="Payroll Processing - Senior"/>
    <n v="1.1200000000000001"/>
    <x v="40"/>
    <s v="Yes"/>
    <s v="Research and discuss annual leave loading of an employee with Jim"/>
    <x v="2"/>
    <x v="5"/>
  </r>
  <r>
    <d v="2024-03-14T00:00:00"/>
    <x v="42"/>
    <s v="Client Manager"/>
    <n v="0.5"/>
    <x v="33"/>
    <s v="Yes"/>
    <s v="Weekly SRAC meeting, upload payroll and email Katherine/Shalisa"/>
    <x v="2"/>
    <x v="5"/>
  </r>
  <r>
    <d v="2024-03-14T00:00:00"/>
    <x v="42"/>
    <s v="Client Manager"/>
    <n v="1"/>
    <x v="102"/>
    <s v="No"/>
    <s v="Going through MYOB and folders to get better understanding of how PO works, reading procedures etc"/>
    <x v="2"/>
    <x v="5"/>
  </r>
  <r>
    <d v="2024-03-14T00:00:00"/>
    <x v="42"/>
    <s v="Client Manager"/>
    <n v="4"/>
    <x v="102"/>
    <s v="Yes"/>
    <s v="Finalise NAB Bank account and NAB VISA for Feb 2024. Setup supplier cards for employee reimbursements. Enter supplier invoices, prepare for supplier payment run dated 15/03/2024 and send to Alan/Catherine for approval. Send queries to Catherine. Sort out IT issues re VPN.  NAB issue, sorted. Match delivery dockets to PO and supplier invoices for Merck"/>
    <x v="2"/>
    <x v="5"/>
  </r>
  <r>
    <d v="2024-03-14T00:00:00"/>
    <x v="42"/>
    <s v="General"/>
    <n v="0.5"/>
    <x v="11"/>
    <s v="No"/>
    <s v="Update Dexterous client referral worksheet and share with RJ. Email finance team to manage going forward"/>
    <x v="2"/>
    <x v="5"/>
  </r>
  <r>
    <d v="2024-03-14T00:00:00"/>
    <x v="42"/>
    <s v="General"/>
    <n v="1"/>
    <x v="11"/>
    <s v="No"/>
    <s v="Various internal emails/messages, James re Shipley, LM's leave application, Angela/debtors, Ezidebit dishonour payment for Simpson etc"/>
    <x v="2"/>
    <x v="5"/>
  </r>
  <r>
    <d v="2024-03-14T00:00:00"/>
    <x v="42"/>
    <s v="IAS/BAS Preparation &amp; Lodgement - Feb"/>
    <n v="0.17"/>
    <x v="52"/>
    <s v="Yes"/>
    <s v="Feb 2024 IAS review and lodgement"/>
    <x v="2"/>
    <x v="5"/>
  </r>
  <r>
    <d v="2024-03-14T00:00:00"/>
    <x v="42"/>
    <s v="IAS/BAS Preparation &amp; Lodgement - Feb"/>
    <n v="0.17"/>
    <x v="53"/>
    <s v="Yes"/>
    <s v="Feb 2024 IAS review and lodgement"/>
    <x v="2"/>
    <x v="5"/>
  </r>
  <r>
    <d v="2024-03-14T00:00:00"/>
    <x v="42"/>
    <s v="IAS/BAS Preparation &amp; Lodgement - Feb"/>
    <n v="0.25"/>
    <x v="15"/>
    <s v="Yes"/>
    <s v="Final review of Feb BAS"/>
    <x v="2"/>
    <x v="5"/>
  </r>
  <r>
    <d v="2024-03-14T00:00:00"/>
    <x v="42"/>
    <s v="IAS/BAS Preparation &amp; Lodgement - Feb"/>
    <n v="0.5"/>
    <x v="109"/>
    <s v="Yes"/>
    <s v="Feb 2024 BAS and PAYGI review and lodgement"/>
    <x v="2"/>
    <x v="5"/>
  </r>
  <r>
    <d v="2024-03-14T00:00:00"/>
    <x v="43"/>
    <s v="Bookkeeping"/>
    <n v="8.75"/>
    <x v="15"/>
    <s v="Yes"/>
    <s v="Cashflow, Month End Recs"/>
    <x v="2"/>
    <x v="5"/>
  </r>
  <r>
    <d v="2024-03-14T00:00:00"/>
    <x v="44"/>
    <s v="Bookkeeping"/>
    <n v="0.3"/>
    <x v="16"/>
    <s v="Yes"/>
    <s v="3E GST queries - BLM"/>
    <x v="2"/>
    <x v="5"/>
  </r>
  <r>
    <d v="2024-03-14T00:00:00"/>
    <x v="44"/>
    <s v="Bookkeeping"/>
    <n v="1"/>
    <x v="16"/>
    <s v="Yes"/>
    <s v="OMS - convert sales invoice, liaise Nick for account numbers, email process for Sarah and Rachele"/>
    <x v="2"/>
    <x v="5"/>
  </r>
  <r>
    <d v="2024-03-14T00:00:00"/>
    <x v="44"/>
    <s v="Budget - Monthly"/>
    <n v="0.2"/>
    <x v="97"/>
    <s v="No"/>
    <s v="Nica, Josh, Mark - access server for Nica"/>
    <x v="2"/>
    <x v="5"/>
  </r>
  <r>
    <d v="2024-03-14T00:00:00"/>
    <x v="44"/>
    <s v="Client Manager"/>
    <n v="0.3"/>
    <x v="37"/>
    <s v="Yes"/>
    <s v="Amanda / Shalini re BAS (ARC / Dext)- F/up meeting with Carly"/>
    <x v="2"/>
    <x v="5"/>
  </r>
  <r>
    <d v="2024-03-14T00:00:00"/>
    <x v="44"/>
    <s v="Client Manager"/>
    <n v="0.5"/>
    <x v="16"/>
    <s v="Yes"/>
    <s v="Liaise with Sam on tax rec, dividend statements and GIC"/>
    <x v="2"/>
    <x v="5"/>
  </r>
  <r>
    <d v="2024-03-14T00:00:00"/>
    <x v="44"/>
    <s v="General"/>
    <n v="0.3"/>
    <x v="11"/>
    <s v="No"/>
    <s v="Jury duty - apply for short trial"/>
    <x v="2"/>
    <x v="5"/>
  </r>
  <r>
    <d v="2024-03-14T00:00:00"/>
    <x v="44"/>
    <s v="General"/>
    <n v="1.2"/>
    <x v="11"/>
    <s v="No"/>
    <s v="update Asana before leave, finalise time-sheet, check all outstanding emails, general emails &amp; teams"/>
    <x v="2"/>
    <x v="5"/>
  </r>
  <r>
    <d v="2024-03-14T00:00:00"/>
    <x v="44"/>
    <s v="Management Reporting"/>
    <n v="2.82"/>
    <x v="67"/>
    <s v="Yes"/>
    <m/>
    <x v="2"/>
    <x v="5"/>
  </r>
  <r>
    <d v="2024-03-14T00:00:00"/>
    <x v="44"/>
    <s v="Payroll Processing"/>
    <n v="0.4"/>
    <x v="6"/>
    <s v="Yes"/>
    <s v="Review March payroll"/>
    <x v="2"/>
    <x v="5"/>
  </r>
  <r>
    <d v="2024-03-14T00:00:00"/>
    <x v="45"/>
    <s v="Annual Leave"/>
    <n v="4"/>
    <x v="11"/>
    <s v="No"/>
    <m/>
    <x v="2"/>
    <x v="5"/>
  </r>
  <r>
    <d v="2024-03-14T00:00:00"/>
    <x v="45"/>
    <s v="HR/Recuitment"/>
    <n v="4"/>
    <x v="11"/>
    <s v="No"/>
    <e v="#NAME?"/>
    <x v="2"/>
    <x v="5"/>
  </r>
  <r>
    <d v="2024-03-15T00:00:00"/>
    <x v="0"/>
    <s v="Bookkeeping"/>
    <n v="7.0000000000000007E-2"/>
    <x v="2"/>
    <s v="Yes"/>
    <s v="Email"/>
    <x v="2"/>
    <x v="0"/>
  </r>
  <r>
    <d v="2024-03-15T00:00:00"/>
    <x v="0"/>
    <s v="Bookkeeping"/>
    <n v="0.08"/>
    <x v="0"/>
    <s v="Yes"/>
    <s v="Email/Inbox Management"/>
    <x v="2"/>
    <x v="0"/>
  </r>
  <r>
    <d v="2024-03-15T00:00:00"/>
    <x v="0"/>
    <s v="Bookkeeping"/>
    <n v="0.08"/>
    <x v="1"/>
    <s v="Yes"/>
    <s v="Send RA to suppliers"/>
    <x v="2"/>
    <x v="0"/>
  </r>
  <r>
    <d v="2024-03-15T00:00:00"/>
    <x v="0"/>
    <s v="Bookkeeping"/>
    <n v="0.1"/>
    <x v="12"/>
    <s v="Yes"/>
    <s v="Emails"/>
    <x v="2"/>
    <x v="0"/>
  </r>
  <r>
    <d v="2024-03-15T00:00:00"/>
    <x v="0"/>
    <s v="Bookkeeping"/>
    <n v="0.15"/>
    <x v="5"/>
    <s v="Yes"/>
    <s v="Review"/>
    <x v="2"/>
    <x v="0"/>
  </r>
  <r>
    <d v="2024-03-15T00:00:00"/>
    <x v="0"/>
    <s v="Bookkeeping"/>
    <n v="0.15"/>
    <x v="8"/>
    <s v="Yes"/>
    <s v="Bank Reconciliation"/>
    <x v="2"/>
    <x v="0"/>
  </r>
  <r>
    <d v="2024-03-15T00:00:00"/>
    <x v="0"/>
    <s v="Bookkeeping"/>
    <n v="0.17"/>
    <x v="6"/>
    <s v="Yes"/>
    <s v="Accounts Payable"/>
    <x v="2"/>
    <x v="0"/>
  </r>
  <r>
    <d v="2024-03-15T00:00:00"/>
    <x v="0"/>
    <s v="Bookkeeping"/>
    <n v="0.2"/>
    <x v="1"/>
    <s v="Yes"/>
    <s v="Clear AP inbox"/>
    <x v="2"/>
    <x v="0"/>
  </r>
  <r>
    <d v="2024-03-15T00:00:00"/>
    <x v="0"/>
    <s v="Bookkeeping"/>
    <n v="0.22"/>
    <x v="5"/>
    <s v="Yes"/>
    <s v="AP and Email/Inbox Management"/>
    <x v="2"/>
    <x v="0"/>
  </r>
  <r>
    <d v="2024-03-15T00:00:00"/>
    <x v="0"/>
    <s v="Bookkeeping"/>
    <n v="0.25"/>
    <x v="4"/>
    <s v="Yes"/>
    <s v="Accounts Payable"/>
    <x v="2"/>
    <x v="0"/>
  </r>
  <r>
    <d v="2024-03-15T00:00:00"/>
    <x v="0"/>
    <s v="Bookkeeping"/>
    <n v="0.27"/>
    <x v="0"/>
    <s v="No"/>
    <s v="Update bill/invoices dates prior January 2024"/>
    <x v="2"/>
    <x v="0"/>
  </r>
  <r>
    <d v="2024-03-15T00:00:00"/>
    <x v="0"/>
    <s v="Bookkeeping"/>
    <n v="0.37"/>
    <x v="6"/>
    <s v="Yes"/>
    <s v="Bank Reconciliation"/>
    <x v="2"/>
    <x v="0"/>
  </r>
  <r>
    <d v="2024-03-15T00:00:00"/>
    <x v="0"/>
    <s v="Bookkeeping"/>
    <n v="0.53"/>
    <x v="1"/>
    <s v="Yes"/>
    <s v="Enter bills in Xero and Process batch payment"/>
    <x v="2"/>
    <x v="0"/>
  </r>
  <r>
    <d v="2024-03-15T00:00:00"/>
    <x v="0"/>
    <s v="Bookkeeping"/>
    <n v="0.55000000000000004"/>
    <x v="9"/>
    <s v="Yes"/>
    <s v="Accounts Payable"/>
    <x v="2"/>
    <x v="0"/>
  </r>
  <r>
    <d v="2024-03-15T00:00:00"/>
    <x v="0"/>
    <s v="Bookkeeping"/>
    <n v="0.62"/>
    <x v="1"/>
    <s v="Yes"/>
    <s v="Process batch payment"/>
    <x v="2"/>
    <x v="0"/>
  </r>
  <r>
    <d v="2024-03-15T00:00:00"/>
    <x v="0"/>
    <s v="Bookkeeping"/>
    <n v="0.87"/>
    <x v="5"/>
    <s v="Yes"/>
    <s v="Accounts Payable"/>
    <x v="2"/>
    <x v="0"/>
  </r>
  <r>
    <d v="2024-03-15T00:00:00"/>
    <x v="0"/>
    <s v="Bookkeeping"/>
    <n v="1.17"/>
    <x v="9"/>
    <s v="Yes"/>
    <s v="AP and Email/Inbox Management"/>
    <x v="2"/>
    <x v="0"/>
  </r>
  <r>
    <d v="2024-03-15T00:00:00"/>
    <x v="0"/>
    <s v="Bookkeeping"/>
    <n v="1.38"/>
    <x v="0"/>
    <s v="No"/>
    <s v="Merge duplicate contacts"/>
    <x v="2"/>
    <x v="0"/>
  </r>
  <r>
    <d v="2024-03-15T00:00:00"/>
    <x v="0"/>
    <s v="General"/>
    <n v="0.25"/>
    <x v="11"/>
    <s v="No"/>
    <s v="Afternoon Break"/>
    <x v="2"/>
    <x v="0"/>
  </r>
  <r>
    <d v="2024-03-15T00:00:00"/>
    <x v="0"/>
    <s v="General"/>
    <n v="0.25"/>
    <x v="11"/>
    <s v="No"/>
    <s v="Morning Break"/>
    <x v="2"/>
    <x v="0"/>
  </r>
  <r>
    <d v="2024-03-15T00:00:00"/>
    <x v="0"/>
    <s v="Learning &amp; Development"/>
    <n v="0.13"/>
    <x v="11"/>
    <s v="No"/>
    <s v="Cyber Security Training"/>
    <x v="2"/>
    <x v="0"/>
  </r>
  <r>
    <d v="2024-03-15T00:00:00"/>
    <x v="0"/>
    <s v="Payroll Processing"/>
    <n v="0.15"/>
    <x v="13"/>
    <s v="Yes"/>
    <m/>
    <x v="2"/>
    <x v="0"/>
  </r>
  <r>
    <d v="2024-03-15T00:00:00"/>
    <x v="1"/>
    <s v="P&amp;C Advisory - Group"/>
    <n v="0.92"/>
    <x v="14"/>
    <s v="Yes"/>
    <s v="Data review for employee pulse check Correspondence re. performance reviews"/>
    <x v="2"/>
    <x v="0"/>
  </r>
  <r>
    <d v="2024-03-15T00:00:00"/>
    <x v="1"/>
    <s v="P&amp;C Advisory - Nederman PT"/>
    <n v="0.5"/>
    <x v="14"/>
    <s v="Yes"/>
    <s v="Call with manager re. people issues"/>
    <x v="2"/>
    <x v="0"/>
  </r>
  <r>
    <d v="2024-03-15T00:00:00"/>
    <x v="1"/>
    <s v="P&amp;C Advisory - Nordfab"/>
    <n v="0.67"/>
    <x v="14"/>
    <s v="Yes"/>
    <s v="Phone screens for Sales Rep role Correspondence with staff member re. resourcing "/>
    <x v="2"/>
    <x v="0"/>
  </r>
  <r>
    <d v="2024-03-15T00:00:00"/>
    <x v="2"/>
    <s v="Annual Leave"/>
    <n v="4"/>
    <x v="11"/>
    <s v="No"/>
    <m/>
    <x v="2"/>
    <x v="0"/>
  </r>
  <r>
    <d v="2024-03-15T00:00:00"/>
    <x v="2"/>
    <s v="Bookkeeping"/>
    <n v="0.42"/>
    <x v="67"/>
    <s v="Yes"/>
    <s v="emails, note interest to be withheld for this month per Lea-Anne, check interest payment schedule with Tim, update contact details"/>
    <x v="2"/>
    <x v="0"/>
  </r>
  <r>
    <d v="2024-03-15T00:00:00"/>
    <x v="2"/>
    <s v="Bookkeeping"/>
    <n v="0.85"/>
    <x v="67"/>
    <s v="Yes"/>
    <m/>
    <x v="2"/>
    <x v="0"/>
  </r>
  <r>
    <d v="2024-03-15T00:00:00"/>
    <x v="2"/>
    <s v="Bookkeeping"/>
    <n v="0.97"/>
    <x v="58"/>
    <s v="Yes"/>
    <m/>
    <x v="2"/>
    <x v="0"/>
  </r>
  <r>
    <d v="2024-03-15T00:00:00"/>
    <x v="2"/>
    <s v="General"/>
    <n v="0.6"/>
    <x v="11"/>
    <s v="No"/>
    <s v="chats re staff concerns, Asana, etc"/>
    <x v="2"/>
    <x v="0"/>
  </r>
  <r>
    <d v="2024-03-15T00:00:00"/>
    <x v="2"/>
    <s v="General"/>
    <n v="1.18"/>
    <x v="11"/>
    <s v="No"/>
    <m/>
    <x v="2"/>
    <x v="0"/>
  </r>
  <r>
    <d v="2024-03-15T00:00:00"/>
    <x v="3"/>
    <s v="Business Development"/>
    <n v="9"/>
    <x v="11"/>
    <s v="No"/>
    <s v="screen through existing processes to filter through what to keep and delete  start of video and manual edits "/>
    <x v="2"/>
    <x v="0"/>
  </r>
  <r>
    <d v="2024-03-15T00:00:00"/>
    <x v="4"/>
    <s v="General"/>
    <n v="8"/>
    <x v="11"/>
    <s v="No"/>
    <m/>
    <x v="2"/>
    <x v="0"/>
  </r>
  <r>
    <d v="2024-03-15T00:00:00"/>
    <x v="5"/>
    <s v="Bookkeeping"/>
    <n v="0.83"/>
    <x v="15"/>
    <s v="Yes"/>
    <s v="Leave reports and balances"/>
    <x v="2"/>
    <x v="0"/>
  </r>
  <r>
    <d v="2024-03-15T00:00:00"/>
    <x v="5"/>
    <s v="Bookkeeping"/>
    <n v="1.6"/>
    <x v="15"/>
    <s v="Yes"/>
    <s v="Processing of reimbursement to be included in the EFT weekly lists"/>
    <x v="2"/>
    <x v="0"/>
  </r>
  <r>
    <d v="2024-03-15T00:00:00"/>
    <x v="5"/>
    <s v="Bookkeeping"/>
    <n v="1.67"/>
    <x v="15"/>
    <s v="Yes"/>
    <s v="Posting of invoices"/>
    <x v="2"/>
    <x v="0"/>
  </r>
  <r>
    <d v="2024-03-15T00:00:00"/>
    <x v="5"/>
    <s v="Bookkeeping"/>
    <n v="1.77"/>
    <x v="15"/>
    <s v="Yes"/>
    <s v="Email Management"/>
    <x v="2"/>
    <x v="0"/>
  </r>
  <r>
    <d v="2024-03-15T00:00:00"/>
    <x v="5"/>
    <s v="Bookkeeping"/>
    <n v="2.4"/>
    <x v="15"/>
    <s v="Yes"/>
    <s v="Amend James' comments for committed cost"/>
    <x v="2"/>
    <x v="0"/>
  </r>
  <r>
    <d v="2024-03-15T00:00:00"/>
    <x v="6"/>
    <s v="Automations - Pinnacle"/>
    <n v="8"/>
    <x v="11"/>
    <s v="No"/>
    <s v="March 15 XeroDownloadReportsAutomation - added check app state for currency in Balance Sheet Sequence as some entities do not have currency option - replaced 3 navigate browser activities with set text and send hotkey activities for flexibility and accuracy - added Delete Files in the Downloads folder - tested the bot, checked for errors, and provided a workaround by adjusting the activities - waiting for Mark's update regarding a workaround for this error in VM: Cannot bring the target application in the foreground because the Windows session is locked."/>
    <x v="2"/>
    <x v="0"/>
  </r>
  <r>
    <d v="2024-03-15T00:00:00"/>
    <x v="7"/>
    <s v="Budget - Monthly"/>
    <n v="0.02"/>
    <x v="117"/>
    <s v="No"/>
    <m/>
    <x v="2"/>
    <x v="0"/>
  </r>
  <r>
    <d v="2024-03-15T00:00:00"/>
    <x v="7"/>
    <s v="Budget - Monthly"/>
    <n v="0.02"/>
    <x v="118"/>
    <s v="No"/>
    <m/>
    <x v="2"/>
    <x v="0"/>
  </r>
  <r>
    <d v="2024-03-15T00:00:00"/>
    <x v="7"/>
    <s v="Budget - Monthly"/>
    <n v="0.02"/>
    <x v="119"/>
    <s v="No"/>
    <m/>
    <x v="2"/>
    <x v="0"/>
  </r>
  <r>
    <d v="2024-03-15T00:00:00"/>
    <x v="7"/>
    <s v="Budget - Monthly"/>
    <n v="0.02"/>
    <x v="120"/>
    <s v="No"/>
    <m/>
    <x v="2"/>
    <x v="0"/>
  </r>
  <r>
    <d v="2024-03-15T00:00:00"/>
    <x v="7"/>
    <s v="Budget - Monthly"/>
    <n v="0.02"/>
    <x v="121"/>
    <s v="No"/>
    <m/>
    <x v="2"/>
    <x v="0"/>
  </r>
  <r>
    <d v="2024-03-15T00:00:00"/>
    <x v="9"/>
    <s v="Automations - Alliance"/>
    <n v="9"/>
    <x v="11"/>
    <s v="No"/>
    <s v="Checking and troubleshooting of concerns for the generated Alliance Dashboard report."/>
    <x v="2"/>
    <x v="0"/>
  </r>
  <r>
    <d v="2024-03-15T00:00:00"/>
    <x v="10"/>
    <s v="Bookkeeping"/>
    <n v="0.08"/>
    <x v="42"/>
    <s v="Yes"/>
    <s v="checking bill payment and bank recon"/>
    <x v="2"/>
    <x v="0"/>
  </r>
  <r>
    <d v="2024-03-15T00:00:00"/>
    <x v="10"/>
    <s v="Bookkeeping"/>
    <n v="1.25"/>
    <x v="23"/>
    <s v="Yes"/>
    <s v="Loading bills, bank recon, AP payment"/>
    <x v="2"/>
    <x v="0"/>
  </r>
  <r>
    <d v="2024-03-15T00:00:00"/>
    <x v="10"/>
    <s v="Bookkeeping"/>
    <n v="2"/>
    <x v="103"/>
    <s v="Yes"/>
    <s v="Pay code creation"/>
    <x v="2"/>
    <x v="0"/>
  </r>
  <r>
    <d v="2024-03-15T00:00:00"/>
    <x v="10"/>
    <s v="Bookkeeping"/>
    <n v="2.25"/>
    <x v="21"/>
    <s v="Yes"/>
    <s v="Loading bills, bank recon"/>
    <x v="2"/>
    <x v="0"/>
  </r>
  <r>
    <d v="2024-03-15T00:00:00"/>
    <x v="10"/>
    <s v="General"/>
    <n v="0.5"/>
    <x v="11"/>
    <s v="No"/>
    <s v="break"/>
    <x v="2"/>
    <x v="0"/>
  </r>
  <r>
    <d v="2024-03-15T00:00:00"/>
    <x v="10"/>
    <s v="Out-of-Scope Services"/>
    <n v="0.17"/>
    <x v="122"/>
    <s v="No"/>
    <s v="Checking bills for Nica's query"/>
    <x v="2"/>
    <x v="0"/>
  </r>
  <r>
    <d v="2024-03-15T00:00:00"/>
    <x v="10"/>
    <s v="Payroll Processing"/>
    <n v="0.57999999999999996"/>
    <x v="61"/>
    <s v="No"/>
    <s v="Checking process for reimbursement journal and super"/>
    <x v="2"/>
    <x v="0"/>
  </r>
  <r>
    <d v="2024-03-15T00:00:00"/>
    <x v="10"/>
    <s v="Payroll Processing"/>
    <n v="1.17"/>
    <x v="61"/>
    <s v="Yes"/>
    <s v="payroll updates, expense disbursements journal, super processing"/>
    <x v="2"/>
    <x v="0"/>
  </r>
  <r>
    <d v="2024-03-15T00:00:00"/>
    <x v="11"/>
    <s v="Annual Leave"/>
    <n v="4"/>
    <x v="11"/>
    <s v="No"/>
    <m/>
    <x v="2"/>
    <x v="0"/>
  </r>
  <r>
    <d v="2024-03-15T00:00:00"/>
    <x v="11"/>
    <s v="General"/>
    <n v="0.25"/>
    <x v="11"/>
    <s v="No"/>
    <s v="break"/>
    <x v="2"/>
    <x v="0"/>
  </r>
  <r>
    <d v="2024-03-15T00:00:00"/>
    <x v="11"/>
    <s v="General"/>
    <n v="0.73"/>
    <x v="11"/>
    <s v="No"/>
    <s v="inbox/ queries/ farewell card for Con"/>
    <x v="2"/>
    <x v="0"/>
  </r>
  <r>
    <d v="2024-03-15T00:00:00"/>
    <x v="11"/>
    <s v="IAS/BAS Preparation &amp; Lodgement - Feb"/>
    <n v="0.93"/>
    <x v="42"/>
    <s v="Yes"/>
    <s v="CM/GST/Financials review"/>
    <x v="2"/>
    <x v="0"/>
  </r>
  <r>
    <d v="2024-03-15T00:00:00"/>
    <x v="11"/>
    <s v="Meetings"/>
    <n v="1.17"/>
    <x v="11"/>
    <s v="No"/>
    <s v="call w/ Con"/>
    <x v="2"/>
    <x v="0"/>
  </r>
  <r>
    <d v="2024-03-15T00:00:00"/>
    <x v="11"/>
    <s v="Payroll Processing"/>
    <n v="0.92"/>
    <x v="15"/>
    <s v="No"/>
    <s v="process handover w/ Rose and Rejie"/>
    <x v="2"/>
    <x v="0"/>
  </r>
  <r>
    <d v="2024-03-15T00:00:00"/>
    <x v="12"/>
    <s v="General"/>
    <n v="9.5"/>
    <x v="11"/>
    <s v="No"/>
    <s v="- ASIC - ATO - Update Zoho clients details - Nick's email management - Newsletter "/>
    <x v="2"/>
    <x v="0"/>
  </r>
  <r>
    <d v="2024-03-15T00:00:00"/>
    <x v="13"/>
    <s v="Bookkeeping"/>
    <n v="0.23"/>
    <x v="30"/>
    <s v="Yes"/>
    <s v="bank recon "/>
    <x v="2"/>
    <x v="0"/>
  </r>
  <r>
    <d v="2024-03-15T00:00:00"/>
    <x v="13"/>
    <s v="Bookkeeping"/>
    <n v="0.5"/>
    <x v="30"/>
    <s v="Yes"/>
    <s v="emails"/>
    <x v="2"/>
    <x v="0"/>
  </r>
  <r>
    <d v="2024-03-15T00:00:00"/>
    <x v="13"/>
    <s v="Bookkeeping"/>
    <n v="0.6"/>
    <x v="29"/>
    <s v="Yes"/>
    <s v="bank recon inbox"/>
    <x v="2"/>
    <x v="0"/>
  </r>
  <r>
    <d v="2024-03-15T00:00:00"/>
    <x v="13"/>
    <s v="Bookkeeping"/>
    <n v="0.88"/>
    <x v="30"/>
    <s v="Yes"/>
    <s v="amex payment"/>
    <x v="2"/>
    <x v="0"/>
  </r>
  <r>
    <d v="2024-03-15T00:00:00"/>
    <x v="13"/>
    <s v="Bookkeeping"/>
    <n v="0.97"/>
    <x v="71"/>
    <s v="Yes"/>
    <s v="bank transaciton"/>
    <x v="2"/>
    <x v="0"/>
  </r>
  <r>
    <d v="2024-03-15T00:00:00"/>
    <x v="13"/>
    <s v="Bookkeeping"/>
    <n v="1.28"/>
    <x v="28"/>
    <s v="Yes"/>
    <s v="bank recon"/>
    <x v="2"/>
    <x v="0"/>
  </r>
  <r>
    <d v="2024-03-15T00:00:00"/>
    <x v="13"/>
    <s v="Bookkeeping"/>
    <n v="1.3"/>
    <x v="72"/>
    <s v="Yes"/>
    <s v="bank recon"/>
    <x v="2"/>
    <x v="0"/>
  </r>
  <r>
    <d v="2024-03-15T00:00:00"/>
    <x v="13"/>
    <s v="Bookkeeping - AP"/>
    <n v="0.87"/>
    <x v="31"/>
    <s v="Yes"/>
    <s v="ap batch report"/>
    <x v="2"/>
    <x v="0"/>
  </r>
  <r>
    <d v="2024-03-15T00:00:00"/>
    <x v="13"/>
    <s v="Bookkeeping - AP"/>
    <n v="0.87"/>
    <x v="31"/>
    <s v="Yes"/>
    <s v="export aba files"/>
    <x v="2"/>
    <x v="0"/>
  </r>
  <r>
    <d v="2024-03-15T00:00:00"/>
    <x v="13"/>
    <s v="General"/>
    <n v="0.5"/>
    <x v="11"/>
    <s v="No"/>
    <s v="break"/>
    <x v="2"/>
    <x v="0"/>
  </r>
  <r>
    <d v="2024-03-15T00:00:00"/>
    <x v="14"/>
    <s v="Bookkeeping"/>
    <n v="0.25"/>
    <x v="32"/>
    <s v="Yes"/>
    <s v="Checking payments received, drafting email"/>
    <x v="2"/>
    <x v="0"/>
  </r>
  <r>
    <d v="2024-03-15T00:00:00"/>
    <x v="14"/>
    <s v="Bookkeeping"/>
    <n v="0.33"/>
    <x v="32"/>
    <s v="No"/>
    <s v="Updating the handover form "/>
    <x v="2"/>
    <x v="0"/>
  </r>
  <r>
    <d v="2024-03-15T00:00:00"/>
    <x v="14"/>
    <s v="Bookkeeping"/>
    <n v="1.38"/>
    <x v="73"/>
    <s v="Yes"/>
    <s v="BAnk recs"/>
    <x v="2"/>
    <x v="0"/>
  </r>
  <r>
    <d v="2024-03-15T00:00:00"/>
    <x v="14"/>
    <s v="Bookkeeping"/>
    <n v="1.7"/>
    <x v="73"/>
    <s v="Yes"/>
    <s v="Recording of invoices, Bank recs"/>
    <x v="2"/>
    <x v="0"/>
  </r>
  <r>
    <d v="2024-03-15T00:00:00"/>
    <x v="14"/>
    <s v="General"/>
    <n v="0.25"/>
    <x v="11"/>
    <s v="No"/>
    <s v="Checking emails, asana,"/>
    <x v="2"/>
    <x v="0"/>
  </r>
  <r>
    <d v="2024-03-15T00:00:00"/>
    <x v="14"/>
    <s v="Management Reporting"/>
    <n v="0.78"/>
    <x v="25"/>
    <s v="Yes"/>
    <s v="Cashflow updates"/>
    <x v="2"/>
    <x v="0"/>
  </r>
  <r>
    <d v="2024-03-15T00:00:00"/>
    <x v="14"/>
    <s v="Payroll Processing"/>
    <n v="1.17"/>
    <x v="34"/>
    <s v="Yes"/>
    <s v="Checking emails, saving reports, PAYG Rec"/>
    <x v="2"/>
    <x v="0"/>
  </r>
  <r>
    <d v="2024-03-15T00:00:00"/>
    <x v="14"/>
    <s v="Payroll Processing"/>
    <n v="2.13"/>
    <x v="34"/>
    <s v="Yes"/>
    <s v="Checking employee payroll"/>
    <x v="2"/>
    <x v="0"/>
  </r>
  <r>
    <d v="2024-03-15T00:00:00"/>
    <x v="15"/>
    <s v="Bookkeeping"/>
    <n v="2.2799999999999998"/>
    <x v="90"/>
    <s v="Yes"/>
    <s v="review loan balances"/>
    <x v="2"/>
    <x v="0"/>
  </r>
  <r>
    <d v="2024-03-15T00:00:00"/>
    <x v="15"/>
    <s v="Bookkeeping"/>
    <n v="2.88"/>
    <x v="90"/>
    <s v="Yes"/>
    <s v="review of loan balances"/>
    <x v="2"/>
    <x v="0"/>
  </r>
  <r>
    <d v="2024-03-15T00:00:00"/>
    <x v="15"/>
    <s v="Client Meeting"/>
    <n v="0.47"/>
    <x v="18"/>
    <s v="No"/>
    <s v="respond to email"/>
    <x v="2"/>
    <x v="0"/>
  </r>
  <r>
    <d v="2024-03-15T00:00:00"/>
    <x v="15"/>
    <s v="General"/>
    <n v="0.25"/>
    <x v="11"/>
    <s v="No"/>
    <s v="paid break"/>
    <x v="2"/>
    <x v="0"/>
  </r>
  <r>
    <d v="2024-03-15T00:00:00"/>
    <x v="15"/>
    <s v="General"/>
    <n v="0.38"/>
    <x v="11"/>
    <s v="No"/>
    <s v="chat with Kate, chat with JIm for assistance"/>
    <x v="2"/>
    <x v="0"/>
  </r>
  <r>
    <d v="2024-03-15T00:00:00"/>
    <x v="15"/>
    <s v="General"/>
    <n v="0.43"/>
    <x v="11"/>
    <s v="No"/>
    <s v="emails, asana, xpm, read emails"/>
    <x v="2"/>
    <x v="0"/>
  </r>
  <r>
    <d v="2024-03-15T00:00:00"/>
    <x v="15"/>
    <s v="General"/>
    <n v="0.62"/>
    <x v="11"/>
    <s v="No"/>
    <s v="chat with Kate - re spectrum chat with Rose re LoC  chat with Jim on Spaceful"/>
    <x v="2"/>
    <x v="0"/>
  </r>
  <r>
    <d v="2024-03-15T00:00:00"/>
    <x v="15"/>
    <s v="Meetings"/>
    <n v="0.73"/>
    <x v="11"/>
    <s v="No"/>
    <s v="client engagement meeting"/>
    <x v="2"/>
    <x v="0"/>
  </r>
  <r>
    <d v="2024-03-15T00:00:00"/>
    <x v="16"/>
    <s v="Bookkeeping"/>
    <n v="0.37"/>
    <x v="1"/>
    <s v="Yes"/>
    <s v="Payroll Tax"/>
    <x v="2"/>
    <x v="0"/>
  </r>
  <r>
    <d v="2024-03-15T00:00:00"/>
    <x v="16"/>
    <s v="Bookkeeping"/>
    <n v="4.63"/>
    <x v="35"/>
    <s v="Yes"/>
    <m/>
    <x v="2"/>
    <x v="0"/>
  </r>
  <r>
    <d v="2024-03-15T00:00:00"/>
    <x v="16"/>
    <s v="Meetings"/>
    <n v="0.65"/>
    <x v="11"/>
    <s v="No"/>
    <s v="Team RJ"/>
    <x v="2"/>
    <x v="0"/>
  </r>
  <r>
    <d v="2024-03-15T00:00:00"/>
    <x v="16"/>
    <s v="Payroll Processing"/>
    <n v="0.33"/>
    <x v="75"/>
    <s v="Yes"/>
    <s v="Payroll 15th"/>
    <x v="2"/>
    <x v="0"/>
  </r>
  <r>
    <d v="2024-03-15T00:00:00"/>
    <x v="16"/>
    <s v="Payroll Processing"/>
    <n v="0.95"/>
    <x v="1"/>
    <s v="Yes"/>
    <m/>
    <x v="2"/>
    <x v="0"/>
  </r>
  <r>
    <d v="2024-03-15T00:00:00"/>
    <x v="16"/>
    <s v="Payroll Processing"/>
    <n v="1.1200000000000001"/>
    <x v="75"/>
    <s v="Yes"/>
    <s v="Payroll 15th. Emails and Queries"/>
    <x v="2"/>
    <x v="0"/>
  </r>
  <r>
    <d v="2024-03-15T00:00:00"/>
    <x v="18"/>
    <s v="Bookkeeping"/>
    <n v="0.13"/>
    <x v="39"/>
    <s v="Yes"/>
    <m/>
    <x v="2"/>
    <x v="0"/>
  </r>
  <r>
    <d v="2024-03-15T00:00:00"/>
    <x v="18"/>
    <s v="Bookkeeping"/>
    <n v="0.25"/>
    <x v="36"/>
    <s v="Yes"/>
    <m/>
    <x v="2"/>
    <x v="0"/>
  </r>
  <r>
    <d v="2024-03-15T00:00:00"/>
    <x v="18"/>
    <s v="Bookkeeping"/>
    <n v="0.5"/>
    <x v="37"/>
    <s v="Yes"/>
    <s v="AP items, bank recon"/>
    <x v="2"/>
    <x v="0"/>
  </r>
  <r>
    <d v="2024-03-15T00:00:00"/>
    <x v="18"/>
    <s v="Bookkeeping"/>
    <n v="0.5"/>
    <x v="38"/>
    <s v="Yes"/>
    <m/>
    <x v="2"/>
    <x v="0"/>
  </r>
  <r>
    <d v="2024-03-15T00:00:00"/>
    <x v="18"/>
    <s v="Bookkeeping"/>
    <n v="0.56999999999999995"/>
    <x v="40"/>
    <s v="Yes"/>
    <s v="Client query on employee final pay"/>
    <x v="2"/>
    <x v="0"/>
  </r>
  <r>
    <d v="2024-03-15T00:00:00"/>
    <x v="18"/>
    <s v="Bookkeeping"/>
    <n v="1.47"/>
    <x v="40"/>
    <s v="Yes"/>
    <s v="AP items, attending to client queries"/>
    <x v="2"/>
    <x v="0"/>
  </r>
  <r>
    <d v="2024-03-15T00:00:00"/>
    <x v="18"/>
    <s v="Bookkeeping"/>
    <n v="1.78"/>
    <x v="40"/>
    <s v="Yes"/>
    <m/>
    <x v="2"/>
    <x v="0"/>
  </r>
  <r>
    <d v="2024-03-15T00:00:00"/>
    <x v="18"/>
    <s v="Bookkeeping"/>
    <n v="2.13"/>
    <x v="27"/>
    <s v="Yes"/>
    <m/>
    <x v="2"/>
    <x v="0"/>
  </r>
  <r>
    <d v="2024-03-15T00:00:00"/>
    <x v="18"/>
    <s v="Meetings"/>
    <n v="0.5"/>
    <x v="11"/>
    <s v="No"/>
    <s v="Team Weekly Catch-up"/>
    <x v="2"/>
    <x v="0"/>
  </r>
  <r>
    <d v="2024-03-15T00:00:00"/>
    <x v="18"/>
    <s v="Payroll Processing"/>
    <n v="0.17"/>
    <x v="37"/>
    <s v="Yes"/>
    <m/>
    <x v="2"/>
    <x v="0"/>
  </r>
  <r>
    <d v="2024-03-15T00:00:00"/>
    <x v="19"/>
    <s v="Automations - Surefire"/>
    <n v="8"/>
    <x v="11"/>
    <s v="No"/>
    <s v="SureFire Services - Automation"/>
    <x v="2"/>
    <x v="0"/>
  </r>
  <r>
    <d v="2024-03-15T00:00:00"/>
    <x v="20"/>
    <s v="Automations"/>
    <n v="8"/>
    <x v="11"/>
    <s v="No"/>
    <m/>
    <x v="2"/>
    <x v="0"/>
  </r>
  <r>
    <d v="2024-03-15T00:00:00"/>
    <x v="21"/>
    <s v="Sick Leave"/>
    <n v="8"/>
    <x v="11"/>
    <s v="No"/>
    <s v="Sick Leave"/>
    <x v="2"/>
    <x v="0"/>
  </r>
  <r>
    <d v="2024-03-15T00:00:00"/>
    <x v="22"/>
    <s v="Bookkeeping"/>
    <n v="0.17"/>
    <x v="20"/>
    <s v="Yes"/>
    <s v="Import early bank transactions and reconcile to balance bank account"/>
    <x v="2"/>
    <x v="0"/>
  </r>
  <r>
    <d v="2024-03-15T00:00:00"/>
    <x v="22"/>
    <s v="Bookkeeping"/>
    <n v="0.25"/>
    <x v="44"/>
    <s v="Yes"/>
    <s v="Remove ABA file, check payables etc."/>
    <x v="2"/>
    <x v="0"/>
  </r>
  <r>
    <d v="2024-03-15T00:00:00"/>
    <x v="22"/>
    <s v="Bookkeeping"/>
    <n v="0.95"/>
    <x v="50"/>
    <s v="Yes"/>
    <s v="Intercompany loan reconciliation across group"/>
    <x v="2"/>
    <x v="0"/>
  </r>
  <r>
    <d v="2024-03-15T00:00:00"/>
    <x v="22"/>
    <s v="Client Admin"/>
    <n v="0.18"/>
    <x v="11"/>
    <s v="No"/>
    <s v="Follow up invoices Spectrum and Prime"/>
    <x v="2"/>
    <x v="0"/>
  </r>
  <r>
    <d v="2024-03-15T00:00:00"/>
    <x v="22"/>
    <s v="Client Manager"/>
    <n v="0.13"/>
    <x v="103"/>
    <s v="Yes"/>
    <s v="Add ABN to file Invite Eric to Hubdoc Update Hubdoc email address Email to Eric"/>
    <x v="2"/>
    <x v="0"/>
  </r>
  <r>
    <d v="2024-03-15T00:00:00"/>
    <x v="22"/>
    <s v="Client Manager"/>
    <n v="0.38"/>
    <x v="86"/>
    <s v="Yes"/>
    <m/>
    <x v="2"/>
    <x v="0"/>
  </r>
  <r>
    <d v="2024-03-15T00:00:00"/>
    <x v="22"/>
    <s v="Client Manager"/>
    <n v="1.3"/>
    <x v="44"/>
    <s v="Yes"/>
    <s v="Pricing tool add projects W/comp policy and reconcile , amortise insurance  Process for adding to pricing tool"/>
    <x v="2"/>
    <x v="0"/>
  </r>
  <r>
    <d v="2024-03-15T00:00:00"/>
    <x v="22"/>
    <s v="Client Meeting"/>
    <n v="0.5"/>
    <x v="34"/>
    <s v="Yes"/>
    <s v="Town Hall meeting"/>
    <x v="2"/>
    <x v="0"/>
  </r>
  <r>
    <d v="2024-03-15T00:00:00"/>
    <x v="22"/>
    <s v="General"/>
    <n v="2.25"/>
    <x v="11"/>
    <s v="No"/>
    <s v="Catch up with Ali, Carly, meet Waf, general emails Follow up CJs Nowra BAS signatures Josh Eaton authorise contacts on Trust for portal Check LM portal access"/>
    <x v="2"/>
    <x v="0"/>
  </r>
  <r>
    <d v="2024-03-15T00:00:00"/>
    <x v="22"/>
    <s v="Meetings"/>
    <n v="1"/>
    <x v="11"/>
    <s v="No"/>
    <s v="Client Engagement team meeting and catch up wtih Nica re Spectrum loans "/>
    <x v="2"/>
    <x v="0"/>
  </r>
  <r>
    <d v="2024-03-15T00:00:00"/>
    <x v="23"/>
    <s v="Client Meeting"/>
    <n v="0.22"/>
    <x v="92"/>
    <s v="No"/>
    <s v="Email and checking of refund"/>
    <x v="2"/>
    <x v="0"/>
  </r>
  <r>
    <d v="2024-03-15T00:00:00"/>
    <x v="23"/>
    <s v="General"/>
    <n v="0.12"/>
    <x v="11"/>
    <s v="No"/>
    <s v="XPM"/>
    <x v="2"/>
    <x v="0"/>
  </r>
  <r>
    <d v="2024-03-15T00:00:00"/>
    <x v="23"/>
    <s v="General"/>
    <n v="0.25"/>
    <x v="11"/>
    <s v="No"/>
    <s v=" MORNING Break: 15 mins coffee breaks as paid per Labor Code of the Philippines, Article 85."/>
    <x v="2"/>
    <x v="0"/>
  </r>
  <r>
    <d v="2024-03-15T00:00:00"/>
    <x v="23"/>
    <s v="General"/>
    <n v="0.25"/>
    <x v="11"/>
    <s v="No"/>
    <s v="Afternoon Break: 15 mins coffee breaks as paid per Labor Code of the Philippines, Article 85."/>
    <x v="2"/>
    <x v="0"/>
  </r>
  <r>
    <d v="2024-03-15T00:00:00"/>
    <x v="23"/>
    <s v="General"/>
    <n v="3.12"/>
    <x v="11"/>
    <s v="No"/>
    <s v="lost internet connection and had a power interruption. While waiting for everything to get back, I just cleaned my computer desk and read offline emails."/>
    <x v="2"/>
    <x v="0"/>
  </r>
  <r>
    <d v="2024-03-15T00:00:00"/>
    <x v="23"/>
    <s v="IAS/BAS Preparation &amp; Lodgement - Feb"/>
    <n v="0.08"/>
    <x v="116"/>
    <s v="Yes"/>
    <m/>
    <x v="2"/>
    <x v="0"/>
  </r>
  <r>
    <d v="2024-03-15T00:00:00"/>
    <x v="23"/>
    <s v="IAS/BAS Preparation &amp; Lodgement - Feb"/>
    <n v="0.3"/>
    <x v="92"/>
    <s v="Yes"/>
    <s v="Further digging of variance"/>
    <x v="2"/>
    <x v="0"/>
  </r>
  <r>
    <d v="2024-03-15T00:00:00"/>
    <x v="23"/>
    <s v="IAS/BAS Preparation &amp; Lodgement - Feb"/>
    <n v="1.03"/>
    <x v="92"/>
    <s v="Yes"/>
    <s v="BAS"/>
    <x v="2"/>
    <x v="0"/>
  </r>
  <r>
    <d v="2024-03-15T00:00:00"/>
    <x v="23"/>
    <s v="IAS/BAS Preparation &amp; Lodgement - Oct-Dec"/>
    <n v="0.8"/>
    <x v="99"/>
    <s v="Yes"/>
    <s v="Further review of total wages from July to December as per Shalini advised"/>
    <x v="2"/>
    <x v="0"/>
  </r>
  <r>
    <d v="2024-03-15T00:00:00"/>
    <x v="23"/>
    <s v="IAS/BAS Preparation &amp; Lodgement - Oct-Dec"/>
    <n v="1.25"/>
    <x v="99"/>
    <s v="Yes"/>
    <s v="BAS"/>
    <x v="2"/>
    <x v="0"/>
  </r>
  <r>
    <d v="2024-03-15T00:00:00"/>
    <x v="23"/>
    <s v="Learning &amp; Development"/>
    <n v="0.43"/>
    <x v="11"/>
    <s v="No"/>
    <s v="Refreshing/Learning ATO portal and reading emails"/>
    <x v="2"/>
    <x v="0"/>
  </r>
  <r>
    <d v="2024-03-15T00:00:00"/>
    <x v="23"/>
    <s v="Meetings"/>
    <n v="0.17"/>
    <x v="11"/>
    <s v="No"/>
    <s v="Teams catch up with Sherly BAS concern"/>
    <x v="2"/>
    <x v="0"/>
  </r>
  <r>
    <d v="2024-03-15T00:00:00"/>
    <x v="24"/>
    <s v="Bookkeeping"/>
    <n v="0.73"/>
    <x v="55"/>
    <s v="Yes"/>
    <m/>
    <x v="2"/>
    <x v="0"/>
  </r>
  <r>
    <d v="2024-03-15T00:00:00"/>
    <x v="24"/>
    <s v="Bookkeeping"/>
    <n v="6.22"/>
    <x v="15"/>
    <s v="Yes"/>
    <m/>
    <x v="2"/>
    <x v="0"/>
  </r>
  <r>
    <d v="2024-03-15T00:00:00"/>
    <x v="24"/>
    <s v="General"/>
    <n v="0.3"/>
    <x v="11"/>
    <s v="No"/>
    <s v="emails, asana"/>
    <x v="2"/>
    <x v="0"/>
  </r>
  <r>
    <d v="2024-03-15T00:00:00"/>
    <x v="24"/>
    <s v="Meetings"/>
    <n v="0.75"/>
    <x v="11"/>
    <s v="No"/>
    <s v="Team Huddle"/>
    <x v="2"/>
    <x v="0"/>
  </r>
  <r>
    <d v="2024-03-15T00:00:00"/>
    <x v="25"/>
    <s v="Bookkeeping"/>
    <n v="0.75"/>
    <x v="16"/>
    <s v="Yes"/>
    <s v="update to tax rec"/>
    <x v="2"/>
    <x v="0"/>
  </r>
  <r>
    <d v="2024-03-15T00:00:00"/>
    <x v="26"/>
    <s v="Adhoc Support &amp; Advice"/>
    <n v="1"/>
    <x v="15"/>
    <s v="No"/>
    <s v="email clean up"/>
    <x v="2"/>
    <x v="0"/>
  </r>
  <r>
    <d v="2024-03-15T00:00:00"/>
    <x v="26"/>
    <s v="Debt Collection"/>
    <n v="0.5"/>
    <x v="11"/>
    <s v="No"/>
    <s v="review of debtor's list"/>
    <x v="2"/>
    <x v="0"/>
  </r>
  <r>
    <d v="2024-03-15T00:00:00"/>
    <x v="26"/>
    <s v="Debt Collection"/>
    <n v="1"/>
    <x v="11"/>
    <s v="No"/>
    <s v="bi-weekly report"/>
    <x v="2"/>
    <x v="0"/>
  </r>
  <r>
    <d v="2024-03-15T00:00:00"/>
    <x v="26"/>
    <s v="Debt Collection"/>
    <n v="5"/>
    <x v="15"/>
    <s v="Yes"/>
    <m/>
    <x v="2"/>
    <x v="0"/>
  </r>
  <r>
    <d v="2024-03-15T00:00:00"/>
    <x v="26"/>
    <s v="General"/>
    <n v="0.5"/>
    <x v="11"/>
    <s v="No"/>
    <s v="break"/>
    <x v="2"/>
    <x v="0"/>
  </r>
  <r>
    <d v="2024-03-15T00:00:00"/>
    <x v="27"/>
    <s v="Client Meeting"/>
    <n v="8"/>
    <x v="11"/>
    <s v="No"/>
    <s v="last day :( "/>
    <x v="2"/>
    <x v="0"/>
  </r>
  <r>
    <d v="2024-03-15T00:00:00"/>
    <x v="28"/>
    <s v="Bookkeeping"/>
    <n v="0.35"/>
    <x v="57"/>
    <s v="Yes"/>
    <s v="Continuation of Paypal International clearing Check and approved sales in a2x postscript transactions"/>
    <x v="2"/>
    <x v="0"/>
  </r>
  <r>
    <d v="2024-03-15T00:00:00"/>
    <x v="28"/>
    <s v="Bookkeeping"/>
    <n v="2.2000000000000002"/>
    <x v="57"/>
    <s v="Yes"/>
    <s v="Revised the intercompany loan reconciliation. Clearing Account International -Afterpay -Shopify -Klarna Bills raise to xero, postscript transactions Clearing Account International-Paypal "/>
    <x v="2"/>
    <x v="0"/>
  </r>
  <r>
    <d v="2024-03-15T00:00:00"/>
    <x v="28"/>
    <s v="Bookkeeping"/>
    <n v="4.4000000000000004"/>
    <x v="57"/>
    <s v="Yes"/>
    <s v="Email Management Bills raise to xero Bank Reconciliaiton BM and LOC INC Prepared  queries for Corporate Cards  Check and approve sales to a2x Import CBA 7334 and reconciled "/>
    <x v="2"/>
    <x v="0"/>
  </r>
  <r>
    <d v="2024-03-15T00:00:00"/>
    <x v="28"/>
    <s v="General"/>
    <n v="0.5"/>
    <x v="11"/>
    <s v="No"/>
    <s v="Break"/>
    <x v="2"/>
    <x v="0"/>
  </r>
  <r>
    <d v="2024-03-15T00:00:00"/>
    <x v="28"/>
    <s v="Meetings"/>
    <n v="0.55000000000000004"/>
    <x v="11"/>
    <s v="No"/>
    <s v="Huddle"/>
    <x v="2"/>
    <x v="0"/>
  </r>
  <r>
    <d v="2024-03-15T00:00:00"/>
    <x v="29"/>
    <s v="IT"/>
    <n v="9"/>
    <x v="11"/>
    <s v="No"/>
    <s v="Support"/>
    <x v="2"/>
    <x v="0"/>
  </r>
  <r>
    <d v="2024-03-15T00:00:00"/>
    <x v="30"/>
    <s v="Bookkeeping"/>
    <n v="6.55"/>
    <x v="58"/>
    <s v="Yes"/>
    <s v="Email Management Bills Processing Bank Recon AP Pay Run AR - Invoice processing Project Recon"/>
    <x v="2"/>
    <x v="0"/>
  </r>
  <r>
    <d v="2024-03-15T00:00:00"/>
    <x v="30"/>
    <s v="General"/>
    <n v="1.47"/>
    <x v="11"/>
    <s v="No"/>
    <s v="email management asana task clean up catching up from sick leave"/>
    <x v="2"/>
    <x v="0"/>
  </r>
  <r>
    <d v="2024-03-15T00:00:00"/>
    <x v="31"/>
    <s v="Annual Leave"/>
    <n v="8"/>
    <x v="11"/>
    <s v="No"/>
    <s v="VL"/>
    <x v="2"/>
    <x v="0"/>
  </r>
  <r>
    <d v="2024-03-15T00:00:00"/>
    <x v="32"/>
    <s v="Web"/>
    <n v="10"/>
    <x v="11"/>
    <s v="No"/>
    <s v="✅ investigate the discrepancy occured between Zoho and GA   ✅ set hello@dext to receive a copy from the service notification  ✅ CUBPC - Nick requested to get this presentation using Dexterous Group branding  ✅ update the content of the Terms and Conditions page  ✅ remove Maria Con from the website team page  ✅ reconfigured WordFence plugi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remove Jessica Sinclair from the team section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Popup project from AskMarketing  📌 Check the Xero Invoices of Dexterous Group    📝 if the the banner for offering CFO services exist, replace or remove it."/>
    <x v="2"/>
    <x v="0"/>
  </r>
  <r>
    <d v="2024-03-15T00:00:00"/>
    <x v="33"/>
    <s v="Bookkeeping"/>
    <n v="0.5"/>
    <x v="60"/>
    <s v="Yes"/>
    <s v="Processing supplier bills"/>
    <x v="2"/>
    <x v="0"/>
  </r>
  <r>
    <d v="2024-03-15T00:00:00"/>
    <x v="33"/>
    <s v="Bookkeeping"/>
    <n v="0.5"/>
    <x v="79"/>
    <s v="Yes"/>
    <m/>
    <x v="2"/>
    <x v="0"/>
  </r>
  <r>
    <d v="2024-03-15T00:00:00"/>
    <x v="33"/>
    <s v="Bookkeeping"/>
    <n v="1"/>
    <x v="48"/>
    <s v="Yes"/>
    <m/>
    <x v="2"/>
    <x v="0"/>
  </r>
  <r>
    <d v="2024-03-15T00:00:00"/>
    <x v="33"/>
    <s v="Bookkeeping"/>
    <n v="2.5"/>
    <x v="9"/>
    <s v="Yes"/>
    <m/>
    <x v="2"/>
    <x v="0"/>
  </r>
  <r>
    <d v="2024-03-15T00:00:00"/>
    <x v="33"/>
    <s v="General"/>
    <n v="0.5"/>
    <x v="11"/>
    <s v="No"/>
    <s v="HR emails /chat and sprout issue with Z"/>
    <x v="2"/>
    <x v="0"/>
  </r>
  <r>
    <d v="2024-03-15T00:00:00"/>
    <x v="33"/>
    <s v="Payroll Processing"/>
    <n v="0.5"/>
    <x v="89"/>
    <s v="Yes"/>
    <m/>
    <x v="2"/>
    <x v="0"/>
  </r>
  <r>
    <d v="2024-03-15T00:00:00"/>
    <x v="34"/>
    <s v="Learning &amp; Development"/>
    <n v="7.5"/>
    <x v="11"/>
    <s v="No"/>
    <s v="Advisor´s Assembly (Fathom)"/>
    <x v="2"/>
    <x v="0"/>
  </r>
  <r>
    <d v="2024-03-15T00:00:00"/>
    <x v="35"/>
    <s v="Bookkeeping"/>
    <n v="0.15"/>
    <x v="33"/>
    <s v="Yes"/>
    <s v="email"/>
    <x v="2"/>
    <x v="0"/>
  </r>
  <r>
    <d v="2024-03-15T00:00:00"/>
    <x v="35"/>
    <s v="Bookkeeping"/>
    <n v="0.6"/>
    <x v="33"/>
    <s v="Yes"/>
    <s v="BS recs bond"/>
    <x v="2"/>
    <x v="0"/>
  </r>
  <r>
    <d v="2024-03-15T00:00:00"/>
    <x v="35"/>
    <s v="Bookkeeping"/>
    <n v="0.75"/>
    <x v="33"/>
    <s v="No"/>
    <s v="AR process doc update"/>
    <x v="2"/>
    <x v="0"/>
  </r>
  <r>
    <d v="2024-03-15T00:00:00"/>
    <x v="35"/>
    <s v="Bookkeeping"/>
    <n v="0.95"/>
    <x v="62"/>
    <s v="Yes"/>
    <s v="BR, emails"/>
    <x v="2"/>
    <x v="0"/>
  </r>
  <r>
    <d v="2024-03-15T00:00:00"/>
    <x v="35"/>
    <s v="Bookkeeping"/>
    <n v="0.95"/>
    <x v="62"/>
    <s v="Yes"/>
    <s v="Files/AP"/>
    <x v="2"/>
    <x v="0"/>
  </r>
  <r>
    <d v="2024-03-15T00:00:00"/>
    <x v="35"/>
    <s v="Bookkeeping"/>
    <n v="1.28"/>
    <x v="33"/>
    <s v="Yes"/>
    <s v="BS recs Jan"/>
    <x v="2"/>
    <x v="0"/>
  </r>
  <r>
    <d v="2024-03-15T00:00:00"/>
    <x v="35"/>
    <s v="Bookkeeping"/>
    <n v="1.6"/>
    <x v="33"/>
    <s v="Yes"/>
    <s v="BS recs"/>
    <x v="2"/>
    <x v="0"/>
  </r>
  <r>
    <d v="2024-03-15T00:00:00"/>
    <x v="35"/>
    <s v="General"/>
    <n v="1.08"/>
    <x v="11"/>
    <s v="No"/>
    <s v="Wyzed - payroll tax"/>
    <x v="2"/>
    <x v="0"/>
  </r>
  <r>
    <d v="2024-03-15T00:00:00"/>
    <x v="35"/>
    <s v="Meetings"/>
    <n v="0.65"/>
    <x v="11"/>
    <s v="No"/>
    <s v="MDF shadow/handover"/>
    <x v="2"/>
    <x v="0"/>
  </r>
  <r>
    <d v="2024-03-15T00:00:00"/>
    <x v="36"/>
    <s v="Bookkeeping"/>
    <n v="1.57"/>
    <x v="35"/>
    <s v="Yes"/>
    <m/>
    <x v="2"/>
    <x v="0"/>
  </r>
  <r>
    <d v="2024-03-15T00:00:00"/>
    <x v="36"/>
    <s v="Bookkeeping"/>
    <n v="3.08"/>
    <x v="16"/>
    <s v="Yes"/>
    <s v="OMS V25  Bank Recs Checked setup of OMS V25 "/>
    <x v="2"/>
    <x v="0"/>
  </r>
  <r>
    <d v="2024-03-15T00:00:00"/>
    <x v="36"/>
    <s v="General"/>
    <n v="0.32"/>
    <x v="11"/>
    <s v="No"/>
    <s v="dex emails"/>
    <x v="2"/>
    <x v="0"/>
  </r>
  <r>
    <d v="2024-03-15T00:00:00"/>
    <x v="36"/>
    <s v="Sick Leave"/>
    <n v="4"/>
    <x v="11"/>
    <s v="No"/>
    <m/>
    <x v="2"/>
    <x v="0"/>
  </r>
  <r>
    <d v="2024-03-15T00:00:00"/>
    <x v="37"/>
    <s v="General"/>
    <n v="2.65"/>
    <x v="11"/>
    <s v="No"/>
    <s v="Team huddle XPM set up request BDO request Admin requests Invoice reporting building"/>
    <x v="2"/>
    <x v="0"/>
  </r>
  <r>
    <d v="2024-03-15T00:00:00"/>
    <x v="37"/>
    <s v="General"/>
    <n v="5.38"/>
    <x v="11"/>
    <s v="No"/>
    <s v="AU payroll Accounts inbox maintenance BIR Adhoc  Coaching with Lindsay Final finance handover"/>
    <x v="2"/>
    <x v="0"/>
  </r>
  <r>
    <d v="2024-03-15T00:00:00"/>
    <x v="38"/>
    <s v="Bookkeeping"/>
    <n v="1.92"/>
    <x v="15"/>
    <s v="Yes"/>
    <s v="Average Payable and Receivable days FY 2023 vs 2024"/>
    <x v="2"/>
    <x v="0"/>
  </r>
  <r>
    <d v="2024-03-15T00:00:00"/>
    <x v="38"/>
    <s v="Bookkeeping"/>
    <n v="7.67"/>
    <x v="15"/>
    <s v="Yes"/>
    <m/>
    <x v="2"/>
    <x v="0"/>
  </r>
  <r>
    <d v="2024-03-15T00:00:00"/>
    <x v="38"/>
    <s v="Client Meeting"/>
    <n v="0.57999999999999996"/>
    <x v="15"/>
    <s v="Yes"/>
    <s v="Weekly Huddle"/>
    <x v="2"/>
    <x v="0"/>
  </r>
  <r>
    <d v="2024-03-15T00:00:00"/>
    <x v="39"/>
    <s v="Bookkeeping"/>
    <n v="0.32"/>
    <x v="72"/>
    <s v="Yes"/>
    <s v="Add notes to bank statement for Gerardo to enter"/>
    <x v="2"/>
    <x v="0"/>
  </r>
  <r>
    <d v="2024-03-15T00:00:00"/>
    <x v="39"/>
    <s v="Bookkeeping"/>
    <n v="0.35"/>
    <x v="28"/>
    <s v="Yes"/>
    <s v="Add notes to bank statement for Gerardo to enter"/>
    <x v="2"/>
    <x v="0"/>
  </r>
  <r>
    <d v="2024-03-15T00:00:00"/>
    <x v="39"/>
    <s v="Bookkeeping"/>
    <n v="0.8"/>
    <x v="71"/>
    <s v="Yes"/>
    <s v="Add notes to bank statement for Gerardo to enter, queries from Gerardo"/>
    <x v="2"/>
    <x v="0"/>
  </r>
  <r>
    <d v="2024-03-15T00:00:00"/>
    <x v="39"/>
    <s v="Client Meeting"/>
    <n v="0.67"/>
    <x v="15"/>
    <s v="Yes"/>
    <s v="Team Catch up and farewell for Con"/>
    <x v="2"/>
    <x v="0"/>
  </r>
  <r>
    <d v="2024-03-15T00:00:00"/>
    <x v="39"/>
    <s v="General"/>
    <n v="0.5"/>
    <x v="11"/>
    <s v="No"/>
    <s v="Break"/>
    <x v="2"/>
    <x v="0"/>
  </r>
  <r>
    <d v="2024-03-15T00:00:00"/>
    <x v="39"/>
    <s v="General"/>
    <n v="0.75"/>
    <x v="11"/>
    <s v="No"/>
    <s v="Create a list of tasks for handover Process docs for handover"/>
    <x v="2"/>
    <x v="0"/>
  </r>
  <r>
    <d v="2024-03-15T00:00:00"/>
    <x v="39"/>
    <s v="Meetings"/>
    <n v="1.92"/>
    <x v="11"/>
    <s v="No"/>
    <s v="Call with Gerardo re his query on bank recon Pelan Team huddle Update asana and emails"/>
    <x v="2"/>
    <x v="0"/>
  </r>
  <r>
    <d v="2024-03-15T00:00:00"/>
    <x v="39"/>
    <s v="Payroll Processing"/>
    <n v="0.18"/>
    <x v="39"/>
    <s v="Yes"/>
    <s v="Load ABA file, message Shalini re ATO ICA nil balance"/>
    <x v="2"/>
    <x v="0"/>
  </r>
  <r>
    <d v="2024-03-15T00:00:00"/>
    <x v="39"/>
    <s v="Payroll Processing"/>
    <n v="0.4"/>
    <x v="15"/>
    <s v="Yes"/>
    <s v="Update lastpass password and authenticator"/>
    <x v="2"/>
    <x v="0"/>
  </r>
  <r>
    <d v="2024-03-15T00:00:00"/>
    <x v="39"/>
    <s v="Payroll Processing"/>
    <n v="0.48"/>
    <x v="34"/>
    <s v="Yes"/>
    <s v="Discussion with Guia re payroll inbox management queries"/>
    <x v="2"/>
    <x v="0"/>
  </r>
  <r>
    <d v="2024-03-15T00:00:00"/>
    <x v="39"/>
    <s v="Payroll Processing"/>
    <n v="0.6"/>
    <x v="15"/>
    <s v="Yes"/>
    <s v="Report request from Adrienne - hours of worked report CY21-22"/>
    <x v="2"/>
    <x v="0"/>
  </r>
  <r>
    <d v="2024-03-15T00:00:00"/>
    <x v="39"/>
    <s v="Payroll Processing"/>
    <n v="1.03"/>
    <x v="15"/>
    <s v="Yes"/>
    <s v="Handover with Xavi and Rej"/>
    <x v="2"/>
    <x v="0"/>
  </r>
  <r>
    <d v="2024-03-15T00:00:00"/>
    <x v="40"/>
    <s v="Bookkeeping"/>
    <n v="0.3"/>
    <x v="16"/>
    <s v="Yes"/>
    <s v="Check query from Logika and Sylvie re reconciling tax accounts Enter journal at 1 July 2023 to reconcile tax accounts and email to Sylvie and Logika my reasoning"/>
    <x v="2"/>
    <x v="0"/>
  </r>
  <r>
    <d v="2024-03-15T00:00:00"/>
    <x v="40"/>
    <s v="Bookkeeping"/>
    <n v="1"/>
    <x v="16"/>
    <s v="Yes"/>
    <s v="Trying to reconcile opening balance of proivision for income tax at 1/7/2020"/>
    <x v="2"/>
    <x v="0"/>
  </r>
  <r>
    <d v="2024-03-15T00:00:00"/>
    <x v="41"/>
    <s v="Bookkeeping"/>
    <n v="0.33"/>
    <x v="47"/>
    <s v="Yes"/>
    <s v="Bank rec"/>
    <x v="2"/>
    <x v="0"/>
  </r>
  <r>
    <d v="2024-03-15T00:00:00"/>
    <x v="41"/>
    <s v="Bookkeeping"/>
    <n v="0.6"/>
    <x v="36"/>
    <s v="Yes"/>
    <s v="AP and bank rec review"/>
    <x v="2"/>
    <x v="0"/>
  </r>
  <r>
    <d v="2024-03-15T00:00:00"/>
    <x v="41"/>
    <s v="Bookkeeping"/>
    <n v="0.73"/>
    <x v="47"/>
    <s v="Yes"/>
    <s v="Import bank transactions and reconcile Review accounts"/>
    <x v="2"/>
    <x v="0"/>
  </r>
  <r>
    <d v="2024-03-15T00:00:00"/>
    <x v="41"/>
    <s v="Bookkeeping"/>
    <n v="1.65"/>
    <x v="16"/>
    <s v="Yes"/>
    <m/>
    <x v="2"/>
    <x v="0"/>
  </r>
  <r>
    <d v="2024-03-15T00:00:00"/>
    <x v="41"/>
    <s v="Bookkeeping"/>
    <n v="2.08"/>
    <x v="16"/>
    <s v="Yes"/>
    <s v="Prepare employee expense reports"/>
    <x v="2"/>
    <x v="0"/>
  </r>
  <r>
    <d v="2024-03-15T00:00:00"/>
    <x v="41"/>
    <s v="General"/>
    <n v="0.5"/>
    <x v="11"/>
    <s v="No"/>
    <s v="Paid break"/>
    <x v="2"/>
    <x v="0"/>
  </r>
  <r>
    <d v="2024-03-15T00:00:00"/>
    <x v="41"/>
    <s v="Meetings"/>
    <n v="0.5"/>
    <x v="11"/>
    <s v="No"/>
    <s v="Team RJ huddle"/>
    <x v="2"/>
    <x v="0"/>
  </r>
  <r>
    <d v="2024-03-15T00:00:00"/>
    <x v="41"/>
    <s v="Payroll Processing"/>
    <n v="0.05"/>
    <x v="47"/>
    <s v="Yes"/>
    <s v="Send out payslip and file STP"/>
    <x v="2"/>
    <x v="0"/>
  </r>
  <r>
    <d v="2024-03-15T00:00:00"/>
    <x v="41"/>
    <s v="Payroll Processing"/>
    <n v="1.45"/>
    <x v="63"/>
    <s v="Yes"/>
    <s v="Gross wage and AL balance reconciliation STP reconciliation and filing Sent out payslip Walkthrough with Cess"/>
    <x v="2"/>
    <x v="0"/>
  </r>
  <r>
    <d v="2024-03-15T00:00:00"/>
    <x v="41"/>
    <s v="Payroll Processing - Senior"/>
    <n v="0.18"/>
    <x v="40"/>
    <s v="Yes"/>
    <s v="Payroll review"/>
    <x v="2"/>
    <x v="0"/>
  </r>
  <r>
    <d v="2024-03-15T00:00:00"/>
    <x v="42"/>
    <s v="Client Manager"/>
    <n v="0.25"/>
    <x v="39"/>
    <s v="Yes"/>
    <s v="Respond to queries from team"/>
    <x v="2"/>
    <x v="0"/>
  </r>
  <r>
    <d v="2024-03-15T00:00:00"/>
    <x v="42"/>
    <s v="Client Manager"/>
    <n v="0.33"/>
    <x v="33"/>
    <s v="Yes"/>
    <s v="Various emails to Cee/Shalisa re payment, setup payee, upload same etc"/>
    <x v="2"/>
    <x v="0"/>
  </r>
  <r>
    <d v="2024-03-15T00:00:00"/>
    <x v="42"/>
    <s v="Client Manager"/>
    <n v="0.33"/>
    <x v="69"/>
    <s v="Yes"/>
    <s v="Phone call with Lewie re ATO nomination. Liaise with Sam re same. Send email to Lewie"/>
    <x v="2"/>
    <x v="0"/>
  </r>
  <r>
    <d v="2024-03-15T00:00:00"/>
    <x v="42"/>
    <s v="Client Manager"/>
    <n v="0.33"/>
    <x v="82"/>
    <s v="Yes"/>
    <s v="Process monthly payroll for March 2024. STP filing, email payslips."/>
    <x v="2"/>
    <x v="0"/>
  </r>
  <r>
    <d v="2024-03-15T00:00:00"/>
    <x v="42"/>
    <s v="Client Manager"/>
    <n v="1"/>
    <x v="85"/>
    <s v="Yes"/>
    <s v="Update budget in Xero, update budget WPS for wages. Send email to Kerry re meeting time for March meeting"/>
    <x v="2"/>
    <x v="0"/>
  </r>
  <r>
    <d v="2024-03-15T00:00:00"/>
    <x v="42"/>
    <s v="Client Manager"/>
    <n v="2"/>
    <x v="102"/>
    <s v="Yes"/>
    <s v="Upload payments and email Alan/Catherine. Bank rec for March 2024. Supplier statement reconciliation as at 29.02.2024. "/>
    <x v="2"/>
    <x v="0"/>
  </r>
  <r>
    <d v="2024-03-15T00:00:00"/>
    <x v="42"/>
    <s v="General"/>
    <n v="0.5"/>
    <x v="11"/>
    <s v="No"/>
    <s v="BAS/IAS workflow, chase LM/team. Gen re Energy Vault call, etc"/>
    <x v="2"/>
    <x v="0"/>
  </r>
  <r>
    <d v="2024-03-15T00:00:00"/>
    <x v="42"/>
    <s v="General"/>
    <n v="1"/>
    <x v="11"/>
    <s v="No"/>
    <s v="Referral agreement for Arc Tax. Meeting with Jordan re template. Send draft to Nick for review, send out to James"/>
    <x v="2"/>
    <x v="0"/>
  </r>
  <r>
    <d v="2024-03-15T00:00:00"/>
    <x v="42"/>
    <s v="IAS/BAS Preparation &amp; Lodgement - Feb"/>
    <n v="0.17"/>
    <x v="15"/>
    <s v="Yes"/>
    <s v="Review of BAS for 3rd tie. Send draft for client review"/>
    <x v="2"/>
    <x v="0"/>
  </r>
  <r>
    <d v="2024-03-15T00:00:00"/>
    <x v="42"/>
    <s v="IAS/BAS Preparation &amp; Lodgement - Feb"/>
    <n v="0.17"/>
    <x v="92"/>
    <s v="Yes"/>
    <s v="Attend to email from James re BAS refund"/>
    <x v="2"/>
    <x v="0"/>
  </r>
  <r>
    <d v="2024-03-15T00:00:00"/>
    <x v="42"/>
    <s v="IAS/BAS Preparation &amp; Lodgement - Feb"/>
    <n v="0.17"/>
    <x v="116"/>
    <s v="Yes"/>
    <s v="Feb 2024 IAS review and lodgement"/>
    <x v="2"/>
    <x v="0"/>
  </r>
  <r>
    <d v="2024-03-15T00:00:00"/>
    <x v="42"/>
    <s v="IAS/BAS Preparation &amp; Lodgement - Oct-Dec"/>
    <n v="0.33"/>
    <x v="99"/>
    <s v="Yes"/>
    <s v="Dec 2023 quarter BAS review and lodgement"/>
    <x v="2"/>
    <x v="0"/>
  </r>
  <r>
    <d v="2024-03-15T00:00:00"/>
    <x v="42"/>
    <s v="Meetings"/>
    <n v="0.5"/>
    <x v="11"/>
    <s v="No"/>
    <s v="CET meeting"/>
    <x v="2"/>
    <x v="0"/>
  </r>
  <r>
    <d v="2024-03-15T00:00:00"/>
    <x v="43"/>
    <s v="Bookkeeping"/>
    <n v="8.5500000000000007"/>
    <x v="15"/>
    <s v="Yes"/>
    <s v="Cash flow, Month end Dashboard, Meeting with AP"/>
    <x v="2"/>
    <x v="0"/>
  </r>
  <r>
    <d v="2024-03-15T00:00:00"/>
    <x v="45"/>
    <s v="HR/Recuitment"/>
    <n v="4"/>
    <x v="11"/>
    <s v="No"/>
    <e v="#NAME?"/>
    <x v="2"/>
    <x v="0"/>
  </r>
  <r>
    <d v="2024-03-15T00:00:00"/>
    <x v="45"/>
    <s v="HR/Recuitment"/>
    <n v="4"/>
    <x v="11"/>
    <s v="No"/>
    <e v="#NAME?"/>
    <x v="2"/>
    <x v="0"/>
  </r>
  <r>
    <d v="2024-03-18T00:00:00"/>
    <x v="0"/>
    <s v="Bookkeeping"/>
    <n v="0.05"/>
    <x v="5"/>
    <s v="Yes"/>
    <s v="Email"/>
    <x v="3"/>
    <x v="2"/>
  </r>
  <r>
    <d v="2024-03-18T00:00:00"/>
    <x v="0"/>
    <s v="Bookkeeping"/>
    <n v="0.1"/>
    <x v="4"/>
    <s v="Yes"/>
    <s v="Emails"/>
    <x v="3"/>
    <x v="2"/>
  </r>
  <r>
    <d v="2024-03-18T00:00:00"/>
    <x v="0"/>
    <s v="Bookkeeping"/>
    <n v="0.1"/>
    <x v="12"/>
    <s v="Yes"/>
    <s v="Email"/>
    <x v="3"/>
    <x v="2"/>
  </r>
  <r>
    <d v="2024-03-18T00:00:00"/>
    <x v="0"/>
    <s v="Bookkeeping"/>
    <n v="0.13"/>
    <x v="9"/>
    <s v="Yes"/>
    <s v="Accounts Payable"/>
    <x v="3"/>
    <x v="2"/>
  </r>
  <r>
    <d v="2024-03-18T00:00:00"/>
    <x v="0"/>
    <s v="Bookkeeping"/>
    <n v="0.13"/>
    <x v="8"/>
    <s v="Yes"/>
    <s v="Email"/>
    <x v="3"/>
    <x v="2"/>
  </r>
  <r>
    <d v="2024-03-18T00:00:00"/>
    <x v="0"/>
    <s v="Bookkeeping"/>
    <n v="0.15"/>
    <x v="6"/>
    <s v="Yes"/>
    <s v="Bank Reconciliation and Expense Claims"/>
    <x v="3"/>
    <x v="2"/>
  </r>
  <r>
    <d v="2024-03-18T00:00:00"/>
    <x v="0"/>
    <s v="Bookkeeping"/>
    <n v="0.18"/>
    <x v="5"/>
    <s v="Yes"/>
    <s v="Emails"/>
    <x v="3"/>
    <x v="2"/>
  </r>
  <r>
    <d v="2024-03-18T00:00:00"/>
    <x v="0"/>
    <s v="Bookkeeping"/>
    <n v="0.35"/>
    <x v="6"/>
    <s v="Yes"/>
    <s v="Accounts Payable"/>
    <x v="3"/>
    <x v="2"/>
  </r>
  <r>
    <d v="2024-03-18T00:00:00"/>
    <x v="0"/>
    <s v="Bookkeeping"/>
    <n v="0.37"/>
    <x v="6"/>
    <s v="Yes"/>
    <s v="AP and Expense Claims"/>
    <x v="3"/>
    <x v="2"/>
  </r>
  <r>
    <d v="2024-03-18T00:00:00"/>
    <x v="0"/>
    <s v="Bookkeeping"/>
    <n v="0.47"/>
    <x v="5"/>
    <s v="Yes"/>
    <s v="Bank Reconciliation"/>
    <x v="3"/>
    <x v="2"/>
  </r>
  <r>
    <d v="2024-03-18T00:00:00"/>
    <x v="0"/>
    <s v="Bookkeeping"/>
    <n v="0.63"/>
    <x v="4"/>
    <s v="Yes"/>
    <s v="AP and Bank Reconciliation"/>
    <x v="3"/>
    <x v="2"/>
  </r>
  <r>
    <d v="2024-03-18T00:00:00"/>
    <x v="0"/>
    <s v="Bookkeeping"/>
    <n v="0.65"/>
    <x v="5"/>
    <s v="Yes"/>
    <s v="Check Hunter Premium Loan with Ms. Ann and Mary Ann"/>
    <x v="3"/>
    <x v="2"/>
  </r>
  <r>
    <d v="2024-03-18T00:00:00"/>
    <x v="0"/>
    <s v="Bookkeeping"/>
    <n v="0.77"/>
    <x v="3"/>
    <s v="Yes"/>
    <s v="Bank Reconciliation"/>
    <x v="3"/>
    <x v="2"/>
  </r>
  <r>
    <d v="2024-03-18T00:00:00"/>
    <x v="0"/>
    <s v="Bookkeeping"/>
    <n v="1.1200000000000001"/>
    <x v="9"/>
    <s v="Yes"/>
    <s v="AP and Email/Inbox Management"/>
    <x v="3"/>
    <x v="2"/>
  </r>
  <r>
    <d v="2024-03-18T00:00:00"/>
    <x v="0"/>
    <s v="General"/>
    <n v="0.25"/>
    <x v="11"/>
    <s v="No"/>
    <s v="Afternoon Break"/>
    <x v="3"/>
    <x v="2"/>
  </r>
  <r>
    <d v="2024-03-18T00:00:00"/>
    <x v="0"/>
    <s v="General"/>
    <n v="0.25"/>
    <x v="11"/>
    <s v="No"/>
    <s v="Morning Break"/>
    <x v="3"/>
    <x v="2"/>
  </r>
  <r>
    <d v="2024-03-18T00:00:00"/>
    <x v="0"/>
    <s v="General"/>
    <n v="1.48"/>
    <x v="11"/>
    <s v="No"/>
    <s v="Team Huddle"/>
    <x v="3"/>
    <x v="2"/>
  </r>
  <r>
    <d v="2024-03-18T00:00:00"/>
    <x v="0"/>
    <s v="IAS/BAS Preparation &amp; Lodgement - Feb"/>
    <n v="0.05"/>
    <x v="12"/>
    <s v="Yes"/>
    <s v="BAS - Feb 2024"/>
    <x v="3"/>
    <x v="2"/>
  </r>
  <r>
    <d v="2024-03-18T00:00:00"/>
    <x v="0"/>
    <s v="Payroll Processing"/>
    <n v="0.03"/>
    <x v="6"/>
    <s v="Yes"/>
    <m/>
    <x v="3"/>
    <x v="2"/>
  </r>
  <r>
    <d v="2024-03-18T00:00:00"/>
    <x v="0"/>
    <s v="Payroll Processing"/>
    <n v="0.05"/>
    <x v="8"/>
    <s v="Yes"/>
    <m/>
    <x v="3"/>
    <x v="2"/>
  </r>
  <r>
    <d v="2024-03-18T00:00:00"/>
    <x v="0"/>
    <s v="Payroll Processing"/>
    <n v="0.68"/>
    <x v="8"/>
    <s v="Yes"/>
    <s v="Process Payroll and Set up new employee in Xero"/>
    <x v="3"/>
    <x v="2"/>
  </r>
  <r>
    <d v="2024-03-18T00:00:00"/>
    <x v="1"/>
    <s v="Annual Leave"/>
    <n v="7"/>
    <x v="11"/>
    <s v="No"/>
    <m/>
    <x v="3"/>
    <x v="2"/>
  </r>
  <r>
    <d v="2024-03-18T00:00:00"/>
    <x v="1"/>
    <s v="P&amp;C Advisory - Nordfab"/>
    <n v="0.5"/>
    <x v="14"/>
    <s v="Yes"/>
    <s v="Calls with managers re. conduct issue Coordinating drug/alcohol testing"/>
    <x v="3"/>
    <x v="2"/>
  </r>
  <r>
    <d v="2024-03-18T00:00:00"/>
    <x v="2"/>
    <s v="Bookkeeping"/>
    <n v="0.18"/>
    <x v="5"/>
    <s v="No"/>
    <s v="email Elena"/>
    <x v="3"/>
    <x v="2"/>
  </r>
  <r>
    <d v="2024-03-18T00:00:00"/>
    <x v="2"/>
    <s v="Bookkeeping"/>
    <n v="0.33"/>
    <x v="5"/>
    <s v="No"/>
    <m/>
    <x v="3"/>
    <x v="2"/>
  </r>
  <r>
    <d v="2024-03-18T00:00:00"/>
    <x v="2"/>
    <s v="Bookkeeping"/>
    <n v="0.65"/>
    <x v="5"/>
    <s v="No"/>
    <s v="call with Aileen and Mary re Hunter Loan"/>
    <x v="3"/>
    <x v="2"/>
  </r>
  <r>
    <d v="2024-03-18T00:00:00"/>
    <x v="2"/>
    <s v="Bookkeeping"/>
    <n v="2.7"/>
    <x v="58"/>
    <s v="Yes"/>
    <m/>
    <x v="3"/>
    <x v="2"/>
  </r>
  <r>
    <d v="2024-03-18T00:00:00"/>
    <x v="2"/>
    <s v="General"/>
    <n v="0.1"/>
    <x v="11"/>
    <s v="No"/>
    <m/>
    <x v="3"/>
    <x v="2"/>
  </r>
  <r>
    <d v="2024-03-18T00:00:00"/>
    <x v="2"/>
    <s v="General"/>
    <n v="0.4"/>
    <x v="11"/>
    <s v="No"/>
    <s v="emails, assist with investigation on query re client"/>
    <x v="3"/>
    <x v="2"/>
  </r>
  <r>
    <d v="2024-03-18T00:00:00"/>
    <x v="2"/>
    <s v="General"/>
    <n v="0.47"/>
    <x v="11"/>
    <s v="No"/>
    <s v="chats re staff concerns"/>
    <x v="3"/>
    <x v="2"/>
  </r>
  <r>
    <d v="2024-03-18T00:00:00"/>
    <x v="2"/>
    <s v="General"/>
    <n v="0.97"/>
    <x v="11"/>
    <s v="No"/>
    <s v="Review TS, Asana, Sprout, check attendance for March 1-15 and follow up with team on missing logs, chats, emails, etc"/>
    <x v="3"/>
    <x v="2"/>
  </r>
  <r>
    <d v="2024-03-18T00:00:00"/>
    <x v="2"/>
    <s v="General"/>
    <n v="0.98"/>
    <x v="56"/>
    <s v="No"/>
    <m/>
    <x v="3"/>
    <x v="2"/>
  </r>
  <r>
    <d v="2024-03-18T00:00:00"/>
    <x v="2"/>
    <s v="Meetings"/>
    <n v="1.28"/>
    <x v="11"/>
    <s v="No"/>
    <s v="team huddle"/>
    <x v="3"/>
    <x v="2"/>
  </r>
  <r>
    <d v="2024-03-18T00:00:00"/>
    <x v="3"/>
    <s v="Learning &amp; Development"/>
    <n v="9"/>
    <x v="11"/>
    <s v="No"/>
    <s v="Discuss new process request by Kate  begin video/Manual editing / syncing"/>
    <x v="3"/>
    <x v="2"/>
  </r>
  <r>
    <d v="2024-03-18T00:00:00"/>
    <x v="4"/>
    <s v="Meetings"/>
    <n v="8"/>
    <x v="11"/>
    <s v="No"/>
    <m/>
    <x v="3"/>
    <x v="2"/>
  </r>
  <r>
    <d v="2024-03-18T00:00:00"/>
    <x v="5"/>
    <s v="Bookkeeping"/>
    <n v="2.5"/>
    <x v="15"/>
    <s v="Yes"/>
    <s v="Email Management"/>
    <x v="3"/>
    <x v="2"/>
  </r>
  <r>
    <d v="2024-03-18T00:00:00"/>
    <x v="5"/>
    <s v="Bookkeeping"/>
    <n v="5.5"/>
    <x v="15"/>
    <s v="Yes"/>
    <s v="Weekly Payrun"/>
    <x v="3"/>
    <x v="2"/>
  </r>
  <r>
    <d v="2024-03-18T00:00:00"/>
    <x v="6"/>
    <s v="Automations - Pinnacle"/>
    <n v="8"/>
    <x v="11"/>
    <s v="No"/>
    <s v="March 18 XeroDownloadReportsAutomation - Added use browser and refresh browser activities for Google sheet - Updated Uncoded Statement Lines Sequence - The bot can run in the VM unattended but produces blank Excel output per checking the email it sends. Will clarify this with Mark"/>
    <x v="3"/>
    <x v="2"/>
  </r>
  <r>
    <d v="2024-03-18T00:00:00"/>
    <x v="8"/>
    <s v="Automations"/>
    <n v="4.5"/>
    <x v="11"/>
    <s v="No"/>
    <s v="Run Marsill Automation; Run four Alliance automations + AP automation;  Added 4 supplier to Alliance Automation Statements/Credit Adjustments"/>
    <x v="3"/>
    <x v="2"/>
  </r>
  <r>
    <d v="2024-03-18T00:00:00"/>
    <x v="9"/>
    <s v="Automations"/>
    <n v="9.2200000000000006"/>
    <x v="11"/>
    <s v="No"/>
    <s v="Data Matrix Automation Development"/>
    <x v="3"/>
    <x v="2"/>
  </r>
  <r>
    <d v="2024-03-18T00:00:00"/>
    <x v="10"/>
    <s v="Bookkeeping"/>
    <n v="0.17"/>
    <x v="23"/>
    <s v="Yes"/>
    <s v="creating invoice for customer"/>
    <x v="3"/>
    <x v="2"/>
  </r>
  <r>
    <d v="2024-03-18T00:00:00"/>
    <x v="10"/>
    <s v="Bookkeeping"/>
    <n v="0.17"/>
    <x v="85"/>
    <s v="No"/>
    <s v="checking"/>
    <x v="3"/>
    <x v="2"/>
  </r>
  <r>
    <d v="2024-03-18T00:00:00"/>
    <x v="10"/>
    <s v="Bookkeeping"/>
    <n v="0.42"/>
    <x v="22"/>
    <s v="No"/>
    <s v="Checking, reading the procedures for month end"/>
    <x v="3"/>
    <x v="2"/>
  </r>
  <r>
    <d v="2024-03-18T00:00:00"/>
    <x v="10"/>
    <s v="Bookkeeping"/>
    <n v="1.42"/>
    <x v="85"/>
    <s v="Yes"/>
    <s v="Checking account for payroll and other issues"/>
    <x v="3"/>
    <x v="2"/>
  </r>
  <r>
    <d v="2024-03-18T00:00:00"/>
    <x v="10"/>
    <s v="Bookkeeping"/>
    <n v="3.83"/>
    <x v="22"/>
    <s v="Yes"/>
    <s v="Pushing bills from HubDoc, bank recon, BAS journals, BS recs, month end tasks"/>
    <x v="3"/>
    <x v="2"/>
  </r>
  <r>
    <d v="2024-03-18T00:00:00"/>
    <x v="10"/>
    <s v="General"/>
    <n v="0.5"/>
    <x v="11"/>
    <s v="No"/>
    <s v="break"/>
    <x v="3"/>
    <x v="2"/>
  </r>
  <r>
    <d v="2024-03-18T00:00:00"/>
    <x v="10"/>
    <s v="Meetings"/>
    <n v="1.5"/>
    <x v="11"/>
    <s v="No"/>
    <s v="team huddle"/>
    <x v="3"/>
    <x v="2"/>
  </r>
  <r>
    <d v="2024-03-18T00:00:00"/>
    <x v="46"/>
    <s v="CFO Advisory"/>
    <n v="3.5"/>
    <x v="3"/>
    <s v="Yes"/>
    <s v="BIMAH project reconciliation and accounting for special reserve (align financials + reporting) Follow up on outstanding internal transfers Raise intercompany invoice"/>
    <x v="3"/>
    <x v="2"/>
  </r>
  <r>
    <d v="2024-03-18T00:00:00"/>
    <x v="46"/>
    <s v="CFO001 - CFO Services"/>
    <n v="1"/>
    <x v="5"/>
    <s v="Yes"/>
    <s v="Respond to queries TGS/TGSF Loan account rec Check on invoices + follow up with Lynn"/>
    <x v="3"/>
    <x v="2"/>
  </r>
  <r>
    <d v="2024-03-18T00:00:00"/>
    <x v="11"/>
    <s v="Annual Leave"/>
    <n v="4"/>
    <x v="11"/>
    <s v="No"/>
    <m/>
    <x v="3"/>
    <x v="2"/>
  </r>
  <r>
    <d v="2024-03-18T00:00:00"/>
    <x v="11"/>
    <s v="Bookkeeping"/>
    <n v="0.28000000000000003"/>
    <x v="25"/>
    <s v="Yes"/>
    <s v="ptax audit findings"/>
    <x v="3"/>
    <x v="2"/>
  </r>
  <r>
    <d v="2024-03-18T00:00:00"/>
    <x v="11"/>
    <s v="Bookkeeping"/>
    <n v="0.37"/>
    <x v="27"/>
    <s v="Yes"/>
    <s v="emails"/>
    <x v="3"/>
    <x v="2"/>
  </r>
  <r>
    <d v="2024-03-18T00:00:00"/>
    <x v="11"/>
    <s v="General"/>
    <n v="0.25"/>
    <x v="11"/>
    <s v="No"/>
    <s v="break"/>
    <x v="3"/>
    <x v="2"/>
  </r>
  <r>
    <d v="2024-03-18T00:00:00"/>
    <x v="11"/>
    <s v="General"/>
    <n v="0.33"/>
    <x v="11"/>
    <s v="No"/>
    <s v="teams/ queries"/>
    <x v="3"/>
    <x v="2"/>
  </r>
  <r>
    <d v="2024-03-18T00:00:00"/>
    <x v="11"/>
    <s v="General"/>
    <n v="0.72"/>
    <x v="11"/>
    <s v="No"/>
    <s v="emails/ Sprout/ TS/ APE sched/ queries"/>
    <x v="3"/>
    <x v="2"/>
  </r>
  <r>
    <d v="2024-03-18T00:00:00"/>
    <x v="11"/>
    <s v="Meetings"/>
    <n v="1.5"/>
    <x v="11"/>
    <s v="No"/>
    <s v="team huddle"/>
    <x v="3"/>
    <x v="2"/>
  </r>
  <r>
    <d v="2024-03-18T00:00:00"/>
    <x v="11"/>
    <s v="Xero Migration"/>
    <n v="0.55000000000000004"/>
    <x v="106"/>
    <s v="Yes"/>
    <s v="queries/ emails/ contacts"/>
    <x v="3"/>
    <x v="2"/>
  </r>
  <r>
    <d v="2024-03-18T00:00:00"/>
    <x v="12"/>
    <s v="Bookkeeping"/>
    <n v="0.17"/>
    <x v="15"/>
    <s v="Yes"/>
    <e v="#NAME?"/>
    <x v="3"/>
    <x v="2"/>
  </r>
  <r>
    <d v="2024-03-18T00:00:00"/>
    <x v="12"/>
    <s v="General"/>
    <n v="9.5"/>
    <x v="11"/>
    <s v="No"/>
    <s v="- ASIC - Nick's Inbox management - Employee Details Update - Air BnB for the month of April - Travel Agent Follow-up - Zoho update "/>
    <x v="3"/>
    <x v="2"/>
  </r>
  <r>
    <d v="2024-03-18T00:00:00"/>
    <x v="13"/>
    <s v="Bookkeeping"/>
    <n v="1.2"/>
    <x v="29"/>
    <s v="Yes"/>
    <s v="approved ap invoices emails"/>
    <x v="3"/>
    <x v="2"/>
  </r>
  <r>
    <d v="2024-03-18T00:00:00"/>
    <x v="13"/>
    <s v="Bookkeeping"/>
    <n v="2"/>
    <x v="28"/>
    <s v="Yes"/>
    <s v="bank transaction cash clearing IAS"/>
    <x v="3"/>
    <x v="2"/>
  </r>
  <r>
    <d v="2024-03-18T00:00:00"/>
    <x v="13"/>
    <s v="Bookkeeping"/>
    <n v="2.92"/>
    <x v="71"/>
    <s v="Yes"/>
    <s v="AP Invoices"/>
    <x v="3"/>
    <x v="2"/>
  </r>
  <r>
    <d v="2024-03-18T00:00:00"/>
    <x v="13"/>
    <s v="General"/>
    <n v="0.5"/>
    <x v="11"/>
    <s v="No"/>
    <s v="break"/>
    <x v="3"/>
    <x v="2"/>
  </r>
  <r>
    <d v="2024-03-18T00:00:00"/>
    <x v="13"/>
    <s v="Meetings"/>
    <n v="1.38"/>
    <x v="11"/>
    <s v="No"/>
    <s v="team huddle"/>
    <x v="3"/>
    <x v="2"/>
  </r>
  <r>
    <d v="2024-03-18T00:00:00"/>
    <x v="14"/>
    <s v="Bookkeeping"/>
    <n v="0.25"/>
    <x v="25"/>
    <s v="Yes"/>
    <s v="Checking emails, following-up client, exporting IAS "/>
    <x v="3"/>
    <x v="2"/>
  </r>
  <r>
    <d v="2024-03-18T00:00:00"/>
    <x v="14"/>
    <s v="Bookkeeping"/>
    <n v="0.55000000000000004"/>
    <x v="32"/>
    <s v="No"/>
    <s v="Updating hand over form"/>
    <x v="3"/>
    <x v="2"/>
  </r>
  <r>
    <d v="2024-03-18T00:00:00"/>
    <x v="14"/>
    <s v="Bookkeeping"/>
    <n v="0.82"/>
    <x v="73"/>
    <s v="Yes"/>
    <s v="Bank recs queries, bank recs"/>
    <x v="3"/>
    <x v="2"/>
  </r>
  <r>
    <d v="2024-03-18T00:00:00"/>
    <x v="14"/>
    <s v="Bookkeeping"/>
    <n v="1.4"/>
    <x v="32"/>
    <s v="Yes"/>
    <s v="Bank recs, recording of invoices"/>
    <x v="3"/>
    <x v="2"/>
  </r>
  <r>
    <d v="2024-03-18T00:00:00"/>
    <x v="14"/>
    <s v="Bookkeeping"/>
    <n v="2.4300000000000002"/>
    <x v="73"/>
    <s v="Yes"/>
    <s v="Recording of invoices, bank recs"/>
    <x v="3"/>
    <x v="2"/>
  </r>
  <r>
    <d v="2024-03-18T00:00:00"/>
    <x v="14"/>
    <s v="Client Meeting"/>
    <n v="1.05"/>
    <x v="32"/>
    <s v="No"/>
    <s v="Handover to Neeti"/>
    <x v="3"/>
    <x v="2"/>
  </r>
  <r>
    <d v="2024-03-18T00:00:00"/>
    <x v="14"/>
    <s v="General"/>
    <n v="0.5"/>
    <x v="11"/>
    <s v="No"/>
    <s v="Checking emails, timesheet, asana"/>
    <x v="3"/>
    <x v="2"/>
  </r>
  <r>
    <d v="2024-03-18T00:00:00"/>
    <x v="14"/>
    <s v="Meetings"/>
    <n v="1.47"/>
    <x v="11"/>
    <s v="No"/>
    <s v="Team Huddle"/>
    <x v="3"/>
    <x v="2"/>
  </r>
  <r>
    <d v="2024-03-18T00:00:00"/>
    <x v="14"/>
    <s v="Payroll Processing"/>
    <n v="0.35"/>
    <x v="32"/>
    <s v="Yes"/>
    <s v="Payroll"/>
    <x v="3"/>
    <x v="2"/>
  </r>
  <r>
    <d v="2024-03-18T00:00:00"/>
    <x v="15"/>
    <s v="Bookkeeping"/>
    <n v="1.08"/>
    <x v="50"/>
    <s v="Yes"/>
    <s v="review updated loan balances"/>
    <x v="3"/>
    <x v="2"/>
  </r>
  <r>
    <d v="2024-03-18T00:00:00"/>
    <x v="15"/>
    <s v="General"/>
    <n v="0.35"/>
    <x v="11"/>
    <s v="No"/>
    <s v="emails, teams chat, xpm asana"/>
    <x v="3"/>
    <x v="2"/>
  </r>
  <r>
    <d v="2024-03-18T00:00:00"/>
    <x v="15"/>
    <s v="General"/>
    <n v="0.5"/>
    <x v="11"/>
    <s v="No"/>
    <s v="check emails, chat with mark - access for romance was born, follow up yachtlife, "/>
    <x v="3"/>
    <x v="2"/>
  </r>
  <r>
    <d v="2024-03-18T00:00:00"/>
    <x v="15"/>
    <s v="General"/>
    <n v="0.5"/>
    <x v="11"/>
    <s v="No"/>
    <s v="paid break"/>
    <x v="3"/>
    <x v="2"/>
  </r>
  <r>
    <d v="2024-03-18T00:00:00"/>
    <x v="15"/>
    <s v="IAS/BAS Preparation &amp; Lodgement - Mar"/>
    <n v="0.22"/>
    <x v="97"/>
    <s v="Yes"/>
    <s v="march paye fortnightly lodgement"/>
    <x v="3"/>
    <x v="2"/>
  </r>
  <r>
    <d v="2024-03-18T00:00:00"/>
    <x v="15"/>
    <s v="Learning &amp; Development"/>
    <n v="1.95"/>
    <x v="11"/>
    <s v="No"/>
    <s v="process flows"/>
    <x v="3"/>
    <x v="2"/>
  </r>
  <r>
    <d v="2024-03-18T00:00:00"/>
    <x v="15"/>
    <s v="Learning &amp; Development"/>
    <n v="3.05"/>
    <x v="11"/>
    <s v="No"/>
    <s v="trainings, prepare training videos"/>
    <x v="3"/>
    <x v="2"/>
  </r>
  <r>
    <d v="2024-03-18T00:00:00"/>
    <x v="15"/>
    <s v="Payroll Processing"/>
    <n v="0.48"/>
    <x v="23"/>
    <s v="Yes"/>
    <s v="assessment for increase in pay"/>
    <x v="3"/>
    <x v="2"/>
  </r>
  <r>
    <d v="2024-03-18T00:00:00"/>
    <x v="16"/>
    <s v="Bookkeeping"/>
    <n v="3.05"/>
    <x v="35"/>
    <s v="Yes"/>
    <m/>
    <x v="3"/>
    <x v="2"/>
  </r>
  <r>
    <d v="2024-03-18T00:00:00"/>
    <x v="16"/>
    <s v="Payroll Processing"/>
    <n v="0.28000000000000003"/>
    <x v="74"/>
    <s v="Yes"/>
    <s v="Super"/>
    <x v="3"/>
    <x v="2"/>
  </r>
  <r>
    <d v="2024-03-18T00:00:00"/>
    <x v="16"/>
    <s v="Payroll Processing"/>
    <n v="0.62"/>
    <x v="1"/>
    <s v="Yes"/>
    <m/>
    <x v="3"/>
    <x v="2"/>
  </r>
  <r>
    <d v="2024-03-18T00:00:00"/>
    <x v="16"/>
    <s v="Payroll Processing"/>
    <n v="0.68"/>
    <x v="74"/>
    <s v="Yes"/>
    <m/>
    <x v="3"/>
    <x v="2"/>
  </r>
  <r>
    <d v="2024-03-18T00:00:00"/>
    <x v="16"/>
    <s v="Payroll Processing"/>
    <n v="3.48"/>
    <x v="75"/>
    <s v="Yes"/>
    <m/>
    <x v="3"/>
    <x v="2"/>
  </r>
  <r>
    <d v="2024-03-18T00:00:00"/>
    <x v="18"/>
    <s v="Bookkeeping"/>
    <n v="0.23"/>
    <x v="37"/>
    <s v="Yes"/>
    <m/>
    <x v="3"/>
    <x v="2"/>
  </r>
  <r>
    <d v="2024-03-18T00:00:00"/>
    <x v="18"/>
    <s v="Bookkeeping"/>
    <n v="0.47"/>
    <x v="39"/>
    <s v="Yes"/>
    <s v="AP Payments loaded to Payment Logic &amp; Items for reconciliation sent to client, bookes to accounts."/>
    <x v="3"/>
    <x v="2"/>
  </r>
  <r>
    <d v="2024-03-18T00:00:00"/>
    <x v="18"/>
    <s v="Bookkeeping"/>
    <n v="0.67"/>
    <x v="36"/>
    <s v="Yes"/>
    <s v="bank recon, ap items book, invisalign invoices"/>
    <x v="3"/>
    <x v="2"/>
  </r>
  <r>
    <d v="2024-03-18T00:00:00"/>
    <x v="18"/>
    <s v="Bookkeeping"/>
    <n v="0.87"/>
    <x v="27"/>
    <s v="Yes"/>
    <s v="AP Items from mail, Dext Prepare items, bank recon, Payroll fortnight, ap bills sent for approval, email queries"/>
    <x v="3"/>
    <x v="2"/>
  </r>
  <r>
    <d v="2024-03-18T00:00:00"/>
    <x v="18"/>
    <s v="Bookkeeping"/>
    <n v="1"/>
    <x v="39"/>
    <s v="Yes"/>
    <s v="Bank recon, sent items to client for AP, entered all bills to Xero"/>
    <x v="3"/>
    <x v="2"/>
  </r>
  <r>
    <d v="2024-03-18T00:00:00"/>
    <x v="18"/>
    <s v="Bookkeeping"/>
    <n v="1.1000000000000001"/>
    <x v="27"/>
    <s v="Yes"/>
    <m/>
    <x v="3"/>
    <x v="2"/>
  </r>
  <r>
    <d v="2024-03-18T00:00:00"/>
    <x v="18"/>
    <s v="Bookkeeping"/>
    <n v="1.52"/>
    <x v="27"/>
    <s v="Yes"/>
    <s v="Upload CSV items for CC reconcile &amp; sent to client. Update Jan24 profit as per client."/>
    <x v="3"/>
    <x v="2"/>
  </r>
  <r>
    <d v="2024-03-18T00:00:00"/>
    <x v="18"/>
    <s v="Bookkeeping"/>
    <n v="1.75"/>
    <x v="40"/>
    <s v="Yes"/>
    <m/>
    <x v="3"/>
    <x v="2"/>
  </r>
  <r>
    <d v="2024-03-18T00:00:00"/>
    <x v="18"/>
    <s v="General"/>
    <n v="0.4"/>
    <x v="11"/>
    <s v="No"/>
    <m/>
    <x v="3"/>
    <x v="2"/>
  </r>
  <r>
    <d v="2024-03-18T00:00:00"/>
    <x v="19"/>
    <s v="Automations - Surefire"/>
    <n v="8"/>
    <x v="11"/>
    <s v="No"/>
    <s v="Surefire Automation"/>
    <x v="3"/>
    <x v="2"/>
  </r>
  <r>
    <d v="2024-03-18T00:00:00"/>
    <x v="20"/>
    <s v="Annual Leave"/>
    <n v="8"/>
    <x v="11"/>
    <s v="No"/>
    <m/>
    <x v="3"/>
    <x v="2"/>
  </r>
  <r>
    <d v="2024-03-18T00:00:00"/>
    <x v="21"/>
    <s v="Automations"/>
    <n v="8"/>
    <x v="11"/>
    <s v="No"/>
    <s v="Run: Lack of Color Dev: Pinnacle Oporto Automation"/>
    <x v="3"/>
    <x v="2"/>
  </r>
  <r>
    <d v="2024-03-18T00:00:00"/>
    <x v="22"/>
    <s v="Bookkeeping"/>
    <n v="0.33"/>
    <x v="44"/>
    <s v="Yes"/>
    <s v="Finalise AP sheet, email to Zoe"/>
    <x v="3"/>
    <x v="2"/>
  </r>
  <r>
    <d v="2024-03-18T00:00:00"/>
    <x v="22"/>
    <s v="Bookkeeping"/>
    <n v="0.43"/>
    <x v="23"/>
    <s v="Yes"/>
    <s v="Respond to anna email re salary increases Email to Ef re amortisation of income"/>
    <x v="3"/>
    <x v="2"/>
  </r>
  <r>
    <d v="2024-03-18T00:00:00"/>
    <x v="22"/>
    <s v="Bookkeeping"/>
    <n v="0.53"/>
    <x v="44"/>
    <s v="Yes"/>
    <s v="Call with real estate Call to Fortescue Update AP sheet and queries sheet - save to shared drive"/>
    <x v="3"/>
    <x v="2"/>
  </r>
  <r>
    <d v="2024-03-18T00:00:00"/>
    <x v="22"/>
    <s v="Bookkeeping"/>
    <n v="0.7"/>
    <x v="44"/>
    <s v="Yes"/>
    <s v="Reonciliation, update queries sheet, Create bill for additional GST Prepare AP sheet"/>
    <x v="3"/>
    <x v="2"/>
  </r>
  <r>
    <d v="2024-03-18T00:00:00"/>
    <x v="22"/>
    <s v="Client Admin"/>
    <n v="0.68"/>
    <x v="11"/>
    <s v="No"/>
    <s v="Emails, Teams - check Proda access for Donor, review Asana tasks."/>
    <x v="3"/>
    <x v="2"/>
  </r>
  <r>
    <d v="2024-03-18T00:00:00"/>
    <x v="22"/>
    <s v="General"/>
    <n v="0.56999999999999995"/>
    <x v="11"/>
    <s v="No"/>
    <s v="Call with Carly re Ang / super Review Booke.ai and book demo"/>
    <x v="3"/>
    <x v="2"/>
  </r>
  <r>
    <d v="2024-03-18T00:00:00"/>
    <x v="22"/>
    <s v="Learning &amp; Development"/>
    <n v="0.45"/>
    <x v="11"/>
    <s v="No"/>
    <s v="Process for funding"/>
    <x v="3"/>
    <x v="2"/>
  </r>
  <r>
    <d v="2024-03-18T00:00:00"/>
    <x v="22"/>
    <s v="Meetings"/>
    <n v="0.5"/>
    <x v="11"/>
    <s v="No"/>
    <s v="Team meeting"/>
    <x v="3"/>
    <x v="2"/>
  </r>
  <r>
    <d v="2024-03-18T00:00:00"/>
    <x v="22"/>
    <s v="Payroll Processing"/>
    <n v="0.17"/>
    <x v="81"/>
    <s v="Yes"/>
    <s v="Update leave request for Rinka to compassionate leave - check and rerun reports.  Email to Angie"/>
    <x v="3"/>
    <x v="2"/>
  </r>
  <r>
    <d v="2024-03-18T00:00:00"/>
    <x v="22"/>
    <s v="Payroll Processing"/>
    <n v="0.78"/>
    <x v="34"/>
    <s v="Yes"/>
    <s v="Cehck email, update team with Rachele Follow up invoices Check PAYG status on ATO portal"/>
    <x v="3"/>
    <x v="2"/>
  </r>
  <r>
    <d v="2024-03-18T00:00:00"/>
    <x v="22"/>
    <s v="Payroll Processing"/>
    <n v="1.72"/>
    <x v="34"/>
    <s v="Yes"/>
    <s v="Finance team meeting and update budget sheet"/>
    <x v="3"/>
    <x v="2"/>
  </r>
  <r>
    <d v="2024-03-18T00:00:00"/>
    <x v="23"/>
    <s v="Client Meeting"/>
    <n v="0.08"/>
    <x v="111"/>
    <s v="No"/>
    <s v="Attending to queries"/>
    <x v="3"/>
    <x v="2"/>
  </r>
  <r>
    <d v="2024-03-18T00:00:00"/>
    <x v="23"/>
    <s v="Client Meeting"/>
    <n v="0.08"/>
    <x v="42"/>
    <s v="No"/>
    <s v="Team chat and client channel"/>
    <x v="3"/>
    <x v="2"/>
  </r>
  <r>
    <d v="2024-03-18T00:00:00"/>
    <x v="23"/>
    <s v="Client Meeting"/>
    <n v="0.08"/>
    <x v="33"/>
    <s v="No"/>
    <s v="Team chat and client channel"/>
    <x v="3"/>
    <x v="2"/>
  </r>
  <r>
    <d v="2024-03-18T00:00:00"/>
    <x v="23"/>
    <s v="Client Meeting"/>
    <n v="0.1"/>
    <x v="48"/>
    <s v="No"/>
    <s v="Team chat and client channel"/>
    <x v="3"/>
    <x v="2"/>
  </r>
  <r>
    <d v="2024-03-18T00:00:00"/>
    <x v="23"/>
    <s v="Client Meeting"/>
    <n v="0.1"/>
    <x v="90"/>
    <s v="No"/>
    <s v="Team chat and client channel"/>
    <x v="3"/>
    <x v="2"/>
  </r>
  <r>
    <d v="2024-03-18T00:00:00"/>
    <x v="23"/>
    <s v="Client Meeting"/>
    <n v="0.12"/>
    <x v="15"/>
    <s v="Yes"/>
    <s v="Attending to queries"/>
    <x v="3"/>
    <x v="2"/>
  </r>
  <r>
    <d v="2024-03-18T00:00:00"/>
    <x v="23"/>
    <s v="Client Meeting"/>
    <n v="0.2"/>
    <x v="111"/>
    <s v="Yes"/>
    <s v="Meeting with Lindsay"/>
    <x v="3"/>
    <x v="2"/>
  </r>
  <r>
    <d v="2024-03-18T00:00:00"/>
    <x v="23"/>
    <s v="Client Meeting"/>
    <n v="0.22"/>
    <x v="39"/>
    <s v="No"/>
    <s v="Attending to queries and helping Rose about nomination"/>
    <x v="3"/>
    <x v="2"/>
  </r>
  <r>
    <d v="2024-03-18T00:00:00"/>
    <x v="23"/>
    <s v="Client Meeting"/>
    <n v="0.35"/>
    <x v="39"/>
    <s v="No"/>
    <s v="Attending to queries, updating files, checking portal, send an email"/>
    <x v="3"/>
    <x v="2"/>
  </r>
  <r>
    <d v="2024-03-18T00:00:00"/>
    <x v="23"/>
    <s v="Client Meeting"/>
    <n v="0.56999999999999995"/>
    <x v="39"/>
    <s v="Yes"/>
    <s v="Meeting with Rose, RE access ATO code and email compose"/>
    <x v="3"/>
    <x v="2"/>
  </r>
  <r>
    <d v="2024-03-18T00:00:00"/>
    <x v="23"/>
    <s v="Client Meeting"/>
    <n v="1.08"/>
    <x v="1"/>
    <s v="No"/>
    <s v="&gt;call with jeric and helping him about the February 2024 payroll tax exemption. &gt;Read and refresh some territory WA website &gt;Suggestion and propose solution  &gt;Sent an email and copied Shalini &gt;Pasted some WA information link so Jeric might use in future reference."/>
    <x v="3"/>
    <x v="2"/>
  </r>
  <r>
    <d v="2024-03-18T00:00:00"/>
    <x v="23"/>
    <s v="General"/>
    <n v="0.08"/>
    <x v="11"/>
    <s v="No"/>
    <s v="Chat with Mel"/>
    <x v="3"/>
    <x v="2"/>
  </r>
  <r>
    <d v="2024-03-18T00:00:00"/>
    <x v="23"/>
    <s v="General"/>
    <n v="0.22"/>
    <x v="11"/>
    <s v="No"/>
    <s v="Attending to queries"/>
    <x v="3"/>
    <x v="2"/>
  </r>
  <r>
    <d v="2024-03-18T00:00:00"/>
    <x v="23"/>
    <s v="General"/>
    <n v="0.25"/>
    <x v="11"/>
    <s v="No"/>
    <s v="MORNING Break: 15 mins coffee breaks as paid per Labor Code of the Philippines, Article 85."/>
    <x v="3"/>
    <x v="2"/>
  </r>
  <r>
    <d v="2024-03-18T00:00:00"/>
    <x v="23"/>
    <s v="General"/>
    <n v="0.4"/>
    <x v="11"/>
    <s v="No"/>
    <s v="Refreshing Payroll tax - WA rules"/>
    <x v="3"/>
    <x v="2"/>
  </r>
  <r>
    <d v="2024-03-18T00:00:00"/>
    <x v="23"/>
    <s v="General"/>
    <n v="0.85"/>
    <x v="11"/>
    <s v="No"/>
    <s v="Email, Team chat, compose message and Asana updates"/>
    <x v="3"/>
    <x v="2"/>
  </r>
  <r>
    <d v="2024-03-18T00:00:00"/>
    <x v="23"/>
    <s v="IAS/BAS Preparation &amp; Lodgement - Apr-Jun"/>
    <n v="1.5"/>
    <x v="111"/>
    <s v="No"/>
    <s v="FY2017"/>
    <x v="3"/>
    <x v="2"/>
  </r>
  <r>
    <d v="2024-03-18T00:00:00"/>
    <x v="23"/>
    <s v="IAS/BAS Preparation &amp; Lodgement - Feb"/>
    <n v="0.05"/>
    <x v="102"/>
    <s v="No"/>
    <s v="Updating ASANA"/>
    <x v="3"/>
    <x v="2"/>
  </r>
  <r>
    <d v="2024-03-18T00:00:00"/>
    <x v="23"/>
    <s v="IAS/BAS Preparation &amp; Lodgement - Feb"/>
    <n v="0.18"/>
    <x v="12"/>
    <s v="Yes"/>
    <s v="Initial Check, wrong reports"/>
    <x v="3"/>
    <x v="2"/>
  </r>
  <r>
    <d v="2024-03-18T00:00:00"/>
    <x v="23"/>
    <s v="IAS/BAS Preparation &amp; Lodgement - Feb"/>
    <n v="1.38"/>
    <x v="42"/>
    <s v="Yes"/>
    <s v="BAS"/>
    <x v="3"/>
    <x v="2"/>
  </r>
  <r>
    <d v="2024-03-18T00:00:00"/>
    <x v="23"/>
    <s v="Meetings"/>
    <n v="0.13"/>
    <x v="11"/>
    <s v="No"/>
    <s v="catch up with RJ"/>
    <x v="3"/>
    <x v="2"/>
  </r>
  <r>
    <d v="2024-03-18T00:00:00"/>
    <x v="48"/>
    <s v="P&amp;C Advisory"/>
    <n v="1.5"/>
    <x v="34"/>
    <s v="Yes"/>
    <s v="Meeting with MD to discuss redundancy process for employee.  Meeting with MD and employee to discuss redundancy and commencement of consultation process.  Follow up email to employee and MD.  Follow up email to MD and AH re feedback and next steps."/>
    <x v="3"/>
    <x v="2"/>
  </r>
  <r>
    <d v="2024-03-18T00:00:00"/>
    <x v="48"/>
    <s v="P&amp;C Advisory"/>
    <n v="6.5"/>
    <x v="9"/>
    <s v="Yes"/>
    <s v="Check emails and Teams messages. Meetings in office with employees. Review HR KPI's and KPIs for project team, and research good and bad KPIs.  Update employee connect with policy changes, delete old policies and attach new policies for publication.  Review HR Sharepoint drive and clean up HR files.  Send Org chart to Receptionist for Insurance.  Organise exit interview with employee. Send exit interview to GMs for exiting employee, and clear up employee file, send exit checklist to employee."/>
    <x v="3"/>
    <x v="2"/>
  </r>
  <r>
    <d v="2024-03-18T00:00:00"/>
    <x v="24"/>
    <s v="Bookkeeping"/>
    <n v="2.42"/>
    <x v="55"/>
    <s v="Yes"/>
    <m/>
    <x v="3"/>
    <x v="2"/>
  </r>
  <r>
    <d v="2024-03-18T00:00:00"/>
    <x v="24"/>
    <s v="Bookkeeping"/>
    <n v="6.17"/>
    <x v="15"/>
    <s v="Yes"/>
    <m/>
    <x v="3"/>
    <x v="2"/>
  </r>
  <r>
    <d v="2024-03-18T00:00:00"/>
    <x v="24"/>
    <s v="Payroll Processing"/>
    <n v="0.75"/>
    <x v="54"/>
    <s v="Yes"/>
    <m/>
    <x v="3"/>
    <x v="2"/>
  </r>
  <r>
    <d v="2024-03-18T00:00:00"/>
    <x v="26"/>
    <s v="Debt Collection"/>
    <n v="5"/>
    <x v="15"/>
    <s v="Yes"/>
    <m/>
    <x v="3"/>
    <x v="2"/>
  </r>
  <r>
    <d v="2024-03-18T00:00:00"/>
    <x v="26"/>
    <s v="General"/>
    <n v="0.5"/>
    <x v="11"/>
    <s v="No"/>
    <s v="break"/>
    <x v="3"/>
    <x v="2"/>
  </r>
  <r>
    <d v="2024-03-18T00:00:00"/>
    <x v="26"/>
    <s v="General"/>
    <n v="1"/>
    <x v="11"/>
    <s v="No"/>
    <s v="email clean up, asana,"/>
    <x v="3"/>
    <x v="2"/>
  </r>
  <r>
    <d v="2024-03-18T00:00:00"/>
    <x v="26"/>
    <s v="Meetings"/>
    <n v="1.5"/>
    <x v="11"/>
    <s v="No"/>
    <m/>
    <x v="3"/>
    <x v="2"/>
  </r>
  <r>
    <d v="2024-03-18T00:00:00"/>
    <x v="28"/>
    <s v="Bookkeeping"/>
    <n v="0.85"/>
    <x v="57"/>
    <s v="Yes"/>
    <s v="Shopify Installament Clearing  Check and responds email Approving postscript transactions to a2x"/>
    <x v="3"/>
    <x v="2"/>
  </r>
  <r>
    <d v="2024-03-18T00:00:00"/>
    <x v="28"/>
    <s v="Bookkeeping"/>
    <n v="4.3499999999999996"/>
    <x v="57"/>
    <s v="Yes"/>
    <s v="Email Management Bills raise to Xero  Bank reconiciliation BM Check and approving sales to a2x Bank Reconciliation LOC Inc"/>
    <x v="3"/>
    <x v="2"/>
  </r>
  <r>
    <d v="2024-03-18T00:00:00"/>
    <x v="28"/>
    <s v="General"/>
    <n v="0.5"/>
    <x v="11"/>
    <s v="No"/>
    <s v="Break"/>
    <x v="3"/>
    <x v="2"/>
  </r>
  <r>
    <d v="2024-03-18T00:00:00"/>
    <x v="28"/>
    <s v="Learning &amp; Development"/>
    <n v="2.2999999999999998"/>
    <x v="11"/>
    <s v="No"/>
    <s v="Quickbooks training"/>
    <x v="3"/>
    <x v="2"/>
  </r>
  <r>
    <d v="2024-03-18T00:00:00"/>
    <x v="29"/>
    <s v="IT"/>
    <n v="9"/>
    <x v="11"/>
    <s v="No"/>
    <s v="Support with team"/>
    <x v="3"/>
    <x v="2"/>
  </r>
  <r>
    <d v="2024-03-18T00:00:00"/>
    <x v="30"/>
    <s v="Bookkeeping"/>
    <n v="5.38"/>
    <x v="58"/>
    <s v="Yes"/>
    <s v="Email Management Bills Processing AR - Invoice Processing Bank and Credit Card Recon Sending of Unreconciled Credit Card Items to Michell and Nicole "/>
    <x v="3"/>
    <x v="2"/>
  </r>
  <r>
    <d v="2024-03-18T00:00:00"/>
    <x v="30"/>
    <s v="General"/>
    <n v="0.7"/>
    <x v="11"/>
    <s v="No"/>
    <s v="Email Management"/>
    <x v="3"/>
    <x v="2"/>
  </r>
  <r>
    <d v="2024-03-18T00:00:00"/>
    <x v="30"/>
    <s v="Meetings"/>
    <n v="0.62"/>
    <x v="11"/>
    <s v="No"/>
    <s v="TGS - Meeting with Ann and Aileen RE: Investigation of Hunter Premium Loan "/>
    <x v="3"/>
    <x v="2"/>
  </r>
  <r>
    <d v="2024-03-18T00:00:00"/>
    <x v="30"/>
    <s v="Meetings"/>
    <n v="1.47"/>
    <x v="11"/>
    <s v="No"/>
    <s v="Team Ann weekly Huddle"/>
    <x v="3"/>
    <x v="2"/>
  </r>
  <r>
    <d v="2024-03-18T00:00:00"/>
    <x v="31"/>
    <s v="Accounts"/>
    <n v="0.92"/>
    <x v="11"/>
    <s v="No"/>
    <s v="Catch up emails (partial). Coordinate Timesheets.  Write off some invoice as per Nick/Shalini"/>
    <x v="3"/>
    <x v="2"/>
  </r>
  <r>
    <d v="2024-03-18T00:00:00"/>
    <x v="31"/>
    <s v="Accounts"/>
    <n v="1.73"/>
    <x v="11"/>
    <s v="No"/>
    <s v="Catch up emails for Au accounts. Process bills and update bank recs. Setup repeating template updates Quick catch up with RJ Coordination with Shalini re: Earjobs NZ (MS Teams) "/>
    <x v="3"/>
    <x v="2"/>
  </r>
  <r>
    <d v="2024-03-18T00:00:00"/>
    <x v="31"/>
    <s v="Bookkeeping"/>
    <n v="0.42"/>
    <x v="11"/>
    <s v="No"/>
    <s v="Update Ezidebit payments and coordinate with Shalini the code(s)"/>
    <x v="3"/>
    <x v="2"/>
  </r>
  <r>
    <d v="2024-03-18T00:00:00"/>
    <x v="31"/>
    <s v="Bookkeeping"/>
    <n v="0.48"/>
    <x v="11"/>
    <s v="No"/>
    <s v="Process bank recs - for the remaining items with queries to check/verify with."/>
    <x v="3"/>
    <x v="2"/>
  </r>
  <r>
    <d v="2024-03-18T00:00:00"/>
    <x v="31"/>
    <s v="Bookkeeping"/>
    <n v="4.18"/>
    <x v="11"/>
    <s v="No"/>
    <s v="Weekly invoicing - sending to CM for all TS and invoices for the week/fortnightly schedules"/>
    <x v="3"/>
    <x v="2"/>
  </r>
  <r>
    <d v="2024-03-18T00:00:00"/>
    <x v="31"/>
    <s v="Compliance"/>
    <n v="0.35"/>
    <x v="56"/>
    <s v="No"/>
    <s v="2307 preparation for rental payments"/>
    <x v="3"/>
    <x v="2"/>
  </r>
  <r>
    <d v="2024-03-18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rst draft of the design for the newsletter pop-up   🟥 go with the blue green gradient version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cleanse the Zoho CRM Mailing List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Conflict of Interest | Our Obligations - register!  📌 file leave for 25th of March  📌 update Dexterous Values wallpaper  📌 publish a client page in the intranet for The Yacht Life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2"/>
  </r>
  <r>
    <d v="2024-03-18T00:00:00"/>
    <x v="33"/>
    <s v="Bookkeeping"/>
    <n v="0.5"/>
    <x v="60"/>
    <s v="Yes"/>
    <s v="processing supplier bills"/>
    <x v="3"/>
    <x v="2"/>
  </r>
  <r>
    <d v="2024-03-18T00:00:00"/>
    <x v="33"/>
    <s v="Bookkeeping"/>
    <n v="0.5"/>
    <x v="79"/>
    <s v="Yes"/>
    <m/>
    <x v="3"/>
    <x v="2"/>
  </r>
  <r>
    <d v="2024-03-18T00:00:00"/>
    <x v="33"/>
    <s v="Bookkeeping"/>
    <n v="0.5"/>
    <x v="48"/>
    <s v="Yes"/>
    <m/>
    <x v="3"/>
    <x v="2"/>
  </r>
  <r>
    <d v="2024-03-18T00:00:00"/>
    <x v="33"/>
    <s v="Bookkeeping"/>
    <n v="0.5"/>
    <x v="59"/>
    <s v="Yes"/>
    <m/>
    <x v="3"/>
    <x v="2"/>
  </r>
  <r>
    <d v="2024-03-18T00:00:00"/>
    <x v="33"/>
    <s v="Bookkeeping"/>
    <n v="2.5"/>
    <x v="9"/>
    <s v="Yes"/>
    <m/>
    <x v="3"/>
    <x v="2"/>
  </r>
  <r>
    <d v="2024-03-18T00:00:00"/>
    <x v="33"/>
    <s v="Meetings"/>
    <n v="1"/>
    <x v="11"/>
    <s v="No"/>
    <s v="Connected Culture Handover meeting"/>
    <x v="3"/>
    <x v="2"/>
  </r>
  <r>
    <d v="2024-03-18T00:00:00"/>
    <x v="34"/>
    <s v="Client Manager"/>
    <n v="0.62"/>
    <x v="75"/>
    <s v="Yes"/>
    <s v="Emails Review of sales proposal and new contact"/>
    <x v="3"/>
    <x v="2"/>
  </r>
  <r>
    <d v="2024-03-18T00:00:00"/>
    <x v="34"/>
    <s v="Client Manager"/>
    <n v="1.3"/>
    <x v="0"/>
    <s v="No"/>
    <s v="Follow up on tasks and adding steps if needed"/>
    <x v="3"/>
    <x v="2"/>
  </r>
  <r>
    <d v="2024-03-18T00:00:00"/>
    <x v="34"/>
    <s v="General"/>
    <n v="3.08"/>
    <x v="11"/>
    <s v="No"/>
    <s v="Emails, teams, Asana Invoice review Change of settings for OneFocus Teams"/>
    <x v="3"/>
    <x v="2"/>
  </r>
  <r>
    <d v="2024-03-18T00:00:00"/>
    <x v="34"/>
    <s v="Meetings"/>
    <n v="0.28000000000000003"/>
    <x v="11"/>
    <s v="No"/>
    <s v="Weekly Sydney meeting"/>
    <x v="3"/>
    <x v="2"/>
  </r>
  <r>
    <d v="2024-03-18T00:00:00"/>
    <x v="35"/>
    <s v="Bookkeeping"/>
    <n v="0.18"/>
    <x v="33"/>
    <s v="No"/>
    <s v="updating AP proc doc"/>
    <x v="3"/>
    <x v="2"/>
  </r>
  <r>
    <d v="2024-03-18T00:00:00"/>
    <x v="35"/>
    <s v="Bookkeeping"/>
    <n v="0.28000000000000003"/>
    <x v="62"/>
    <s v="Yes"/>
    <s v="email BS Recs query"/>
    <x v="3"/>
    <x v="2"/>
  </r>
  <r>
    <d v="2024-03-18T00:00:00"/>
    <x v="35"/>
    <s v="Bookkeeping"/>
    <n v="0.33"/>
    <x v="33"/>
    <s v="Yes"/>
    <m/>
    <x v="3"/>
    <x v="2"/>
  </r>
  <r>
    <d v="2024-03-18T00:00:00"/>
    <x v="35"/>
    <s v="Bookkeeping"/>
    <n v="1.67"/>
    <x v="33"/>
    <s v="Yes"/>
    <s v="BR"/>
    <x v="3"/>
    <x v="2"/>
  </r>
  <r>
    <d v="2024-03-18T00:00:00"/>
    <x v="35"/>
    <s v="Bookkeeping"/>
    <n v="3.9"/>
    <x v="62"/>
    <s v="Yes"/>
    <s v="email, BR, Sale of MV,  research, files"/>
    <x v="3"/>
    <x v="2"/>
  </r>
  <r>
    <d v="2024-03-18T00:00:00"/>
    <x v="35"/>
    <s v="Meetings"/>
    <n v="1.42"/>
    <x v="11"/>
    <s v="No"/>
    <s v="Team Huddle"/>
    <x v="3"/>
    <x v="2"/>
  </r>
  <r>
    <d v="2024-03-18T00:00:00"/>
    <x v="36"/>
    <s v="Bookkeeping"/>
    <n v="0.22"/>
    <x v="16"/>
    <s v="Yes"/>
    <s v="OMS V25 fup Andrew for the sales coding"/>
    <x v="3"/>
    <x v="2"/>
  </r>
  <r>
    <d v="2024-03-18T00:00:00"/>
    <x v="36"/>
    <s v="Bookkeeping"/>
    <n v="0.37"/>
    <x v="16"/>
    <s v="Yes"/>
    <s v="OMS V25 Sales Invocie"/>
    <x v="3"/>
    <x v="2"/>
  </r>
  <r>
    <d v="2024-03-18T00:00:00"/>
    <x v="36"/>
    <s v="Bookkeeping"/>
    <n v="0.62"/>
    <x v="16"/>
    <s v="Yes"/>
    <s v="Bank recs"/>
    <x v="3"/>
    <x v="2"/>
  </r>
  <r>
    <d v="2024-03-18T00:00:00"/>
    <x v="36"/>
    <s v="Bookkeeping"/>
    <n v="1.08"/>
    <x v="16"/>
    <s v="Yes"/>
    <s v="Moved OMS V25  transactions to USD Xero "/>
    <x v="3"/>
    <x v="2"/>
  </r>
  <r>
    <d v="2024-03-18T00:00:00"/>
    <x v="36"/>
    <s v="Bookkeeping"/>
    <n v="1.4"/>
    <x v="16"/>
    <s v="Yes"/>
    <s v="Moved OMS transaction to the new one"/>
    <x v="3"/>
    <x v="2"/>
  </r>
  <r>
    <d v="2024-03-18T00:00:00"/>
    <x v="36"/>
    <s v="Bookkeeping"/>
    <n v="4.42"/>
    <x v="35"/>
    <s v="Yes"/>
    <m/>
    <x v="3"/>
    <x v="2"/>
  </r>
  <r>
    <d v="2024-03-18T00:00:00"/>
    <x v="36"/>
    <s v="General"/>
    <n v="0.15"/>
    <x v="11"/>
    <s v="No"/>
    <s v="dex emails"/>
    <x v="3"/>
    <x v="2"/>
  </r>
  <r>
    <d v="2024-03-18T00:00:00"/>
    <x v="36"/>
    <s v="Management Reporting"/>
    <n v="0.56999999999999995"/>
    <x v="35"/>
    <s v="Yes"/>
    <s v="Staff travel adj posted"/>
    <x v="3"/>
    <x v="2"/>
  </r>
  <r>
    <d v="2024-03-18T00:00:00"/>
    <x v="37"/>
    <s v="General"/>
    <n v="3.18"/>
    <x v="11"/>
    <s v="No"/>
    <s v="WIP Dashboard Clien referral meeting Catch-up Rose Catch-up Mel Adhoc and admin Capacity file review"/>
    <x v="3"/>
    <x v="2"/>
  </r>
  <r>
    <d v="2024-03-18T00:00:00"/>
    <x v="37"/>
    <s v="General"/>
    <n v="5.85"/>
    <x v="11"/>
    <s v="No"/>
    <s v="Weekly billable reporting XPM timesheet review Refund processing WIP dashboard"/>
    <x v="3"/>
    <x v="2"/>
  </r>
  <r>
    <d v="2024-03-18T00:00:00"/>
    <x v="38"/>
    <s v="Bookkeeping"/>
    <n v="1.55"/>
    <x v="15"/>
    <s v="Yes"/>
    <m/>
    <x v="3"/>
    <x v="2"/>
  </r>
  <r>
    <d v="2024-03-18T00:00:00"/>
    <x v="38"/>
    <s v="Bookkeeping"/>
    <n v="4.12"/>
    <x v="15"/>
    <s v="Yes"/>
    <s v="EFT list review"/>
    <x v="3"/>
    <x v="2"/>
  </r>
  <r>
    <d v="2024-03-18T00:00:00"/>
    <x v="38"/>
    <s v="Client Meeting"/>
    <n v="3.92"/>
    <x v="15"/>
    <s v="Yes"/>
    <m/>
    <x v="3"/>
    <x v="2"/>
  </r>
  <r>
    <d v="2024-03-18T00:00:00"/>
    <x v="39"/>
    <s v="Bookkeeping"/>
    <n v="0.56999999999999995"/>
    <x v="71"/>
    <s v="Yes"/>
    <s v="Assist Gerardo in bills entering"/>
    <x v="3"/>
    <x v="2"/>
  </r>
  <r>
    <d v="2024-03-18T00:00:00"/>
    <x v="39"/>
    <s v="Bookkeeping"/>
    <n v="2.3199999999999998"/>
    <x v="72"/>
    <s v="Yes"/>
    <s v="Shadow Gerardo ng Cash on hand and cash clearing entering and recon"/>
    <x v="3"/>
    <x v="2"/>
  </r>
  <r>
    <d v="2024-03-18T00:00:00"/>
    <x v="39"/>
    <s v="General"/>
    <n v="0.25"/>
    <x v="11"/>
    <s v="No"/>
    <s v="Email Dominic re Harmony Build authorisation to AS 006"/>
    <x v="3"/>
    <x v="2"/>
  </r>
  <r>
    <d v="2024-03-18T00:00:00"/>
    <x v="39"/>
    <s v="General"/>
    <n v="0.35"/>
    <x v="11"/>
    <s v="No"/>
    <s v="Emails and teams messages"/>
    <x v="3"/>
    <x v="2"/>
  </r>
  <r>
    <d v="2024-03-18T00:00:00"/>
    <x v="39"/>
    <s v="General"/>
    <n v="0.5"/>
    <x v="11"/>
    <s v="No"/>
    <s v="Break"/>
    <x v="3"/>
    <x v="2"/>
  </r>
  <r>
    <d v="2024-03-18T00:00:00"/>
    <x v="39"/>
    <s v="General"/>
    <n v="0.52"/>
    <x v="11"/>
    <s v="No"/>
    <s v="Organise tasks for handover"/>
    <x v="3"/>
    <x v="2"/>
  </r>
  <r>
    <d v="2024-03-18T00:00:00"/>
    <x v="39"/>
    <s v="Meetings"/>
    <n v="0.38"/>
    <x v="11"/>
    <s v="No"/>
    <s v="Catch up with Ralph re client comms for handover and who will take over small clients"/>
    <x v="3"/>
    <x v="2"/>
  </r>
  <r>
    <d v="2024-03-18T00:00:00"/>
    <x v="39"/>
    <s v="Meetings"/>
    <n v="0.56999999999999995"/>
    <x v="11"/>
    <s v="No"/>
    <s v="Call with LM re Harmony Build ATO portal access "/>
    <x v="3"/>
    <x v="2"/>
  </r>
  <r>
    <d v="2024-03-18T00:00:00"/>
    <x v="39"/>
    <s v="Payroll Processing"/>
    <n v="0.25"/>
    <x v="15"/>
    <s v="Yes"/>
    <s v="Discussion with Sherly re Andrew's refund"/>
    <x v="3"/>
    <x v="2"/>
  </r>
  <r>
    <d v="2024-03-18T00:00:00"/>
    <x v="39"/>
    <s v="Payroll Processing"/>
    <n v="0.33"/>
    <x v="75"/>
    <s v="Yes"/>
    <s v="Payroll review"/>
    <x v="3"/>
    <x v="2"/>
  </r>
  <r>
    <d v="2024-03-18T00:00:00"/>
    <x v="39"/>
    <s v="Payroll Processing"/>
    <n v="0.6"/>
    <x v="34"/>
    <s v="Yes"/>
    <s v="Handover with Rach - Unapproved/unallocated timesheet report"/>
    <x v="3"/>
    <x v="2"/>
  </r>
  <r>
    <d v="2024-03-18T00:00:00"/>
    <x v="39"/>
    <s v="Payroll Processing"/>
    <n v="0.67"/>
    <x v="34"/>
    <s v="Yes"/>
    <s v="Action payroll inbox Fix managers access - Donna Harrison"/>
    <x v="3"/>
    <x v="2"/>
  </r>
  <r>
    <d v="2024-03-18T00:00:00"/>
    <x v="39"/>
    <s v="Payroll Processing"/>
    <n v="0.72"/>
    <x v="15"/>
    <s v="Yes"/>
    <s v="Action payroll emails  Send Feb24 super to Clarissa for approval LSL claims - Tyler Update query sheet for allowance/pay rate updates"/>
    <x v="3"/>
    <x v="2"/>
  </r>
  <r>
    <d v="2024-03-18T00:00:00"/>
    <x v="41"/>
    <s v="Bookkeeping"/>
    <n v="0.5"/>
    <x v="47"/>
    <s v="Yes"/>
    <s v="Expor reports requested by Sijmon"/>
    <x v="3"/>
    <x v="2"/>
  </r>
  <r>
    <d v="2024-03-18T00:00:00"/>
    <x v="41"/>
    <s v="Bookkeeping"/>
    <n v="0.52"/>
    <x v="36"/>
    <s v="Yes"/>
    <s v="Review accounts transactions Update cashflow file"/>
    <x v="3"/>
    <x v="2"/>
  </r>
  <r>
    <d v="2024-03-18T00:00:00"/>
    <x v="41"/>
    <s v="Bookkeeping"/>
    <n v="0.65"/>
    <x v="16"/>
    <s v="Yes"/>
    <s v="Download and import bank/cc transactions to Xero"/>
    <x v="3"/>
    <x v="2"/>
  </r>
  <r>
    <d v="2024-03-18T00:00:00"/>
    <x v="41"/>
    <s v="Bookkeeping"/>
    <n v="1.1299999999999999"/>
    <x v="36"/>
    <s v="Yes"/>
    <s v="Cashflow update Prepare payables AP and bank rec review"/>
    <x v="3"/>
    <x v="2"/>
  </r>
  <r>
    <d v="2024-03-18T00:00:00"/>
    <x v="41"/>
    <s v="Bookkeeping"/>
    <n v="2.1800000000000002"/>
    <x v="16"/>
    <s v="Yes"/>
    <m/>
    <x v="3"/>
    <x v="2"/>
  </r>
  <r>
    <d v="2024-03-18T00:00:00"/>
    <x v="41"/>
    <s v="Bookkeeping"/>
    <n v="2.68"/>
    <x v="16"/>
    <s v="Yes"/>
    <s v="Inbox mgmt Prepare AP run Bank rec AR/AP"/>
    <x v="3"/>
    <x v="2"/>
  </r>
  <r>
    <d v="2024-03-18T00:00:00"/>
    <x v="41"/>
    <s v="General"/>
    <n v="0.5"/>
    <x v="11"/>
    <s v="No"/>
    <s v="Paid break"/>
    <x v="3"/>
    <x v="2"/>
  </r>
  <r>
    <d v="2024-03-18T00:00:00"/>
    <x v="42"/>
    <s v="Client Manager"/>
    <n v="0.33"/>
    <x v="23"/>
    <s v="Yes"/>
    <s v="Check on ATO portal re ATO payment plan. Send email to Gen to call ATO re updated payment plan"/>
    <x v="3"/>
    <x v="2"/>
  </r>
  <r>
    <d v="2024-03-18T00:00:00"/>
    <x v="42"/>
    <s v="Client Manager"/>
    <n v="0.75"/>
    <x v="36"/>
    <s v="Yes"/>
    <s v="Liaise with Sarah re AMEX balance, ATO payment plan etc. Attend to email from Ish."/>
    <x v="3"/>
    <x v="2"/>
  </r>
  <r>
    <d v="2024-03-18T00:00:00"/>
    <x v="42"/>
    <s v="Client Manager"/>
    <n v="0.75"/>
    <x v="27"/>
    <s v="Yes"/>
    <s v="Review PAYG Withholding Tax for FY 2023 and FY 2024 and email Tom re large PAYG Withholding Payer"/>
    <x v="3"/>
    <x v="2"/>
  </r>
  <r>
    <d v="2024-03-18T00:00:00"/>
    <x v="42"/>
    <s v="Client Manager"/>
    <n v="1"/>
    <x v="82"/>
    <s v="Yes"/>
    <s v="Super rec as at 31.03.2024. Lodge same via SBSCH. Send to David for payment. Follow up on TFN and DOB to finalise Xero file setup"/>
    <x v="3"/>
    <x v="2"/>
  </r>
  <r>
    <d v="2024-03-18T00:00:00"/>
    <x v="42"/>
    <s v="General"/>
    <n v="1.25"/>
    <x v="11"/>
    <s v="No"/>
    <s v="Review Tax folders for the clean up, add comments and respond to Mark's email. Seek further confirmation from Nick re cleaning up the files"/>
    <x v="3"/>
    <x v="2"/>
  </r>
  <r>
    <d v="2024-03-18T00:00:00"/>
    <x v="42"/>
    <s v="General"/>
    <n v="1.5"/>
    <x v="11"/>
    <s v="No"/>
    <s v="Weekly invoicing, Mark for IT issues, teams messages, Nick catchup"/>
    <x v="3"/>
    <x v="2"/>
  </r>
  <r>
    <d v="2024-03-18T00:00:00"/>
    <x v="42"/>
    <s v="IAS/BAS Preparation &amp; Lodgement - Feb"/>
    <n v="0.33"/>
    <x v="42"/>
    <s v="Yes"/>
    <s v="Feb 2024 BAS review &amp; lodgement"/>
    <x v="3"/>
    <x v="2"/>
  </r>
  <r>
    <d v="2024-03-18T00:00:00"/>
    <x v="42"/>
    <s v="IAS/BAS Preparation &amp; Lodgement - Feb"/>
    <n v="0.5"/>
    <x v="92"/>
    <s v="Yes"/>
    <s v="Feb 2024 BAS review &amp; lodgement. Attend to email re BAS refund, suggest ADP paying less as per credit held"/>
    <x v="3"/>
    <x v="2"/>
  </r>
  <r>
    <d v="2024-03-18T00:00:00"/>
    <x v="42"/>
    <s v="IAS/BAS Preparation &amp; Lodgement - Feb"/>
    <n v="0.5"/>
    <x v="92"/>
    <s v="Yes"/>
    <s v="Review payroll for FY 2023, prepare summary and send to James and team re payroll tax for FY 2023, not required as under the threshold but should review for FY 2024"/>
    <x v="3"/>
    <x v="2"/>
  </r>
  <r>
    <d v="2024-03-18T00:00:00"/>
    <x v="42"/>
    <s v="Meetings"/>
    <n v="0.5"/>
    <x v="11"/>
    <s v="No"/>
    <s v="Weekly Sydney meeting"/>
    <x v="3"/>
    <x v="2"/>
  </r>
  <r>
    <d v="2024-03-18T00:00:00"/>
    <x v="43"/>
    <s v="Management Reporting"/>
    <n v="8.3699999999999992"/>
    <x v="15"/>
    <s v="Yes"/>
    <s v="Cashflow, Budget Variance, WIP Analysis, BAS, EBITDA, AP payment shadowing with Charm"/>
    <x v="3"/>
    <x v="2"/>
  </r>
  <r>
    <d v="2024-03-18T00:00:00"/>
    <x v="44"/>
    <s v="Annual Leave"/>
    <n v="7.6"/>
    <x v="11"/>
    <s v="No"/>
    <m/>
    <x v="3"/>
    <x v="2"/>
  </r>
  <r>
    <d v="2024-03-18T00:00:00"/>
    <x v="45"/>
    <s v="HR/Recuitment"/>
    <n v="4"/>
    <x v="11"/>
    <s v="No"/>
    <m/>
    <x v="3"/>
    <x v="2"/>
  </r>
  <r>
    <d v="2024-03-18T00:00:00"/>
    <x v="45"/>
    <s v="HR/Recuitment"/>
    <n v="4"/>
    <x v="11"/>
    <s v="No"/>
    <e v="#NAME?"/>
    <x v="3"/>
    <x v="2"/>
  </r>
  <r>
    <d v="2024-03-19T00:00:00"/>
    <x v="0"/>
    <s v="Bookkeeping"/>
    <n v="7.0000000000000007E-2"/>
    <x v="3"/>
    <s v="Yes"/>
    <s v="Accounts Payable"/>
    <x v="3"/>
    <x v="3"/>
  </r>
  <r>
    <d v="2024-03-19T00:00:00"/>
    <x v="0"/>
    <s v="Bookkeeping"/>
    <n v="0.12"/>
    <x v="1"/>
    <s v="Yes"/>
    <s v="Merge contact in Xero"/>
    <x v="3"/>
    <x v="3"/>
  </r>
  <r>
    <d v="2024-03-19T00:00:00"/>
    <x v="0"/>
    <s v="Bookkeeping"/>
    <n v="0.25"/>
    <x v="6"/>
    <s v="Yes"/>
    <s v="Email/Inbox Management"/>
    <x v="3"/>
    <x v="3"/>
  </r>
  <r>
    <d v="2024-03-19T00:00:00"/>
    <x v="0"/>
    <s v="Bookkeeping"/>
    <n v="0.27"/>
    <x v="5"/>
    <s v="Yes"/>
    <s v="Email/Inbox Management"/>
    <x v="3"/>
    <x v="3"/>
  </r>
  <r>
    <d v="2024-03-19T00:00:00"/>
    <x v="0"/>
    <s v="Bookkeeping"/>
    <n v="0.33"/>
    <x v="9"/>
    <s v="Yes"/>
    <s v="Email/Inbox Management"/>
    <x v="3"/>
    <x v="3"/>
  </r>
  <r>
    <d v="2024-03-19T00:00:00"/>
    <x v="0"/>
    <s v="Bookkeeping"/>
    <n v="0.38"/>
    <x v="6"/>
    <s v="Yes"/>
    <s v="Accounts Payable"/>
    <x v="3"/>
    <x v="3"/>
  </r>
  <r>
    <d v="2024-03-19T00:00:00"/>
    <x v="0"/>
    <s v="Bookkeeping"/>
    <n v="0.38"/>
    <x v="1"/>
    <s v="Yes"/>
    <s v="Clear AP inbox and Submit bills for approval in Xero"/>
    <x v="3"/>
    <x v="3"/>
  </r>
  <r>
    <d v="2024-03-19T00:00:00"/>
    <x v="0"/>
    <s v="Bookkeeping"/>
    <n v="0.52"/>
    <x v="4"/>
    <s v="Yes"/>
    <s v="Accounts Payable"/>
    <x v="3"/>
    <x v="3"/>
  </r>
  <r>
    <d v="2024-03-19T00:00:00"/>
    <x v="0"/>
    <s v="Bookkeeping"/>
    <n v="1"/>
    <x v="9"/>
    <s v="Yes"/>
    <s v="AP and Email/Inbox Management"/>
    <x v="3"/>
    <x v="3"/>
  </r>
  <r>
    <d v="2024-03-19T00:00:00"/>
    <x v="0"/>
    <s v="Bookkeeping"/>
    <n v="1.08"/>
    <x v="5"/>
    <s v="Yes"/>
    <s v="Accounts Payable"/>
    <x v="3"/>
    <x v="3"/>
  </r>
  <r>
    <d v="2024-03-19T00:00:00"/>
    <x v="0"/>
    <s v="Bookkeeping"/>
    <n v="1.1000000000000001"/>
    <x v="0"/>
    <s v="No"/>
    <s v="Update bills/invoices date prior January 2024"/>
    <x v="3"/>
    <x v="3"/>
  </r>
  <r>
    <d v="2024-03-19T00:00:00"/>
    <x v="0"/>
    <s v="Bookkeeping"/>
    <n v="1.85"/>
    <x v="9"/>
    <s v="Yes"/>
    <s v="Accounts Payable"/>
    <x v="3"/>
    <x v="3"/>
  </r>
  <r>
    <d v="2024-03-19T00:00:00"/>
    <x v="0"/>
    <s v="General"/>
    <n v="0.25"/>
    <x v="11"/>
    <s v="No"/>
    <s v="Afternoon Break"/>
    <x v="3"/>
    <x v="3"/>
  </r>
  <r>
    <d v="2024-03-19T00:00:00"/>
    <x v="0"/>
    <s v="General"/>
    <n v="0.25"/>
    <x v="11"/>
    <s v="No"/>
    <s v="Morning Break"/>
    <x v="3"/>
    <x v="3"/>
  </r>
  <r>
    <d v="2024-03-19T00:00:00"/>
    <x v="0"/>
    <s v="IAS/BAS Preparation &amp; Lodgement - Feb"/>
    <n v="0.05"/>
    <x v="12"/>
    <s v="Yes"/>
    <s v="BAS - Feb 2024"/>
    <x v="3"/>
    <x v="3"/>
  </r>
  <r>
    <d v="2024-03-19T00:00:00"/>
    <x v="0"/>
    <s v="Payroll Processing"/>
    <n v="0.1"/>
    <x v="8"/>
    <s v="Yes"/>
    <m/>
    <x v="3"/>
    <x v="3"/>
  </r>
  <r>
    <d v="2024-03-19T00:00:00"/>
    <x v="1"/>
    <s v="P&amp;C Advisory"/>
    <n v="2.33"/>
    <x v="34"/>
    <s v="Yes"/>
    <s v="Call with Ops Manager Call with P &amp; C Coordinator Call with MD re. redundancy Review of  Update termination letter and develop redundancy script"/>
    <x v="3"/>
    <x v="3"/>
  </r>
  <r>
    <d v="2024-03-19T00:00:00"/>
    <x v="1"/>
    <s v="P&amp;C Advisory - Group"/>
    <n v="0.25"/>
    <x v="14"/>
    <s v="Yes"/>
    <s v="Draft bonus letter"/>
    <x v="3"/>
    <x v="3"/>
  </r>
  <r>
    <d v="2024-03-19T00:00:00"/>
    <x v="1"/>
    <s v="P&amp;C Advisory - Nederman Mikropul"/>
    <n v="1.33"/>
    <x v="14"/>
    <s v="Yes"/>
    <s v="Recruitment - Service Technician (PD and advertisement) Call with MD Review of candidate for Assembly/Warehouse role"/>
    <x v="3"/>
    <x v="3"/>
  </r>
  <r>
    <d v="2024-03-19T00:00:00"/>
    <x v="1"/>
    <s v="P&amp;C Advisory - Nederman PT"/>
    <n v="0.83"/>
    <x v="14"/>
    <s v="Yes"/>
    <s v="Review of candidates for Spareparts/Aftermarket role Draft Aftermarket Operations Manager PD"/>
    <x v="3"/>
    <x v="3"/>
  </r>
  <r>
    <d v="2024-03-19T00:00:00"/>
    <x v="1"/>
    <s v="P&amp;C Advisory - Nordfab"/>
    <n v="0.42"/>
    <x v="14"/>
    <s v="Yes"/>
    <s v="Draft script re. conduct issue"/>
    <x v="3"/>
    <x v="3"/>
  </r>
  <r>
    <d v="2024-03-19T00:00:00"/>
    <x v="2"/>
    <s v="Bookkeeping"/>
    <n v="0.32"/>
    <x v="30"/>
    <s v="No"/>
    <s v="call with Ge re query/concern"/>
    <x v="3"/>
    <x v="3"/>
  </r>
  <r>
    <d v="2024-03-19T00:00:00"/>
    <x v="2"/>
    <s v="Bookkeeping"/>
    <n v="0.92"/>
    <x v="58"/>
    <s v="Yes"/>
    <m/>
    <x v="3"/>
    <x v="3"/>
  </r>
  <r>
    <d v="2024-03-19T00:00:00"/>
    <x v="2"/>
    <s v="General"/>
    <n v="0.12"/>
    <x v="11"/>
    <s v="No"/>
    <s v="call with Rej re staff concern"/>
    <x v="3"/>
    <x v="3"/>
  </r>
  <r>
    <d v="2024-03-19T00:00:00"/>
    <x v="2"/>
    <s v="General"/>
    <n v="0.25"/>
    <x v="11"/>
    <s v="No"/>
    <s v="chats re staff issue"/>
    <x v="3"/>
    <x v="3"/>
  </r>
  <r>
    <d v="2024-03-19T00:00:00"/>
    <x v="2"/>
    <s v="General"/>
    <n v="0.42"/>
    <x v="11"/>
    <s v="No"/>
    <s v="call with Sherly re Alliance"/>
    <x v="3"/>
    <x v="3"/>
  </r>
  <r>
    <d v="2024-03-19T00:00:00"/>
    <x v="2"/>
    <s v="General"/>
    <n v="0.5"/>
    <x v="11"/>
    <s v="No"/>
    <s v="break"/>
    <x v="3"/>
    <x v="3"/>
  </r>
  <r>
    <d v="2024-03-19T00:00:00"/>
    <x v="2"/>
    <s v="General"/>
    <n v="0.52"/>
    <x v="11"/>
    <s v="No"/>
    <s v="capacity, Asana, emails, chats, etc"/>
    <x v="3"/>
    <x v="3"/>
  </r>
  <r>
    <d v="2024-03-19T00:00:00"/>
    <x v="2"/>
    <s v="General"/>
    <n v="0.7"/>
    <x v="11"/>
    <s v="No"/>
    <m/>
    <x v="3"/>
    <x v="3"/>
  </r>
  <r>
    <d v="2024-03-19T00:00:00"/>
    <x v="2"/>
    <s v="General"/>
    <n v="0.7"/>
    <x v="11"/>
    <s v="No"/>
    <s v="office sched, follow ups, chats re staff concern"/>
    <x v="3"/>
    <x v="3"/>
  </r>
  <r>
    <d v="2024-03-19T00:00:00"/>
    <x v="2"/>
    <s v="General"/>
    <n v="0.82"/>
    <x v="11"/>
    <s v="No"/>
    <s v="chats and call re staff concern"/>
    <x v="3"/>
    <x v="3"/>
  </r>
  <r>
    <d v="2024-03-19T00:00:00"/>
    <x v="2"/>
    <s v="General"/>
    <n v="1.07"/>
    <x v="11"/>
    <s v="No"/>
    <s v="review and update capacity, chats with staff, follow up on client movements, check office sched/attendance, departmental updates, etc"/>
    <x v="3"/>
    <x v="3"/>
  </r>
  <r>
    <d v="2024-03-19T00:00:00"/>
    <x v="2"/>
    <s v="Meetings"/>
    <n v="0.3"/>
    <x v="11"/>
    <s v="No"/>
    <s v="monthly catchup with Cess"/>
    <x v="3"/>
    <x v="3"/>
  </r>
  <r>
    <d v="2024-03-19T00:00:00"/>
    <x v="2"/>
    <s v="Meetings"/>
    <n v="0.4"/>
    <x v="11"/>
    <s v="No"/>
    <s v="capacity planning"/>
    <x v="3"/>
    <x v="3"/>
  </r>
  <r>
    <d v="2024-03-19T00:00:00"/>
    <x v="2"/>
    <s v="Meetings"/>
    <n v="0.42"/>
    <x v="11"/>
    <s v="No"/>
    <s v="staff concern"/>
    <x v="3"/>
    <x v="3"/>
  </r>
  <r>
    <d v="2024-03-19T00:00:00"/>
    <x v="2"/>
    <s v="Meetings"/>
    <n v="0.57999999999999996"/>
    <x v="11"/>
    <s v="No"/>
    <s v="call with Z re staff issue"/>
    <x v="3"/>
    <x v="3"/>
  </r>
  <r>
    <d v="2024-03-19T00:00:00"/>
    <x v="3"/>
    <s v="Learning &amp; Development"/>
    <n v="8"/>
    <x v="11"/>
    <s v="No"/>
    <s v="Meeting with Jordan regarding Alliance AP// Update progress Report  Continue video/Manual editing /syncing"/>
    <x v="3"/>
    <x v="3"/>
  </r>
  <r>
    <d v="2024-03-19T00:00:00"/>
    <x v="4"/>
    <s v="General"/>
    <n v="7"/>
    <x v="11"/>
    <s v="No"/>
    <m/>
    <x v="3"/>
    <x v="3"/>
  </r>
  <r>
    <d v="2024-03-19T00:00:00"/>
    <x v="5"/>
    <s v="Bookkeeping"/>
    <n v="2.5"/>
    <x v="15"/>
    <s v="Yes"/>
    <s v="Statement checking"/>
    <x v="3"/>
    <x v="3"/>
  </r>
  <r>
    <d v="2024-03-19T00:00:00"/>
    <x v="5"/>
    <s v="Bookkeeping"/>
    <n v="2.75"/>
    <x v="15"/>
    <s v="Yes"/>
    <s v="Email Management"/>
    <x v="3"/>
    <x v="3"/>
  </r>
  <r>
    <d v="2024-03-19T00:00:00"/>
    <x v="5"/>
    <s v="Bookkeeping"/>
    <n v="3"/>
    <x v="15"/>
    <s v="Yes"/>
    <s v="Batch payment, to finalize payrun"/>
    <x v="3"/>
    <x v="3"/>
  </r>
  <r>
    <d v="2024-03-19T00:00:00"/>
    <x v="6"/>
    <s v="Automations - Pinnacle"/>
    <n v="8"/>
    <x v="11"/>
    <s v="No"/>
    <s v="March 19 XeroDownloadReportsAutomation - Updated Google sheet account - Migrated updates from yesterday and today to VM - Sent email to Junior Accountants for preferred Xero Reports to be added - Awaiting for Mark's update regarding VM (bot is running but without output)"/>
    <x v="3"/>
    <x v="3"/>
  </r>
  <r>
    <d v="2024-03-19T00:00:00"/>
    <x v="8"/>
    <s v="Automations"/>
    <n v="1.5"/>
    <x v="11"/>
    <s v="No"/>
    <s v="Run four Alliance automations + AP automation;"/>
    <x v="3"/>
    <x v="3"/>
  </r>
  <r>
    <d v="2024-03-19T00:00:00"/>
    <x v="9"/>
    <s v="Automations"/>
    <n v="9.27"/>
    <x v="11"/>
    <s v="No"/>
    <s v="Data Matrix Automation Development"/>
    <x v="3"/>
    <x v="3"/>
  </r>
  <r>
    <d v="2024-03-19T00:00:00"/>
    <x v="10"/>
    <s v="Bookkeeping"/>
    <n v="0.08"/>
    <x v="42"/>
    <s v="No"/>
    <s v="checking"/>
    <x v="3"/>
    <x v="3"/>
  </r>
  <r>
    <d v="2024-03-19T00:00:00"/>
    <x v="10"/>
    <s v="Bookkeeping"/>
    <n v="0.17"/>
    <x v="22"/>
    <s v="Yes"/>
    <s v="bank recon"/>
    <x v="3"/>
    <x v="3"/>
  </r>
  <r>
    <d v="2024-03-19T00:00:00"/>
    <x v="10"/>
    <s v="Bookkeeping"/>
    <n v="0.33"/>
    <x v="42"/>
    <s v="Yes"/>
    <s v="Emails"/>
    <x v="3"/>
    <x v="3"/>
  </r>
  <r>
    <d v="2024-03-19T00:00:00"/>
    <x v="10"/>
    <s v="Bookkeeping"/>
    <n v="0.42"/>
    <x v="50"/>
    <s v="Yes"/>
    <s v="Loading bills from HubDoc, bank recon"/>
    <x v="3"/>
    <x v="3"/>
  </r>
  <r>
    <d v="2024-03-19T00:00:00"/>
    <x v="10"/>
    <s v="Bookkeeping"/>
    <n v="0.5"/>
    <x v="85"/>
    <s v="No"/>
    <s v="Re-watched hand over videos"/>
    <x v="3"/>
    <x v="3"/>
  </r>
  <r>
    <d v="2024-03-19T00:00:00"/>
    <x v="10"/>
    <s v="Bookkeeping"/>
    <n v="0.57999999999999996"/>
    <x v="85"/>
    <s v="Yes"/>
    <s v="Loading bills from Dext, bank recon, AP payment"/>
    <x v="3"/>
    <x v="3"/>
  </r>
  <r>
    <d v="2024-03-19T00:00:00"/>
    <x v="10"/>
    <s v="Bookkeeping"/>
    <n v="0.75"/>
    <x v="45"/>
    <s v="Yes"/>
    <s v="bank recon"/>
    <x v="3"/>
    <x v="3"/>
  </r>
  <r>
    <d v="2024-03-19T00:00:00"/>
    <x v="10"/>
    <s v="Bookkeeping"/>
    <n v="1.92"/>
    <x v="23"/>
    <s v="Yes"/>
    <s v="Email management, loading bills"/>
    <x v="3"/>
    <x v="3"/>
  </r>
  <r>
    <d v="2024-03-19T00:00:00"/>
    <x v="10"/>
    <s v="General"/>
    <n v="0.5"/>
    <x v="11"/>
    <s v="No"/>
    <s v="break"/>
    <x v="3"/>
    <x v="3"/>
  </r>
  <r>
    <d v="2024-03-19T00:00:00"/>
    <x v="10"/>
    <s v="Out-of-Scope Services"/>
    <n v="0.5"/>
    <x v="122"/>
    <s v="No"/>
    <s v="checking"/>
    <x v="3"/>
    <x v="3"/>
  </r>
  <r>
    <d v="2024-03-19T00:00:00"/>
    <x v="10"/>
    <s v="Out-of-Scope Services"/>
    <n v="2.25"/>
    <x v="122"/>
    <s v="Yes"/>
    <s v="bank recon for BAS"/>
    <x v="3"/>
    <x v="3"/>
  </r>
  <r>
    <d v="2024-03-19T00:00:00"/>
    <x v="11"/>
    <s v="Bookkeeping"/>
    <n v="0.37"/>
    <x v="25"/>
    <s v="Yes"/>
    <s v="emails"/>
    <x v="3"/>
    <x v="3"/>
  </r>
  <r>
    <d v="2024-03-19T00:00:00"/>
    <x v="11"/>
    <s v="Bookkeeping"/>
    <n v="0.4"/>
    <x v="73"/>
    <s v="Yes"/>
    <s v="reviewing Dadtronica sale"/>
    <x v="3"/>
    <x v="3"/>
  </r>
  <r>
    <d v="2024-03-19T00:00:00"/>
    <x v="11"/>
    <s v="Bookkeeping"/>
    <n v="0.97"/>
    <x v="73"/>
    <s v="Yes"/>
    <s v="inbox mgmt"/>
    <x v="3"/>
    <x v="3"/>
  </r>
  <r>
    <d v="2024-03-19T00:00:00"/>
    <x v="11"/>
    <s v="Bookkeeping"/>
    <n v="0.97"/>
    <x v="10"/>
    <s v="Yes"/>
    <s v="financials/ BS rec review"/>
    <x v="3"/>
    <x v="3"/>
  </r>
  <r>
    <d v="2024-03-19T00:00:00"/>
    <x v="11"/>
    <s v="Client Meeting"/>
    <n v="1.77"/>
    <x v="15"/>
    <s v="Yes"/>
    <s v="team activiry"/>
    <x v="3"/>
    <x v="3"/>
  </r>
  <r>
    <d v="2024-03-19T00:00:00"/>
    <x v="11"/>
    <s v="General"/>
    <n v="0.25"/>
    <x v="11"/>
    <s v="No"/>
    <s v="check progress on supported idea on Xero"/>
    <x v="3"/>
    <x v="3"/>
  </r>
  <r>
    <d v="2024-03-19T00:00:00"/>
    <x v="11"/>
    <s v="General"/>
    <n v="0.35"/>
    <x v="11"/>
    <s v="No"/>
    <s v="requests, updates"/>
    <x v="3"/>
    <x v="3"/>
  </r>
  <r>
    <d v="2024-03-19T00:00:00"/>
    <x v="11"/>
    <s v="General"/>
    <n v="0.45"/>
    <x v="11"/>
    <s v="No"/>
    <s v="answer emails for diff clients"/>
    <x v="3"/>
    <x v="3"/>
  </r>
  <r>
    <d v="2024-03-19T00:00:00"/>
    <x v="11"/>
    <s v="General"/>
    <n v="0.5"/>
    <x v="11"/>
    <s v="No"/>
    <s v="break"/>
    <x v="3"/>
    <x v="3"/>
  </r>
  <r>
    <d v="2024-03-19T00:00:00"/>
    <x v="11"/>
    <s v="General"/>
    <n v="0.55000000000000004"/>
    <x v="11"/>
    <s v="No"/>
    <s v="emails/ newsletter/ reminders"/>
    <x v="3"/>
    <x v="3"/>
  </r>
  <r>
    <d v="2024-03-19T00:00:00"/>
    <x v="11"/>
    <s v="Management Reporting"/>
    <n v="0.17"/>
    <x v="73"/>
    <s v="Yes"/>
    <s v="financials review"/>
    <x v="3"/>
    <x v="3"/>
  </r>
  <r>
    <d v="2024-03-19T00:00:00"/>
    <x v="11"/>
    <s v="Payroll Processing"/>
    <n v="0.18"/>
    <x v="15"/>
    <s v="Yes"/>
    <s v="MS teams settings"/>
    <x v="3"/>
    <x v="3"/>
  </r>
  <r>
    <d v="2024-03-19T00:00:00"/>
    <x v="11"/>
    <s v="Payroll Processing"/>
    <n v="0.4"/>
    <x v="15"/>
    <s v="Yes"/>
    <s v="check inbox"/>
    <x v="3"/>
    <x v="3"/>
  </r>
  <r>
    <d v="2024-03-19T00:00:00"/>
    <x v="11"/>
    <s v="Xero Migration"/>
    <n v="0.68"/>
    <x v="106"/>
    <s v="Yes"/>
    <s v="bank transaction imports/ IRD# queries"/>
    <x v="3"/>
    <x v="3"/>
  </r>
  <r>
    <d v="2024-03-19T00:00:00"/>
    <x v="12"/>
    <s v="General"/>
    <n v="9.5"/>
    <x v="11"/>
    <s v="No"/>
    <s v="- ASIC - Nick's Inbox management - Birthday posters - Called ATO    - Romance Was Born Pty Ltd - Checked Air BnB for the staff - Newsletter"/>
    <x v="3"/>
    <x v="3"/>
  </r>
  <r>
    <d v="2024-03-19T00:00:00"/>
    <x v="13"/>
    <s v="Bookkeeping"/>
    <n v="1"/>
    <x v="30"/>
    <s v="Yes"/>
    <s v="ap report email"/>
    <x v="3"/>
    <x v="3"/>
  </r>
  <r>
    <d v="2024-03-19T00:00:00"/>
    <x v="13"/>
    <s v="Bookkeeping"/>
    <n v="1.37"/>
    <x v="29"/>
    <s v="Yes"/>
    <s v="ap invoices"/>
    <x v="3"/>
    <x v="3"/>
  </r>
  <r>
    <d v="2024-03-19T00:00:00"/>
    <x v="13"/>
    <s v="Bookkeeping"/>
    <n v="2.08"/>
    <x v="30"/>
    <s v="Yes"/>
    <s v="bank recon ap invoices from inbox. email regarding BAS and IAS "/>
    <x v="3"/>
    <x v="3"/>
  </r>
  <r>
    <d v="2024-03-19T00:00:00"/>
    <x v="13"/>
    <s v="Bookkeeping"/>
    <n v="3.55"/>
    <x v="28"/>
    <s v="Yes"/>
    <s v="bank recon ap invoices statement"/>
    <x v="3"/>
    <x v="3"/>
  </r>
  <r>
    <d v="2024-03-19T00:00:00"/>
    <x v="14"/>
    <s v="Bookkeeping"/>
    <n v="0.27"/>
    <x v="32"/>
    <s v="Yes"/>
    <s v="Bank recs, checking accounts"/>
    <x v="3"/>
    <x v="3"/>
  </r>
  <r>
    <d v="2024-03-19T00:00:00"/>
    <x v="14"/>
    <s v="Bookkeeping"/>
    <n v="0.38"/>
    <x v="32"/>
    <s v="No"/>
    <s v="Updating process docs, asana tasks"/>
    <x v="3"/>
    <x v="3"/>
  </r>
  <r>
    <d v="2024-03-19T00:00:00"/>
    <x v="14"/>
    <s v="Bookkeeping"/>
    <n v="0.4"/>
    <x v="32"/>
    <s v="No"/>
    <m/>
    <x v="3"/>
    <x v="3"/>
  </r>
  <r>
    <d v="2024-03-19T00:00:00"/>
    <x v="14"/>
    <s v="Bookkeeping"/>
    <n v="1"/>
    <x v="32"/>
    <s v="No"/>
    <s v="Updating process docs"/>
    <x v="3"/>
    <x v="3"/>
  </r>
  <r>
    <d v="2024-03-19T00:00:00"/>
    <x v="14"/>
    <s v="General"/>
    <n v="0.4"/>
    <x v="11"/>
    <s v="No"/>
    <s v="Checking emails, asana, answering training survey"/>
    <x v="3"/>
    <x v="3"/>
  </r>
  <r>
    <d v="2024-03-19T00:00:00"/>
    <x v="14"/>
    <s v="Payroll Processing"/>
    <n v="6"/>
    <x v="34"/>
    <s v="Yes"/>
    <s v="Payroll"/>
    <x v="3"/>
    <x v="3"/>
  </r>
  <r>
    <d v="2024-03-19T00:00:00"/>
    <x v="15"/>
    <s v="Bookkeeping"/>
    <n v="0.68"/>
    <x v="18"/>
    <s v="Yes"/>
    <s v="review Xero file, call Sam from Yachtlife, follow up emails"/>
    <x v="3"/>
    <x v="3"/>
  </r>
  <r>
    <d v="2024-03-19T00:00:00"/>
    <x v="15"/>
    <s v="Bookkeeping"/>
    <n v="0.75"/>
    <x v="18"/>
    <s v="Yes"/>
    <m/>
    <x v="3"/>
    <x v="3"/>
  </r>
  <r>
    <d v="2024-03-19T00:00:00"/>
    <x v="15"/>
    <s v="Bookkeeping"/>
    <n v="0.87"/>
    <x v="18"/>
    <s v="Yes"/>
    <s v="review of bank accounts in the dashboard, review transactions in cheque account before starting to reconcile"/>
    <x v="3"/>
    <x v="3"/>
  </r>
  <r>
    <d v="2024-03-19T00:00:00"/>
    <x v="15"/>
    <s v="Bookkeeping"/>
    <n v="2.85"/>
    <x v="18"/>
    <s v="Yes"/>
    <s v="bank reconciliation Main account 150+ Stripe 80 AMEX 10 For continuation"/>
    <x v="3"/>
    <x v="3"/>
  </r>
  <r>
    <d v="2024-03-19T00:00:00"/>
    <x v="15"/>
    <s v="General"/>
    <n v="0.5"/>
    <x v="11"/>
    <s v="No"/>
    <s v="paid break"/>
    <x v="3"/>
    <x v="3"/>
  </r>
  <r>
    <d v="2024-03-19T00:00:00"/>
    <x v="15"/>
    <s v="General"/>
    <n v="0.57999999999999996"/>
    <x v="11"/>
    <s v="No"/>
    <s v="emails - check on onboarding checklist "/>
    <x v="3"/>
    <x v="3"/>
  </r>
  <r>
    <d v="2024-03-19T00:00:00"/>
    <x v="15"/>
    <s v="General"/>
    <n v="1.03"/>
    <x v="11"/>
    <s v="No"/>
    <s v="emails, asana, XPM, chats,review onboarding checklist for yachtlife"/>
    <x v="3"/>
    <x v="3"/>
  </r>
  <r>
    <d v="2024-03-19T00:00:00"/>
    <x v="15"/>
    <s v="Learning &amp; Development"/>
    <n v="0.22"/>
    <x v="11"/>
    <s v="No"/>
    <s v="chat with bern about process flows"/>
    <x v="3"/>
    <x v="3"/>
  </r>
  <r>
    <d v="2024-03-19T00:00:00"/>
    <x v="15"/>
    <s v="Payroll Processing"/>
    <n v="0.53"/>
    <x v="35"/>
    <s v="No"/>
    <s v="assist Rac with payroll queries"/>
    <x v="3"/>
    <x v="3"/>
  </r>
  <r>
    <d v="2024-03-19T00:00:00"/>
    <x v="16"/>
    <s v="Bookkeeping"/>
    <n v="0.47"/>
    <x v="1"/>
    <s v="Yes"/>
    <s v="Payroll Tax"/>
    <x v="3"/>
    <x v="3"/>
  </r>
  <r>
    <d v="2024-03-19T00:00:00"/>
    <x v="16"/>
    <s v="Bookkeeping"/>
    <n v="7.4"/>
    <x v="35"/>
    <s v="Yes"/>
    <m/>
    <x v="3"/>
    <x v="3"/>
  </r>
  <r>
    <d v="2024-03-19T00:00:00"/>
    <x v="16"/>
    <s v="Meetings"/>
    <n v="0.17"/>
    <x v="11"/>
    <s v="No"/>
    <s v="with Ralph"/>
    <x v="3"/>
    <x v="3"/>
  </r>
  <r>
    <d v="2024-03-19T00:00:00"/>
    <x v="18"/>
    <s v="Bookkeeping"/>
    <n v="0.33"/>
    <x v="11"/>
    <s v="No"/>
    <m/>
    <x v="3"/>
    <x v="3"/>
  </r>
  <r>
    <d v="2024-03-19T00:00:00"/>
    <x v="18"/>
    <s v="Bookkeeping"/>
    <n v="0.35"/>
    <x v="39"/>
    <s v="Yes"/>
    <s v="AP items bank recon"/>
    <x v="3"/>
    <x v="3"/>
  </r>
  <r>
    <d v="2024-03-19T00:00:00"/>
    <x v="18"/>
    <s v="Bookkeeping"/>
    <n v="0.63"/>
    <x v="39"/>
    <s v="Yes"/>
    <m/>
    <x v="3"/>
    <x v="3"/>
  </r>
  <r>
    <d v="2024-03-19T00:00:00"/>
    <x v="18"/>
    <s v="Bookkeeping"/>
    <n v="0.78"/>
    <x v="41"/>
    <s v="Yes"/>
    <m/>
    <x v="3"/>
    <x v="3"/>
  </r>
  <r>
    <d v="2024-03-19T00:00:00"/>
    <x v="18"/>
    <s v="Bookkeeping"/>
    <n v="1.33"/>
    <x v="27"/>
    <s v="Yes"/>
    <m/>
    <x v="3"/>
    <x v="3"/>
  </r>
  <r>
    <d v="2024-03-19T00:00:00"/>
    <x v="18"/>
    <s v="Bookkeeping"/>
    <n v="1.92"/>
    <x v="37"/>
    <s v="Yes"/>
    <m/>
    <x v="3"/>
    <x v="3"/>
  </r>
  <r>
    <d v="2024-03-19T00:00:00"/>
    <x v="18"/>
    <s v="Bookkeeping"/>
    <n v="2.4700000000000002"/>
    <x v="40"/>
    <s v="Yes"/>
    <m/>
    <x v="3"/>
    <x v="3"/>
  </r>
  <r>
    <d v="2024-03-19T00:00:00"/>
    <x v="18"/>
    <s v="Meetings"/>
    <n v="0.18"/>
    <x v="11"/>
    <s v="No"/>
    <s v="Catch-up | FTE review test"/>
    <x v="3"/>
    <x v="3"/>
  </r>
  <r>
    <d v="2024-03-19T00:00:00"/>
    <x v="19"/>
    <s v="Automations - Surefire"/>
    <n v="8"/>
    <x v="11"/>
    <s v="No"/>
    <s v="Surefire Automation"/>
    <x v="3"/>
    <x v="3"/>
  </r>
  <r>
    <d v="2024-03-19T00:00:00"/>
    <x v="20"/>
    <s v="Automations"/>
    <n v="8"/>
    <x v="11"/>
    <s v="No"/>
    <m/>
    <x v="3"/>
    <x v="3"/>
  </r>
  <r>
    <d v="2024-03-19T00:00:00"/>
    <x v="21"/>
    <s v="Automations"/>
    <n v="8"/>
    <x v="11"/>
    <s v="No"/>
    <s v="Run: Lack of Color Dev: Pinnacle Oporto Automation Dev: Holdsworth Automation Update"/>
    <x v="3"/>
    <x v="3"/>
  </r>
  <r>
    <d v="2024-03-19T00:00:00"/>
    <x v="22"/>
    <s v="Bookkeeping"/>
    <n v="0.15"/>
    <x v="44"/>
    <s v="Yes"/>
    <s v="AP processing - create batch file and email to Zoe with report."/>
    <x v="3"/>
    <x v="3"/>
  </r>
  <r>
    <d v="2024-03-19T00:00:00"/>
    <x v="22"/>
    <s v="Bookkeeping"/>
    <n v="0.2"/>
    <x v="90"/>
    <s v="Yes"/>
    <s v="Email forms to Lily, communicate with Ef"/>
    <x v="3"/>
    <x v="3"/>
  </r>
  <r>
    <d v="2024-03-19T00:00:00"/>
    <x v="22"/>
    <s v="Bookkeeping"/>
    <n v="0.75"/>
    <x v="43"/>
    <s v="Yes"/>
    <s v="Process payroll - access to Gmail account, update Kate G hours in payroll, email with super details Email payslips from previous week Call with Matt"/>
    <x v="3"/>
    <x v="3"/>
  </r>
  <r>
    <d v="2024-03-19T00:00:00"/>
    <x v="22"/>
    <s v="Client Admin"/>
    <n v="0.37"/>
    <x v="11"/>
    <s v="No"/>
    <s v="Email RJ with list of clients / CM updates Pinnacle Newtown invoice and correspondence with Mel"/>
    <x v="3"/>
    <x v="3"/>
  </r>
  <r>
    <d v="2024-03-19T00:00:00"/>
    <x v="22"/>
    <s v="Client Admin"/>
    <n v="0.4"/>
    <x v="11"/>
    <s v="No"/>
    <s v="Angie - re super and call with Carly chat with Nick"/>
    <x v="3"/>
    <x v="3"/>
  </r>
  <r>
    <d v="2024-03-19T00:00:00"/>
    <x v="22"/>
    <s v="Client Manager"/>
    <n v="7.0000000000000007E-2"/>
    <x v="42"/>
    <s v="Yes"/>
    <s v="Email to Ef re insurance"/>
    <x v="3"/>
    <x v="3"/>
  </r>
  <r>
    <d v="2024-03-19T00:00:00"/>
    <x v="22"/>
    <s v="Client Manager"/>
    <n v="0.35"/>
    <x v="42"/>
    <s v="Yes"/>
    <s v="Respond to email re GST on purhcases list in BAS (and review) and ASIC updates"/>
    <x v="3"/>
    <x v="3"/>
  </r>
  <r>
    <d v="2024-03-19T00:00:00"/>
    <x v="22"/>
    <s v="General"/>
    <n v="0.13"/>
    <x v="11"/>
    <s v="No"/>
    <s v="Emails, Teams"/>
    <x v="3"/>
    <x v="3"/>
  </r>
  <r>
    <d v="2024-03-19T00:00:00"/>
    <x v="22"/>
    <s v="General"/>
    <n v="0.2"/>
    <x v="11"/>
    <s v="No"/>
    <s v="Email and teams"/>
    <x v="3"/>
    <x v="3"/>
  </r>
  <r>
    <d v="2024-03-19T00:00:00"/>
    <x v="22"/>
    <s v="General"/>
    <n v="0.42"/>
    <x v="11"/>
    <s v="No"/>
    <s v="Nick re client advisory"/>
    <x v="3"/>
    <x v="3"/>
  </r>
  <r>
    <d v="2024-03-19T00:00:00"/>
    <x v="22"/>
    <s v="General"/>
    <n v="0.56999999999999995"/>
    <x v="11"/>
    <s v="No"/>
    <s v="Emails, invoicing"/>
    <x v="3"/>
    <x v="3"/>
  </r>
  <r>
    <d v="2024-03-19T00:00:00"/>
    <x v="22"/>
    <s v="General"/>
    <n v="0.67"/>
    <x v="11"/>
    <s v="No"/>
    <s v="Nick re Spectrum / Pinnacle / starleaton"/>
    <x v="3"/>
    <x v="3"/>
  </r>
  <r>
    <d v="2024-03-19T00:00:00"/>
    <x v="22"/>
    <s v="IAS/BAS Preparation &amp; Lodgement - Oct-Dec"/>
    <n v="0.38"/>
    <x v="22"/>
    <s v="Yes"/>
    <s v="BAS review and payroll reports, send to LM"/>
    <x v="3"/>
    <x v="3"/>
  </r>
  <r>
    <d v="2024-03-19T00:00:00"/>
    <x v="22"/>
    <s v="Payroll Processing"/>
    <n v="0.22"/>
    <x v="15"/>
    <s v="Yes"/>
    <s v="Review info and respond to Rose query re excess lease payment"/>
    <x v="3"/>
    <x v="3"/>
  </r>
  <r>
    <d v="2024-03-19T00:00:00"/>
    <x v="22"/>
    <s v="Payroll Processing"/>
    <n v="0.38"/>
    <x v="81"/>
    <s v="Yes"/>
    <s v="Email payslips, bonus processing for Frank, AL liability"/>
    <x v="3"/>
    <x v="3"/>
  </r>
  <r>
    <d v="2024-03-19T00:00:00"/>
    <x v="22"/>
    <s v="Payroll Processing"/>
    <n v="0.42"/>
    <x v="34"/>
    <s v="Yes"/>
    <s v="Review Milenko and rules"/>
    <x v="3"/>
    <x v="3"/>
  </r>
  <r>
    <d v="2024-03-19T00:00:00"/>
    <x v="22"/>
    <s v="Payroll Processing"/>
    <n v="0.5"/>
    <x v="15"/>
    <s v="Yes"/>
    <s v="Assist Rose with backpay / novated lease query"/>
    <x v="3"/>
    <x v="3"/>
  </r>
  <r>
    <d v="2024-03-19T00:00:00"/>
    <x v="22"/>
    <s v="Payroll Processing"/>
    <n v="2"/>
    <x v="34"/>
    <s v="Yes"/>
    <s v="Payroll reviews Follow up expenses for Ronan / Ross final pay Check HG payment to be processed "/>
    <x v="3"/>
    <x v="3"/>
  </r>
  <r>
    <d v="2024-03-19T00:00:00"/>
    <x v="23"/>
    <s v="Client Meeting"/>
    <n v="0.08"/>
    <x v="30"/>
    <s v="No"/>
    <s v="Attending to queries"/>
    <x v="3"/>
    <x v="3"/>
  </r>
  <r>
    <d v="2024-03-19T00:00:00"/>
    <x v="23"/>
    <s v="Client Meeting"/>
    <n v="0.08"/>
    <x v="45"/>
    <s v="No"/>
    <s v="Attending to queries and updating ASANA"/>
    <x v="3"/>
    <x v="3"/>
  </r>
  <r>
    <d v="2024-03-19T00:00:00"/>
    <x v="23"/>
    <s v="Client Meeting"/>
    <n v="0.18"/>
    <x v="15"/>
    <s v="No"/>
    <s v="Attending queries and doing OTS as her requested"/>
    <x v="3"/>
    <x v="3"/>
  </r>
  <r>
    <d v="2024-03-19T00:00:00"/>
    <x v="23"/>
    <s v="Client Meeting"/>
    <n v="0.22"/>
    <x v="11"/>
    <s v="No"/>
    <s v="Attending to queries ( FBT and Entertainment )"/>
    <x v="3"/>
    <x v="3"/>
  </r>
  <r>
    <d v="2024-03-19T00:00:00"/>
    <x v="23"/>
    <s v="Client Meeting"/>
    <n v="0.23"/>
    <x v="79"/>
    <s v="No"/>
    <s v="Attending to queries. error in XPM and client email"/>
    <x v="3"/>
    <x v="3"/>
  </r>
  <r>
    <d v="2024-03-19T00:00:00"/>
    <x v="23"/>
    <s v="Client Meeting"/>
    <n v="0.25"/>
    <x v="15"/>
    <s v="No"/>
    <s v="Meeting with Sherly"/>
    <x v="3"/>
    <x v="3"/>
  </r>
  <r>
    <d v="2024-03-19T00:00:00"/>
    <x v="23"/>
    <s v="Client Meeting"/>
    <n v="0.25"/>
    <x v="1"/>
    <s v="No"/>
    <s v="Attending to queries"/>
    <x v="3"/>
    <x v="3"/>
  </r>
  <r>
    <d v="2024-03-19T00:00:00"/>
    <x v="23"/>
    <s v="General"/>
    <n v="0.25"/>
    <x v="11"/>
    <s v="No"/>
    <s v="AFTERNOON Break: 15 mins coffee breaks as paid per Labor Code of the Philippines, Article 85."/>
    <x v="3"/>
    <x v="3"/>
  </r>
  <r>
    <d v="2024-03-19T00:00:00"/>
    <x v="23"/>
    <s v="General"/>
    <n v="0.25"/>
    <x v="11"/>
    <s v="No"/>
    <s v="MORNING Break: 15 mins coffee breaks as paid per Labor Code of the Philippines, Article 85."/>
    <x v="3"/>
    <x v="3"/>
  </r>
  <r>
    <d v="2024-03-19T00:00:00"/>
    <x v="23"/>
    <s v="General"/>
    <n v="0.83"/>
    <x v="11"/>
    <s v="No"/>
    <m/>
    <x v="3"/>
    <x v="3"/>
  </r>
  <r>
    <d v="2024-03-19T00:00:00"/>
    <x v="23"/>
    <s v="General"/>
    <n v="1.85"/>
    <x v="11"/>
    <s v="No"/>
    <s v="Email, Asana for Quarterly preparation all clients, Reading notes and Asana inbox"/>
    <x v="3"/>
    <x v="3"/>
  </r>
  <r>
    <d v="2024-03-19T00:00:00"/>
    <x v="23"/>
    <s v="HR/Recuitment"/>
    <n v="0.12"/>
    <x v="11"/>
    <s v="No"/>
    <s v="sprout"/>
    <x v="3"/>
    <x v="3"/>
  </r>
  <r>
    <d v="2024-03-19T00:00:00"/>
    <x v="23"/>
    <s v="Learning &amp; Development"/>
    <n v="0.4"/>
    <x v="11"/>
    <s v="No"/>
    <s v="Refreshening FBT and Entertainment learning"/>
    <x v="3"/>
    <x v="3"/>
  </r>
  <r>
    <d v="2024-03-19T00:00:00"/>
    <x v="23"/>
    <s v="Learning &amp; Development"/>
    <n v="1.03"/>
    <x v="11"/>
    <s v="No"/>
    <s v="Wzyed training"/>
    <x v="3"/>
    <x v="3"/>
  </r>
  <r>
    <d v="2024-03-19T00:00:00"/>
    <x v="23"/>
    <s v="Learning &amp; Development"/>
    <n v="1.98"/>
    <x v="11"/>
    <s v="No"/>
    <s v="Wzyed training - Payroll tax and others"/>
    <x v="3"/>
    <x v="3"/>
  </r>
  <r>
    <d v="2024-03-19T00:00:00"/>
    <x v="48"/>
    <s v="HR/Recuitment"/>
    <n v="3"/>
    <x v="11"/>
    <s v="No"/>
    <s v="Recruitment for Finance Manager.  Reviewing resumes, contacting shortlisted applicants, booking in interviews."/>
    <x v="3"/>
    <x v="3"/>
  </r>
  <r>
    <d v="2024-03-19T00:00:00"/>
    <x v="48"/>
    <s v="P&amp;C Advisory"/>
    <n v="5"/>
    <x v="9"/>
    <s v="Yes"/>
    <s v="Teams huddle with Finance.  Teams meeting with COO to discuss HR matters.  LMS curriculum review and development.  HR sharepoint files tidy up.  HR workflows and processes.  Policy update.  Employee Connect updates and module review on contract templates.  Ensure legislation is up to date in system."/>
    <x v="3"/>
    <x v="3"/>
  </r>
  <r>
    <d v="2024-03-19T00:00:00"/>
    <x v="24"/>
    <s v="Bookkeeping"/>
    <n v="0.32"/>
    <x v="15"/>
    <s v="Yes"/>
    <s v="Extension of working hours"/>
    <x v="3"/>
    <x v="3"/>
  </r>
  <r>
    <d v="2024-03-19T00:00:00"/>
    <x v="24"/>
    <s v="Bookkeeping"/>
    <n v="0.52"/>
    <x v="54"/>
    <s v="Yes"/>
    <m/>
    <x v="3"/>
    <x v="3"/>
  </r>
  <r>
    <d v="2024-03-19T00:00:00"/>
    <x v="24"/>
    <s v="Bookkeeping"/>
    <n v="6.32"/>
    <x v="15"/>
    <s v="Yes"/>
    <m/>
    <x v="3"/>
    <x v="3"/>
  </r>
  <r>
    <d v="2024-03-19T00:00:00"/>
    <x v="24"/>
    <s v="General"/>
    <n v="0.23"/>
    <x v="11"/>
    <s v="No"/>
    <s v="emails, asana"/>
    <x v="3"/>
    <x v="3"/>
  </r>
  <r>
    <d v="2024-03-19T00:00:00"/>
    <x v="24"/>
    <s v="Payroll Processing"/>
    <n v="1.03"/>
    <x v="30"/>
    <s v="Yes"/>
    <m/>
    <x v="3"/>
    <x v="3"/>
  </r>
  <r>
    <d v="2024-03-19T00:00:00"/>
    <x v="26"/>
    <s v="Debt Collection"/>
    <n v="1.5"/>
    <x v="11"/>
    <s v="No"/>
    <m/>
    <x v="3"/>
    <x v="3"/>
  </r>
  <r>
    <d v="2024-03-19T00:00:00"/>
    <x v="26"/>
    <s v="Debt Collection"/>
    <n v="6"/>
    <x v="15"/>
    <s v="Yes"/>
    <m/>
    <x v="3"/>
    <x v="3"/>
  </r>
  <r>
    <d v="2024-03-19T00:00:00"/>
    <x v="26"/>
    <s v="General"/>
    <n v="0.5"/>
    <x v="11"/>
    <s v="No"/>
    <s v="break"/>
    <x v="3"/>
    <x v="3"/>
  </r>
  <r>
    <d v="2024-03-19T00:00:00"/>
    <x v="28"/>
    <s v="Bookkeeping"/>
    <n v="4.7699999999999996"/>
    <x v="57"/>
    <s v="Yes"/>
    <s v="Email Management Bills raise to xero Check and approved sales to a2x Bank Reconciliaiton LOC INC and Black Montana account"/>
    <x v="3"/>
    <x v="3"/>
  </r>
  <r>
    <d v="2024-03-19T00:00:00"/>
    <x v="28"/>
    <s v="General"/>
    <n v="0.5"/>
    <x v="11"/>
    <s v="No"/>
    <s v="Break"/>
    <x v="3"/>
    <x v="3"/>
  </r>
  <r>
    <d v="2024-03-19T00:00:00"/>
    <x v="28"/>
    <s v="Learning &amp; Development"/>
    <n v="2.73"/>
    <x v="11"/>
    <s v="No"/>
    <s v="Quickbooks training"/>
    <x v="3"/>
    <x v="3"/>
  </r>
  <r>
    <d v="2024-03-19T00:00:00"/>
    <x v="29"/>
    <s v="IT"/>
    <n v="9"/>
    <x v="11"/>
    <s v="No"/>
    <s v="Support"/>
    <x v="3"/>
    <x v="3"/>
  </r>
  <r>
    <d v="2024-03-19T00:00:00"/>
    <x v="30"/>
    <s v="Bookkeeping"/>
    <n v="0.38"/>
    <x v="5"/>
    <s v="Yes"/>
    <s v="Filing of Feb IAS in Bank Email Eli and Lynn for approval"/>
    <x v="3"/>
    <x v="3"/>
  </r>
  <r>
    <d v="2024-03-19T00:00:00"/>
    <x v="30"/>
    <s v="Bookkeeping"/>
    <n v="0.53"/>
    <x v="26"/>
    <s v="Yes"/>
    <s v="Download IAS and sending of to Tien for Payment"/>
    <x v="3"/>
    <x v="3"/>
  </r>
  <r>
    <d v="2024-03-19T00:00:00"/>
    <x v="30"/>
    <s v="Bookkeeping"/>
    <n v="0.8"/>
    <x v="26"/>
    <s v="Yes"/>
    <s v="Email Management Bills Processing"/>
    <x v="3"/>
    <x v="3"/>
  </r>
  <r>
    <d v="2024-03-19T00:00:00"/>
    <x v="30"/>
    <s v="Bookkeeping"/>
    <n v="4.38"/>
    <x v="58"/>
    <s v="Yes"/>
    <s v="Email Management Bills Processing Bank / Credit Card Recon "/>
    <x v="3"/>
    <x v="3"/>
  </r>
  <r>
    <d v="2024-03-19T00:00:00"/>
    <x v="30"/>
    <s v="General"/>
    <n v="0.47"/>
    <x v="11"/>
    <s v="No"/>
    <s v="Meeting with Aileen re: Transferring of Asana Task (Tasman Agri)"/>
    <x v="3"/>
    <x v="3"/>
  </r>
  <r>
    <d v="2024-03-19T00:00:00"/>
    <x v="30"/>
    <s v="General"/>
    <n v="1.55"/>
    <x v="11"/>
    <s v="No"/>
    <s v="Email Management Asana Task clean Up"/>
    <x v="3"/>
    <x v="3"/>
  </r>
  <r>
    <d v="2024-03-19T00:00:00"/>
    <x v="31"/>
    <s v="Accounts"/>
    <n v="1.3"/>
    <x v="11"/>
    <s v="No"/>
    <s v="Attend to various emails and respond to Angela, Shalini, Kate and Samuel."/>
    <x v="3"/>
    <x v="3"/>
  </r>
  <r>
    <d v="2024-03-19T00:00:00"/>
    <x v="31"/>
    <s v="Accounts"/>
    <n v="1.7"/>
    <x v="56"/>
    <s v="No"/>
    <s v="Process bills. Coordinate to Z/RJ/Jordan re: Jobstreet Catch up my various emails Check timeline for the month-end closing activities"/>
    <x v="3"/>
    <x v="3"/>
  </r>
  <r>
    <d v="2024-03-19T00:00:00"/>
    <x v="31"/>
    <s v="Bookkeeping"/>
    <n v="1.92"/>
    <x v="11"/>
    <s v="No"/>
    <s v="Fixed invoices and coordinate with Mark/Nica for the XPM timesheet Additional invoicing based on Asana tasks Email Kate for the updated invoicing."/>
    <x v="3"/>
    <x v="3"/>
  </r>
  <r>
    <d v="2024-03-19T00:00:00"/>
    <x v="31"/>
    <s v="Bookkeeping"/>
    <n v="2.23"/>
    <x v="11"/>
    <s v="No"/>
    <s v="Attend to all queries from Nick. Coordinate invoice from Jordan. Coordinate Jennica for the JPE Trust. Update bank recs/reconcile properly. Catch up some request and emails."/>
    <x v="3"/>
    <x v="3"/>
  </r>
  <r>
    <d v="2024-03-19T00:00:00"/>
    <x v="31"/>
    <s v="Meetings"/>
    <n v="0.25"/>
    <x v="11"/>
    <s v="No"/>
    <s v="Call with LM re: FBT and Entertainment (clarification on this topic)"/>
    <x v="3"/>
    <x v="3"/>
  </r>
  <r>
    <d v="2024-03-19T00:00:00"/>
    <x v="31"/>
    <s v="Payroll Processing"/>
    <n v="0.67"/>
    <x v="56"/>
    <s v="No"/>
    <s v="Update Government ORs. Coordination re: Payroll TS status"/>
    <x v="3"/>
    <x v="3"/>
  </r>
  <r>
    <d v="2024-03-19T00:00:00"/>
    <x v="32"/>
    <s v="Web"/>
    <n v="10"/>
    <x v="11"/>
    <s v="No"/>
    <s v="✅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migrate Yoast SEO data from the old site to new  ✅ check Zoho bookings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x v="3"/>
    <x v="3"/>
  </r>
  <r>
    <d v="2024-03-19T00:00:00"/>
    <x v="33"/>
    <s v="Bookkeeping"/>
    <n v="0.5"/>
    <x v="60"/>
    <s v="Yes"/>
    <m/>
    <x v="3"/>
    <x v="3"/>
  </r>
  <r>
    <d v="2024-03-19T00:00:00"/>
    <x v="33"/>
    <s v="Bookkeeping"/>
    <n v="0.5"/>
    <x v="79"/>
    <s v="Yes"/>
    <m/>
    <x v="3"/>
    <x v="3"/>
  </r>
  <r>
    <d v="2024-03-19T00:00:00"/>
    <x v="33"/>
    <s v="Bookkeeping"/>
    <n v="0.5"/>
    <x v="48"/>
    <s v="Yes"/>
    <m/>
    <x v="3"/>
    <x v="3"/>
  </r>
  <r>
    <d v="2024-03-19T00:00:00"/>
    <x v="33"/>
    <s v="Bookkeeping"/>
    <n v="0.5"/>
    <x v="59"/>
    <s v="Yes"/>
    <m/>
    <x v="3"/>
    <x v="3"/>
  </r>
  <r>
    <d v="2024-03-19T00:00:00"/>
    <x v="33"/>
    <s v="Bookkeeping"/>
    <n v="2.5"/>
    <x v="9"/>
    <s v="Yes"/>
    <m/>
    <x v="3"/>
    <x v="3"/>
  </r>
  <r>
    <d v="2024-03-19T00:00:00"/>
    <x v="33"/>
    <s v="General"/>
    <n v="0.5"/>
    <x v="11"/>
    <s v="No"/>
    <s v="Connected culture inbox set up with Mark"/>
    <x v="3"/>
    <x v="3"/>
  </r>
  <r>
    <d v="2024-03-19T00:00:00"/>
    <x v="34"/>
    <s v="Client Manager"/>
    <n v="0.15"/>
    <x v="75"/>
    <s v="Yes"/>
    <s v="Introduction to Stephen"/>
    <x v="3"/>
    <x v="3"/>
  </r>
  <r>
    <d v="2024-03-19T00:00:00"/>
    <x v="34"/>
    <s v="Client Manager"/>
    <n v="0.17"/>
    <x v="96"/>
    <s v="No"/>
    <s v="Meeting with Carly on Fathom report"/>
    <x v="3"/>
    <x v="3"/>
  </r>
  <r>
    <d v="2024-03-19T00:00:00"/>
    <x v="34"/>
    <s v="Client Manager"/>
    <n v="5.18"/>
    <x v="0"/>
    <s v="No"/>
    <s v="Procedure for Customer Analysis + Improvement of model"/>
    <x v="3"/>
    <x v="3"/>
  </r>
  <r>
    <d v="2024-03-19T00:00:00"/>
    <x v="34"/>
    <s v="General"/>
    <n v="1.08"/>
    <x v="11"/>
    <s v="No"/>
    <s v="Call with Nick Emails, teams, Asana"/>
    <x v="3"/>
    <x v="3"/>
  </r>
  <r>
    <d v="2024-03-19T00:00:00"/>
    <x v="35"/>
    <s v="Bookkeeping"/>
    <n v="0.35"/>
    <x v="33"/>
    <s v="Yes"/>
    <s v="AP"/>
    <x v="3"/>
    <x v="3"/>
  </r>
  <r>
    <d v="2024-03-19T00:00:00"/>
    <x v="35"/>
    <s v="Bookkeeping"/>
    <n v="0.38"/>
    <x v="62"/>
    <s v="Yes"/>
    <s v="email AP"/>
    <x v="3"/>
    <x v="3"/>
  </r>
  <r>
    <d v="2024-03-19T00:00:00"/>
    <x v="35"/>
    <s v="Bookkeeping"/>
    <n v="0.63"/>
    <x v="33"/>
    <s v="Yes"/>
    <s v="BR and follow up unreconciled"/>
    <x v="3"/>
    <x v="3"/>
  </r>
  <r>
    <d v="2024-03-19T00:00:00"/>
    <x v="35"/>
    <s v="Bookkeeping"/>
    <n v="0.85"/>
    <x v="62"/>
    <s v="Yes"/>
    <s v="Drafts"/>
    <x v="3"/>
    <x v="3"/>
  </r>
  <r>
    <d v="2024-03-19T00:00:00"/>
    <x v="35"/>
    <s v="Bookkeeping"/>
    <n v="1.1499999999999999"/>
    <x v="33"/>
    <s v="Yes"/>
    <s v="emails, AP"/>
    <x v="3"/>
    <x v="3"/>
  </r>
  <r>
    <d v="2024-03-19T00:00:00"/>
    <x v="35"/>
    <s v="Bookkeeping"/>
    <n v="1.2"/>
    <x v="33"/>
    <s v="No"/>
    <s v="AP proc doc update"/>
    <x v="3"/>
    <x v="3"/>
  </r>
  <r>
    <d v="2024-03-19T00:00:00"/>
    <x v="35"/>
    <s v="Bookkeeping"/>
    <n v="1.25"/>
    <x v="62"/>
    <s v="Yes"/>
    <s v="AP, files, BR"/>
    <x v="3"/>
    <x v="3"/>
  </r>
  <r>
    <d v="2024-03-19T00:00:00"/>
    <x v="35"/>
    <s v="Bookkeeping"/>
    <n v="2.0299999999999998"/>
    <x v="62"/>
    <s v="Yes"/>
    <s v="AP, Aged payables review, update due date contact settings, prepare queries for follow up and catch up tomorrow with Adriana"/>
    <x v="3"/>
    <x v="3"/>
  </r>
  <r>
    <d v="2024-03-19T00:00:00"/>
    <x v="35"/>
    <s v="Meetings"/>
    <n v="0.08"/>
    <x v="11"/>
    <s v="No"/>
    <s v="update rto sched"/>
    <x v="3"/>
    <x v="3"/>
  </r>
  <r>
    <d v="2024-03-19T00:00:00"/>
    <x v="35"/>
    <s v="Meetings"/>
    <n v="0.38"/>
    <x v="11"/>
    <s v="No"/>
    <s v="monthly catch up with ANn"/>
    <x v="3"/>
    <x v="3"/>
  </r>
  <r>
    <d v="2024-03-19T00:00:00"/>
    <x v="36"/>
    <s v="Bookkeeping"/>
    <n v="1.17"/>
    <x v="16"/>
    <s v="Yes"/>
    <s v="OMs V25"/>
    <x v="3"/>
    <x v="3"/>
  </r>
  <r>
    <d v="2024-03-19T00:00:00"/>
    <x v="36"/>
    <s v="Bookkeeping"/>
    <n v="1.43"/>
    <x v="35"/>
    <s v="Yes"/>
    <m/>
    <x v="3"/>
    <x v="3"/>
  </r>
  <r>
    <d v="2024-03-19T00:00:00"/>
    <x v="36"/>
    <s v="Bookkeeping"/>
    <n v="2.98"/>
    <x v="16"/>
    <s v="Yes"/>
    <s v="Bank recs"/>
    <x v="3"/>
    <x v="3"/>
  </r>
  <r>
    <d v="2024-03-19T00:00:00"/>
    <x v="36"/>
    <s v="General"/>
    <n v="0.25"/>
    <x v="11"/>
    <s v="No"/>
    <s v="dex emails"/>
    <x v="3"/>
    <x v="3"/>
  </r>
  <r>
    <d v="2024-03-19T00:00:00"/>
    <x v="36"/>
    <s v="Management Reporting"/>
    <n v="2.48"/>
    <x v="35"/>
    <s v="Yes"/>
    <s v="BS recs"/>
    <x v="3"/>
    <x v="3"/>
  </r>
  <r>
    <d v="2024-03-19T00:00:00"/>
    <x v="36"/>
    <s v="Payroll Processing"/>
    <n v="0.62"/>
    <x v="34"/>
    <s v="Yes"/>
    <s v="Handover with Rose"/>
    <x v="3"/>
    <x v="3"/>
  </r>
  <r>
    <d v="2024-03-19T00:00:00"/>
    <x v="37"/>
    <s v="General"/>
    <n v="4.18"/>
    <x v="11"/>
    <s v="No"/>
    <s v="WIP updates Capacity planning Cashflow Accounts channel updating Bookkeeping assistance to Mel WA PTX querries"/>
    <x v="3"/>
    <x v="3"/>
  </r>
  <r>
    <d v="2024-03-19T00:00:00"/>
    <x v="37"/>
    <s v="General"/>
    <n v="5.53"/>
    <x v="11"/>
    <s v="No"/>
    <s v="Capacity call with Ali CM Call with Sherly Payroll review start Bilable hours query study - capacity vs need of additional resource against billable report Admin tasks "/>
    <x v="3"/>
    <x v="3"/>
  </r>
  <r>
    <d v="2024-03-19T00:00:00"/>
    <x v="38"/>
    <s v="Bookkeeping"/>
    <n v="8.1300000000000008"/>
    <x v="15"/>
    <s v="Yes"/>
    <m/>
    <x v="3"/>
    <x v="3"/>
  </r>
  <r>
    <d v="2024-03-19T00:00:00"/>
    <x v="39"/>
    <s v="Client Meeting"/>
    <n v="1.8"/>
    <x v="15"/>
    <s v="Yes"/>
    <s v="Virtual Activity "/>
    <x v="3"/>
    <x v="3"/>
  </r>
  <r>
    <d v="2024-03-19T00:00:00"/>
    <x v="39"/>
    <s v="General"/>
    <n v="0.2"/>
    <x v="11"/>
    <s v="No"/>
    <s v="Handover file for Alliance"/>
    <x v="3"/>
    <x v="3"/>
  </r>
  <r>
    <d v="2024-03-19T00:00:00"/>
    <x v="39"/>
    <s v="General"/>
    <n v="0.8"/>
    <x v="11"/>
    <s v="No"/>
    <s v="Arrange for handover to Sherly Teams messages Sprout leave filed"/>
    <x v="3"/>
    <x v="3"/>
  </r>
  <r>
    <d v="2024-03-19T00:00:00"/>
    <x v="39"/>
    <s v="Payroll Processing"/>
    <n v="0.87"/>
    <x v="34"/>
    <s v="Yes"/>
    <s v="Check timesheets Unapproved/unallocated TS report Payroll emails"/>
    <x v="3"/>
    <x v="3"/>
  </r>
  <r>
    <d v="2024-03-19T00:00:00"/>
    <x v="39"/>
    <s v="Payroll Processing"/>
    <n v="4.37"/>
    <x v="34"/>
    <s v="Yes"/>
    <s v="Payroll processing"/>
    <x v="3"/>
    <x v="3"/>
  </r>
  <r>
    <d v="2024-03-19T00:00:00"/>
    <x v="40"/>
    <s v="Individual Tax Returns"/>
    <n v="0.3"/>
    <x v="120"/>
    <s v="Yes"/>
    <s v="Add group to portal and email Stephen"/>
    <x v="3"/>
    <x v="3"/>
  </r>
  <r>
    <d v="2024-03-19T00:00:00"/>
    <x v="40"/>
    <s v="Trust Tax Returns"/>
    <n v="0.2"/>
    <x v="121"/>
    <s v="Yes"/>
    <s v="Add company to Dexterous client list and email Stephen re other entities and individuals."/>
    <x v="3"/>
    <x v="3"/>
  </r>
  <r>
    <d v="2024-03-19T00:00:00"/>
    <x v="41"/>
    <s v="Bookkeeping"/>
    <n v="0.98"/>
    <x v="36"/>
    <s v="Yes"/>
    <s v="Transactions review Cashflow update"/>
    <x v="3"/>
    <x v="3"/>
  </r>
  <r>
    <d v="2024-03-19T00:00:00"/>
    <x v="41"/>
    <s v="Bookkeeping"/>
    <n v="2.12"/>
    <x v="16"/>
    <s v="Yes"/>
    <s v="AP run Inbox mgmt Bank rec Set up payroll payments/forex deals"/>
    <x v="3"/>
    <x v="3"/>
  </r>
  <r>
    <d v="2024-03-19T00:00:00"/>
    <x v="41"/>
    <s v="Bookkeeping"/>
    <n v="2.87"/>
    <x v="16"/>
    <s v="Yes"/>
    <s v="Upload payroll AP run Upload payments Inbox mgmt"/>
    <x v="3"/>
    <x v="3"/>
  </r>
  <r>
    <d v="2024-03-19T00:00:00"/>
    <x v="41"/>
    <s v="General"/>
    <n v="0.5"/>
    <x v="11"/>
    <s v="No"/>
    <s v="Paid break"/>
    <x v="3"/>
    <x v="3"/>
  </r>
  <r>
    <d v="2024-03-19T00:00:00"/>
    <x v="41"/>
    <s v="Management Reporting"/>
    <n v="1.83"/>
    <x v="64"/>
    <s v="Yes"/>
    <s v="BS rec"/>
    <x v="3"/>
    <x v="3"/>
  </r>
  <r>
    <d v="2024-03-19T00:00:00"/>
    <x v="42"/>
    <s v="Client Manager"/>
    <n v="0.25"/>
    <x v="33"/>
    <s v="Yes"/>
    <s v="Upload payables, email Katherine/Shalisa"/>
    <x v="3"/>
    <x v="3"/>
  </r>
  <r>
    <d v="2024-03-19T00:00:00"/>
    <x v="42"/>
    <s v="Client Manager"/>
    <n v="0.33"/>
    <x v="36"/>
    <s v="Yes"/>
    <s v="Coordinate with Ish and Sarah re plan for IAS and AMEX"/>
    <x v="3"/>
    <x v="3"/>
  </r>
  <r>
    <d v="2024-03-19T00:00:00"/>
    <x v="42"/>
    <s v="Client Manager"/>
    <n v="8"/>
    <x v="102"/>
    <s v="Yes"/>
    <s v="Onsite: AP processing, enter PO's, enter supplier invoices, match PO, delivery dockets, filing for bank and credit card reconciliation. Supplier payment folder, catch-up with Catherine re queries. "/>
    <x v="3"/>
    <x v="3"/>
  </r>
  <r>
    <d v="2024-03-19T00:00:00"/>
    <x v="42"/>
    <s v="General"/>
    <n v="0.25"/>
    <x v="11"/>
    <s v="No"/>
    <s v="Attending to messages from Mel, RJ etc"/>
    <x v="3"/>
    <x v="3"/>
  </r>
  <r>
    <d v="2024-03-19T00:00:00"/>
    <x v="43"/>
    <s v="Bookkeeping"/>
    <n v="7"/>
    <x v="15"/>
    <s v="Yes"/>
    <s v="Cashflow, EBITDA  reports, AR Catch up, Virtual meeting, Client Onboarding"/>
    <x v="3"/>
    <x v="3"/>
  </r>
  <r>
    <d v="2024-03-19T00:00:00"/>
    <x v="43"/>
    <s v="Meetings"/>
    <n v="1"/>
    <x v="11"/>
    <s v="No"/>
    <s v="Ralph -meeting about payroll and handover Ann- meeting about Charm and AP concerns"/>
    <x v="3"/>
    <x v="3"/>
  </r>
  <r>
    <d v="2024-03-19T00:00:00"/>
    <x v="44"/>
    <s v="Annual Leave"/>
    <n v="7.6"/>
    <x v="11"/>
    <s v="No"/>
    <m/>
    <x v="3"/>
    <x v="3"/>
  </r>
  <r>
    <d v="2024-03-19T00:00:00"/>
    <x v="45"/>
    <s v="HR/Recuitment"/>
    <n v="2"/>
    <x v="11"/>
    <s v="No"/>
    <e v="#NAME?"/>
    <x v="3"/>
    <x v="3"/>
  </r>
  <r>
    <d v="2024-03-19T00:00:00"/>
    <x v="45"/>
    <s v="HR/Recuitment"/>
    <n v="2"/>
    <x v="11"/>
    <s v="No"/>
    <e v="#NAME?"/>
    <x v="3"/>
    <x v="3"/>
  </r>
  <r>
    <d v="2024-03-19T00:00:00"/>
    <x v="45"/>
    <s v="HR/Recuitment"/>
    <n v="3"/>
    <x v="11"/>
    <s v="No"/>
    <e v="#NAME?"/>
    <x v="3"/>
    <x v="3"/>
  </r>
  <r>
    <d v="2024-03-19T00:00:00"/>
    <x v="45"/>
    <s v="Meetings"/>
    <n v="1"/>
    <x v="11"/>
    <s v="No"/>
    <e v="#NAME?"/>
    <x v="3"/>
    <x v="3"/>
  </r>
  <r>
    <d v="2024-03-20T00:00:00"/>
    <x v="0"/>
    <s v="Bookkeeping"/>
    <n v="0.05"/>
    <x v="5"/>
    <s v="Yes"/>
    <s v="Emails"/>
    <x v="3"/>
    <x v="4"/>
  </r>
  <r>
    <d v="2024-03-20T00:00:00"/>
    <x v="0"/>
    <s v="Bookkeeping"/>
    <n v="0.12"/>
    <x v="8"/>
    <s v="Yes"/>
    <s v="Email and Manual Journal"/>
    <x v="3"/>
    <x v="4"/>
  </r>
  <r>
    <d v="2024-03-20T00:00:00"/>
    <x v="0"/>
    <s v="Bookkeeping"/>
    <n v="0.15"/>
    <x v="5"/>
    <s v="Yes"/>
    <s v="Bank Reconciliation"/>
    <x v="3"/>
    <x v="4"/>
  </r>
  <r>
    <d v="2024-03-20T00:00:00"/>
    <x v="0"/>
    <s v="Bookkeeping"/>
    <n v="0.22"/>
    <x v="1"/>
    <s v="Yes"/>
    <s v="Clear AP inbox and Submit bill for approval in Xero"/>
    <x v="3"/>
    <x v="4"/>
  </r>
  <r>
    <d v="2024-03-20T00:00:00"/>
    <x v="0"/>
    <s v="Bookkeeping"/>
    <n v="0.23"/>
    <x v="0"/>
    <s v="Yes"/>
    <s v="Bank Reconciliation and Email/Inbox Management"/>
    <x v="3"/>
    <x v="4"/>
  </r>
  <r>
    <d v="2024-03-20T00:00:00"/>
    <x v="0"/>
    <s v="Bookkeeping"/>
    <n v="0.33"/>
    <x v="13"/>
    <s v="Yes"/>
    <s v="Bank Reconciliation"/>
    <x v="3"/>
    <x v="4"/>
  </r>
  <r>
    <d v="2024-03-20T00:00:00"/>
    <x v="0"/>
    <s v="Bookkeeping"/>
    <n v="0.35"/>
    <x v="0"/>
    <s v="Yes"/>
    <s v="Bank Reconciliation"/>
    <x v="3"/>
    <x v="4"/>
  </r>
  <r>
    <d v="2024-03-20T00:00:00"/>
    <x v="0"/>
    <s v="Bookkeeping"/>
    <n v="0.53"/>
    <x v="5"/>
    <s v="Yes"/>
    <s v="AP and Email/Inbox Management"/>
    <x v="3"/>
    <x v="4"/>
  </r>
  <r>
    <d v="2024-03-20T00:00:00"/>
    <x v="0"/>
    <s v="Bookkeeping"/>
    <n v="0.65"/>
    <x v="7"/>
    <s v="Yes"/>
    <s v="Bank Reconciliation"/>
    <x v="3"/>
    <x v="4"/>
  </r>
  <r>
    <d v="2024-03-20T00:00:00"/>
    <x v="0"/>
    <s v="Bookkeeping"/>
    <n v="1.23"/>
    <x v="9"/>
    <s v="Yes"/>
    <s v="Accounts Payable"/>
    <x v="3"/>
    <x v="4"/>
  </r>
  <r>
    <d v="2024-03-20T00:00:00"/>
    <x v="0"/>
    <s v="Bookkeeping"/>
    <n v="2.0299999999999998"/>
    <x v="8"/>
    <s v="Yes"/>
    <s v="Bank Reconciliation"/>
    <x v="3"/>
    <x v="4"/>
  </r>
  <r>
    <d v="2024-03-20T00:00:00"/>
    <x v="0"/>
    <s v="General"/>
    <n v="0.25"/>
    <x v="11"/>
    <s v="No"/>
    <s v="Afternoon Break"/>
    <x v="3"/>
    <x v="4"/>
  </r>
  <r>
    <d v="2024-03-20T00:00:00"/>
    <x v="0"/>
    <s v="General"/>
    <n v="0.25"/>
    <x v="11"/>
    <s v="No"/>
    <s v="Morning Break"/>
    <x v="3"/>
    <x v="4"/>
  </r>
  <r>
    <d v="2024-03-20T00:00:00"/>
    <x v="0"/>
    <s v="Learning &amp; Development"/>
    <n v="1.18"/>
    <x v="11"/>
    <s v="No"/>
    <s v="Wyzed Training"/>
    <x v="3"/>
    <x v="4"/>
  </r>
  <r>
    <d v="2024-03-20T00:00:00"/>
    <x v="0"/>
    <s v="Payroll Processing"/>
    <n v="0.42"/>
    <x v="80"/>
    <s v="Yes"/>
    <m/>
    <x v="3"/>
    <x v="4"/>
  </r>
  <r>
    <d v="2024-03-20T00:00:00"/>
    <x v="1"/>
    <s v="P&amp;C Advisory"/>
    <n v="2.5"/>
    <x v="34"/>
    <s v="Yes"/>
    <s v="Meetings with MD to discuss redundancy Redundancy outcome discussion Salary review discussion Daily meeting with P &amp; C Coordinator Correspondence with employee post redundancy discussion Correspondence re. 2024 salary reviews Coordinate salary review meetings"/>
    <x v="3"/>
    <x v="4"/>
  </r>
  <r>
    <d v="2024-03-20T00:00:00"/>
    <x v="1"/>
    <s v="P&amp;C Advisory - Group"/>
    <n v="2"/>
    <x v="14"/>
    <s v="Yes"/>
    <s v="Call with Finance Director re. people issues Distribute bonus letter Draft flexible working arrangement agreement  Correspondence re. salary reviews Correspondence re. pulse survey"/>
    <x v="3"/>
    <x v="4"/>
  </r>
  <r>
    <d v="2024-03-20T00:00:00"/>
    <x v="1"/>
    <s v="P&amp;C Advisory - Nederman Mikropul"/>
    <n v="1.25"/>
    <x v="14"/>
    <s v="Yes"/>
    <s v="Interview - Solution Sales Manager Liaise with candidates re. references Review/correspondence re. applicants for Service Technician role"/>
    <x v="3"/>
    <x v="4"/>
  </r>
  <r>
    <d v="2024-03-20T00:00:00"/>
    <x v="1"/>
    <s v="P&amp;C Advisory - Nordfab"/>
    <n v="0.92"/>
    <x v="14"/>
    <s v="Yes"/>
    <s v="Calls re. people issues in QLD Correspondence re. sales training"/>
    <x v="3"/>
    <x v="4"/>
  </r>
  <r>
    <d v="2024-03-20T00:00:00"/>
    <x v="2"/>
    <s v="Bookkeeping"/>
    <n v="0.4"/>
    <x v="5"/>
    <s v="Yes"/>
    <m/>
    <x v="3"/>
    <x v="4"/>
  </r>
  <r>
    <d v="2024-03-20T00:00:00"/>
    <x v="2"/>
    <s v="Bookkeeping"/>
    <n v="0.48"/>
    <x v="5"/>
    <s v="No"/>
    <s v="call with Mary re payroll, check email re payroll adjustment"/>
    <x v="3"/>
    <x v="4"/>
  </r>
  <r>
    <d v="2024-03-20T00:00:00"/>
    <x v="2"/>
    <s v="Bookkeeping"/>
    <n v="1.1200000000000001"/>
    <x v="58"/>
    <s v="Yes"/>
    <m/>
    <x v="3"/>
    <x v="4"/>
  </r>
  <r>
    <d v="2024-03-20T00:00:00"/>
    <x v="2"/>
    <s v="General"/>
    <n v="0.18"/>
    <x v="11"/>
    <s v="No"/>
    <s v="emails, chats, Sprout"/>
    <x v="3"/>
    <x v="4"/>
  </r>
  <r>
    <d v="2024-03-20T00:00:00"/>
    <x v="2"/>
    <s v="General"/>
    <n v="0.37"/>
    <x v="11"/>
    <s v="No"/>
    <s v="chats re staff concern, check TS of Charm, etc"/>
    <x v="3"/>
    <x v="4"/>
  </r>
  <r>
    <d v="2024-03-20T00:00:00"/>
    <x v="2"/>
    <s v="General"/>
    <n v="1.57"/>
    <x v="11"/>
    <s v="No"/>
    <m/>
    <x v="3"/>
    <x v="4"/>
  </r>
  <r>
    <d v="2024-03-20T00:00:00"/>
    <x v="2"/>
    <s v="General"/>
    <n v="1.6"/>
    <x v="11"/>
    <s v="No"/>
    <s v="chats, emails, meeting with Charm, etc"/>
    <x v="3"/>
    <x v="4"/>
  </r>
  <r>
    <d v="2024-03-20T00:00:00"/>
    <x v="2"/>
    <s v="General"/>
    <n v="2.0299999999999998"/>
    <x v="11"/>
    <s v="No"/>
    <s v="chats, follow ups, compile data for departmental updates and email to Gen, fix holidays sched requirements, call with Xavi re concerns, etc"/>
    <x v="3"/>
    <x v="4"/>
  </r>
  <r>
    <d v="2024-03-20T00:00:00"/>
    <x v="2"/>
    <s v="Learning &amp; Development"/>
    <n v="0.55000000000000004"/>
    <x v="11"/>
    <s v="No"/>
    <s v="research about car parking salary package and FBT"/>
    <x v="3"/>
    <x v="4"/>
  </r>
  <r>
    <d v="2024-03-20T00:00:00"/>
    <x v="3"/>
    <s v="Learning &amp; Development"/>
    <n v="8"/>
    <x v="11"/>
    <s v="No"/>
    <s v="-Meeting with Alliance AP Team (end-users) to discuss automation status  - prepare Alliance AP progress report   - Continue video/Manual editing / syncing"/>
    <x v="3"/>
    <x v="4"/>
  </r>
  <r>
    <d v="2024-03-20T00:00:00"/>
    <x v="4"/>
    <s v="Business Development"/>
    <n v="8"/>
    <x v="11"/>
    <s v="No"/>
    <m/>
    <x v="3"/>
    <x v="4"/>
  </r>
  <r>
    <d v="2024-03-20T00:00:00"/>
    <x v="5"/>
    <s v="Bookkeeping"/>
    <n v="0.5"/>
    <x v="15"/>
    <s v="Yes"/>
    <s v="Leave report"/>
    <x v="3"/>
    <x v="4"/>
  </r>
  <r>
    <d v="2024-03-20T00:00:00"/>
    <x v="5"/>
    <s v="Bookkeeping"/>
    <n v="1"/>
    <x v="15"/>
    <s v="Yes"/>
    <s v="Marking paid in Simpro"/>
    <x v="3"/>
    <x v="4"/>
  </r>
  <r>
    <d v="2024-03-20T00:00:00"/>
    <x v="5"/>
    <s v="Bookkeeping"/>
    <n v="1.25"/>
    <x v="15"/>
    <s v="Yes"/>
    <s v="Posting of invoices"/>
    <x v="3"/>
    <x v="4"/>
  </r>
  <r>
    <d v="2024-03-20T00:00:00"/>
    <x v="5"/>
    <s v="Bookkeeping"/>
    <n v="2.75"/>
    <x v="15"/>
    <s v="Yes"/>
    <s v="Email Management"/>
    <x v="3"/>
    <x v="4"/>
  </r>
  <r>
    <d v="2024-03-20T00:00:00"/>
    <x v="6"/>
    <s v="Automations"/>
    <n v="5"/>
    <x v="11"/>
    <s v="No"/>
    <s v="PowerAutomateDataExtract - Updated sequence of activities, added workarounds for error encountered"/>
    <x v="3"/>
    <x v="4"/>
  </r>
  <r>
    <d v="2024-03-20T00:00:00"/>
    <x v="6"/>
    <s v="Automations - Pinnacle"/>
    <n v="3"/>
    <x v="11"/>
    <s v="No"/>
    <s v="XeroDownloadReportsAutomation - Added aged receivables summary sequence"/>
    <x v="3"/>
    <x v="4"/>
  </r>
  <r>
    <d v="2024-03-20T00:00:00"/>
    <x v="8"/>
    <s v="Automations"/>
    <n v="4"/>
    <x v="11"/>
    <s v="No"/>
    <s v="Run four Alliance automations + AP automation;  Added 6 supplier to Alliance Automation Tax Invoice/Credit Adjustments"/>
    <x v="3"/>
    <x v="4"/>
  </r>
  <r>
    <d v="2024-03-20T00:00:00"/>
    <x v="9"/>
    <s v="Automations"/>
    <n v="9.08"/>
    <x v="11"/>
    <s v="No"/>
    <s v="Data Matrix Automation Development"/>
    <x v="3"/>
    <x v="4"/>
  </r>
  <r>
    <d v="2024-03-20T00:00:00"/>
    <x v="10"/>
    <s v="Bookkeeping"/>
    <n v="0.08"/>
    <x v="42"/>
    <s v="No"/>
    <s v="checking"/>
    <x v="3"/>
    <x v="4"/>
  </r>
  <r>
    <d v="2024-03-20T00:00:00"/>
    <x v="10"/>
    <s v="Bookkeeping"/>
    <n v="0.25"/>
    <x v="85"/>
    <s v="Yes"/>
    <s v="Reconciling wages payable, bank recon"/>
    <x v="3"/>
    <x v="4"/>
  </r>
  <r>
    <d v="2024-03-20T00:00:00"/>
    <x v="10"/>
    <s v="Bookkeeping"/>
    <n v="0.33"/>
    <x v="42"/>
    <s v="Yes"/>
    <s v="Checking emails, updating month end file"/>
    <x v="3"/>
    <x v="4"/>
  </r>
  <r>
    <d v="2024-03-20T00:00:00"/>
    <x v="10"/>
    <s v="Bookkeeping"/>
    <n v="4.25"/>
    <x v="23"/>
    <s v="Yes"/>
    <s v="Checking emails, loading bills, creating invoices, bank recon, weekly report"/>
    <x v="3"/>
    <x v="4"/>
  </r>
  <r>
    <d v="2024-03-20T00:00:00"/>
    <x v="10"/>
    <s v="General"/>
    <n v="0.5"/>
    <x v="11"/>
    <s v="No"/>
    <s v="break"/>
    <x v="3"/>
    <x v="4"/>
  </r>
  <r>
    <d v="2024-03-20T00:00:00"/>
    <x v="10"/>
    <s v="Out-of-Scope Services"/>
    <n v="0.08"/>
    <x v="122"/>
    <s v="No"/>
    <s v="checking"/>
    <x v="3"/>
    <x v="4"/>
  </r>
  <r>
    <d v="2024-03-20T00:00:00"/>
    <x v="10"/>
    <s v="Out-of-Scope Services"/>
    <n v="1"/>
    <x v="122"/>
    <s v="Yes"/>
    <s v="Account recon for BAS"/>
    <x v="3"/>
    <x v="4"/>
  </r>
  <r>
    <d v="2024-03-20T00:00:00"/>
    <x v="10"/>
    <s v="Payroll Processing"/>
    <n v="0.67"/>
    <x v="50"/>
    <s v="No"/>
    <s v="Re-watching payroll process recordings and shadow training with Sarah"/>
    <x v="3"/>
    <x v="4"/>
  </r>
  <r>
    <d v="2024-03-20T00:00:00"/>
    <x v="10"/>
    <s v="Payroll Processing"/>
    <n v="0.83"/>
    <x v="42"/>
    <s v="Yes"/>
    <s v="FN payroll, adding new employee"/>
    <x v="3"/>
    <x v="4"/>
  </r>
  <r>
    <d v="2024-03-20T00:00:00"/>
    <x v="46"/>
    <s v="CFO001 - CFO Services"/>
    <n v="1"/>
    <x v="5"/>
    <s v="Yes"/>
    <s v="Sort out invoicing (Lynn sending out error) + expense claims Review + approve Hunter Loan correction (investigation done by Ann)"/>
    <x v="3"/>
    <x v="4"/>
  </r>
  <r>
    <d v="2024-03-20T00:00:00"/>
    <x v="11"/>
    <s v="Bookkeeping"/>
    <n v="0.13"/>
    <x v="73"/>
    <s v="Yes"/>
    <s v="queries"/>
    <x v="3"/>
    <x v="4"/>
  </r>
  <r>
    <d v="2024-03-20T00:00:00"/>
    <x v="11"/>
    <s v="Bookkeeping"/>
    <n v="0.3"/>
    <x v="12"/>
    <s v="Yes"/>
    <s v="Commbiz auto bank feeds"/>
    <x v="3"/>
    <x v="4"/>
  </r>
  <r>
    <d v="2024-03-20T00:00:00"/>
    <x v="11"/>
    <s v="Bookkeeping"/>
    <n v="0.78"/>
    <x v="73"/>
    <s v="Yes"/>
    <s v="Dadtronica sale"/>
    <x v="3"/>
    <x v="4"/>
  </r>
  <r>
    <d v="2024-03-20T00:00:00"/>
    <x v="11"/>
    <s v="Bookkeeping"/>
    <n v="1.2"/>
    <x v="73"/>
    <s v="Yes"/>
    <s v="review of Dadtronica sale"/>
    <x v="3"/>
    <x v="4"/>
  </r>
  <r>
    <d v="2024-03-20T00:00:00"/>
    <x v="11"/>
    <s v="General"/>
    <n v="0.17"/>
    <x v="11"/>
    <s v="No"/>
    <s v="engagement activity idea"/>
    <x v="3"/>
    <x v="4"/>
  </r>
  <r>
    <d v="2024-03-20T00:00:00"/>
    <x v="11"/>
    <s v="General"/>
    <n v="0.43"/>
    <x v="11"/>
    <s v="No"/>
    <s v="leave calendar /holiday schedule"/>
    <x v="3"/>
    <x v="4"/>
  </r>
  <r>
    <d v="2024-03-20T00:00:00"/>
    <x v="11"/>
    <s v="General"/>
    <n v="0.55000000000000004"/>
    <x v="11"/>
    <s v="No"/>
    <s v="emails/ queries/ inbox"/>
    <x v="3"/>
    <x v="4"/>
  </r>
  <r>
    <d v="2024-03-20T00:00:00"/>
    <x v="11"/>
    <s v="General"/>
    <n v="0.55000000000000004"/>
    <x v="11"/>
    <s v="No"/>
    <s v="Teams queries"/>
    <x v="3"/>
    <x v="4"/>
  </r>
  <r>
    <d v="2024-03-20T00:00:00"/>
    <x v="11"/>
    <s v="Meetings"/>
    <n v="0.35"/>
    <x v="11"/>
    <s v="No"/>
    <s v="call w/ Ann"/>
    <x v="3"/>
    <x v="4"/>
  </r>
  <r>
    <d v="2024-03-20T00:00:00"/>
    <x v="11"/>
    <s v="Payroll Processing"/>
    <n v="0.13"/>
    <x v="15"/>
    <s v="No"/>
    <s v="call w/ Sherly"/>
    <x v="3"/>
    <x v="4"/>
  </r>
  <r>
    <d v="2024-03-20T00:00:00"/>
    <x v="11"/>
    <s v="Payroll Processing"/>
    <n v="0.43"/>
    <x v="15"/>
    <s v="No"/>
    <s v="queries"/>
    <x v="3"/>
    <x v="4"/>
  </r>
  <r>
    <d v="2024-03-20T00:00:00"/>
    <x v="11"/>
    <s v="Payroll Processing"/>
    <n v="0.43"/>
    <x v="15"/>
    <s v="Yes"/>
    <s v="changeover"/>
    <x v="3"/>
    <x v="4"/>
  </r>
  <r>
    <d v="2024-03-20T00:00:00"/>
    <x v="11"/>
    <s v="Payroll Processing"/>
    <n v="0.47"/>
    <x v="42"/>
    <s v="Yes"/>
    <s v="review"/>
    <x v="3"/>
    <x v="4"/>
  </r>
  <r>
    <d v="2024-03-20T00:00:00"/>
    <x v="11"/>
    <s v="Payroll Processing"/>
    <n v="2.0699999999999998"/>
    <x v="15"/>
    <s v="Yes"/>
    <m/>
    <x v="3"/>
    <x v="4"/>
  </r>
  <r>
    <d v="2024-03-20T00:00:00"/>
    <x v="12"/>
    <s v="Annual Leave"/>
    <n v="8"/>
    <x v="11"/>
    <s v="No"/>
    <m/>
    <x v="3"/>
    <x v="4"/>
  </r>
  <r>
    <d v="2024-03-20T00:00:00"/>
    <x v="13"/>
    <s v="Bookkeeping"/>
    <n v="0.27"/>
    <x v="72"/>
    <s v="No"/>
    <s v="non billable rechecking of processed invoice from inbox"/>
    <x v="3"/>
    <x v="4"/>
  </r>
  <r>
    <d v="2024-03-20T00:00:00"/>
    <x v="13"/>
    <s v="Bookkeeping"/>
    <n v="0.43"/>
    <x v="29"/>
    <s v="Yes"/>
    <s v="export ABA"/>
    <x v="3"/>
    <x v="4"/>
  </r>
  <r>
    <d v="2024-03-20T00:00:00"/>
    <x v="13"/>
    <s v="Bookkeeping"/>
    <n v="0.6"/>
    <x v="29"/>
    <s v="Yes"/>
    <s v="AP batch report"/>
    <x v="3"/>
    <x v="4"/>
  </r>
  <r>
    <d v="2024-03-20T00:00:00"/>
    <x v="13"/>
    <s v="Bookkeeping"/>
    <n v="0.73"/>
    <x v="29"/>
    <s v="Yes"/>
    <s v="bank recs approve ap invoices ap invoices from inbox"/>
    <x v="3"/>
    <x v="4"/>
  </r>
  <r>
    <d v="2024-03-20T00:00:00"/>
    <x v="13"/>
    <s v="Bookkeeping"/>
    <n v="2"/>
    <x v="30"/>
    <s v="Yes"/>
    <s v="checking of shopify report. sales report as per client request. bank recs "/>
    <x v="3"/>
    <x v="4"/>
  </r>
  <r>
    <d v="2024-03-20T00:00:00"/>
    <x v="13"/>
    <s v="Bookkeeping - AP"/>
    <n v="3.1"/>
    <x v="31"/>
    <s v="Yes"/>
    <s v="approve ap invoices Bank recs ap invoices from inbox"/>
    <x v="3"/>
    <x v="4"/>
  </r>
  <r>
    <d v="2024-03-20T00:00:00"/>
    <x v="13"/>
    <s v="General"/>
    <n v="0.37"/>
    <x v="11"/>
    <s v="No"/>
    <s v="checking of process docs"/>
    <x v="3"/>
    <x v="4"/>
  </r>
  <r>
    <d v="2024-03-20T00:00:00"/>
    <x v="13"/>
    <s v="General"/>
    <n v="0.5"/>
    <x v="11"/>
    <s v="No"/>
    <s v="break"/>
    <x v="3"/>
    <x v="4"/>
  </r>
  <r>
    <d v="2024-03-20T00:00:00"/>
    <x v="14"/>
    <s v="Bookkeeping"/>
    <n v="0.13"/>
    <x v="25"/>
    <s v="Yes"/>
    <s v="Sending email to client re IAS"/>
    <x v="3"/>
    <x v="4"/>
  </r>
  <r>
    <d v="2024-03-20T00:00:00"/>
    <x v="14"/>
    <s v="Bookkeeping"/>
    <n v="0.57999999999999996"/>
    <x v="32"/>
    <s v="Yes"/>
    <s v="Answering queries, checking AR,"/>
    <x v="3"/>
    <x v="4"/>
  </r>
  <r>
    <d v="2024-03-20T00:00:00"/>
    <x v="14"/>
    <s v="Bookkeeping"/>
    <n v="0.98"/>
    <x v="73"/>
    <s v="Yes"/>
    <s v="Bank recs"/>
    <x v="3"/>
    <x v="4"/>
  </r>
  <r>
    <d v="2024-03-20T00:00:00"/>
    <x v="14"/>
    <s v="Bookkeeping"/>
    <n v="1.75"/>
    <x v="73"/>
    <s v="Yes"/>
    <s v="Recording of invoices, bank recs"/>
    <x v="3"/>
    <x v="4"/>
  </r>
  <r>
    <d v="2024-03-20T00:00:00"/>
    <x v="14"/>
    <s v="Bookkeeping"/>
    <n v="2.88"/>
    <x v="73"/>
    <s v="Yes"/>
    <s v="Bank recs, recording of invoices"/>
    <x v="3"/>
    <x v="4"/>
  </r>
  <r>
    <d v="2024-03-20T00:00:00"/>
    <x v="14"/>
    <s v="Payroll Processing"/>
    <n v="0.22"/>
    <x v="34"/>
    <s v="Yes"/>
    <s v="Finalizing and exporting ABA files"/>
    <x v="3"/>
    <x v="4"/>
  </r>
  <r>
    <d v="2024-03-20T00:00:00"/>
    <x v="14"/>
    <s v="Payroll Processing"/>
    <n v="1.45"/>
    <x v="34"/>
    <s v="Yes"/>
    <s v="Payroll"/>
    <x v="3"/>
    <x v="4"/>
  </r>
  <r>
    <d v="2024-03-20T00:00:00"/>
    <x v="15"/>
    <s v="Bookkeeping"/>
    <n v="0.33"/>
    <x v="47"/>
    <s v="No"/>
    <s v="check with Sarah RH capital requests - ITR copies "/>
    <x v="3"/>
    <x v="4"/>
  </r>
  <r>
    <d v="2024-03-20T00:00:00"/>
    <x v="15"/>
    <s v="Bookkeeping"/>
    <n v="0.33"/>
    <x v="18"/>
    <s v="Yes"/>
    <s v="bank rec"/>
    <x v="3"/>
    <x v="4"/>
  </r>
  <r>
    <d v="2024-03-20T00:00:00"/>
    <x v="15"/>
    <s v="Bookkeeping"/>
    <n v="0.73"/>
    <x v="18"/>
    <s v="Yes"/>
    <s v="bank rec and email client"/>
    <x v="3"/>
    <x v="4"/>
  </r>
  <r>
    <d v="2024-03-20T00:00:00"/>
    <x v="15"/>
    <s v="Bookkeeping"/>
    <n v="3.15"/>
    <x v="18"/>
    <s v="Yes"/>
    <m/>
    <x v="3"/>
    <x v="4"/>
  </r>
  <r>
    <d v="2024-03-20T00:00:00"/>
    <x v="15"/>
    <s v="General"/>
    <n v="0.5"/>
    <x v="11"/>
    <s v="No"/>
    <s v="chat with Maan about payroll process for recording, chat with Sarah about RH capital ITR"/>
    <x v="3"/>
    <x v="4"/>
  </r>
  <r>
    <d v="2024-03-20T00:00:00"/>
    <x v="15"/>
    <s v="General"/>
    <n v="0.53"/>
    <x v="11"/>
    <s v="No"/>
    <s v="emails, asana, xpm, chat"/>
    <x v="3"/>
    <x v="4"/>
  </r>
  <r>
    <d v="2024-03-20T00:00:00"/>
    <x v="15"/>
    <s v="General"/>
    <n v="1.1499999999999999"/>
    <x v="11"/>
    <s v="No"/>
    <s v="linkedin videos review to upload in wyzed"/>
    <x v="3"/>
    <x v="4"/>
  </r>
  <r>
    <d v="2024-03-20T00:00:00"/>
    <x v="15"/>
    <s v="IAS/BAS Preparation &amp; Lodgement - Feb"/>
    <n v="0.05"/>
    <x v="97"/>
    <s v="Yes"/>
    <s v="reminder email sent"/>
    <x v="3"/>
    <x v="4"/>
  </r>
  <r>
    <d v="2024-03-20T00:00:00"/>
    <x v="15"/>
    <s v="Payroll Processing"/>
    <n v="1.1200000000000001"/>
    <x v="35"/>
    <s v="No"/>
    <s v="assist Rac payroll questions"/>
    <x v="3"/>
    <x v="4"/>
  </r>
  <r>
    <d v="2024-03-20T00:00:00"/>
    <x v="16"/>
    <s v="Bookkeeping"/>
    <n v="0.25"/>
    <x v="1"/>
    <s v="Yes"/>
    <s v="Feb 24 payroll tax"/>
    <x v="3"/>
    <x v="4"/>
  </r>
  <r>
    <d v="2024-03-20T00:00:00"/>
    <x v="16"/>
    <s v="Bookkeeping"/>
    <n v="0.65"/>
    <x v="35"/>
    <s v="Yes"/>
    <m/>
    <x v="3"/>
    <x v="4"/>
  </r>
  <r>
    <d v="2024-03-20T00:00:00"/>
    <x v="16"/>
    <s v="Payroll Processing"/>
    <n v="0.9"/>
    <x v="75"/>
    <s v="Yes"/>
    <m/>
    <x v="3"/>
    <x v="4"/>
  </r>
  <r>
    <d v="2024-03-20T00:00:00"/>
    <x v="16"/>
    <s v="Payroll Processing"/>
    <n v="6.27"/>
    <x v="1"/>
    <s v="Yes"/>
    <m/>
    <x v="3"/>
    <x v="4"/>
  </r>
  <r>
    <d v="2024-03-20T00:00:00"/>
    <x v="18"/>
    <s v="Bookkeeping"/>
    <n v="0.17"/>
    <x v="39"/>
    <s v="Yes"/>
    <m/>
    <x v="3"/>
    <x v="4"/>
  </r>
  <r>
    <d v="2024-03-20T00:00:00"/>
    <x v="18"/>
    <s v="Bookkeeping"/>
    <n v="0.25"/>
    <x v="35"/>
    <s v="Yes"/>
    <m/>
    <x v="3"/>
    <x v="4"/>
  </r>
  <r>
    <d v="2024-03-20T00:00:00"/>
    <x v="18"/>
    <s v="Bookkeeping"/>
    <n v="0.25"/>
    <x v="47"/>
    <s v="No"/>
    <s v="call regarding RH capital for adhoc task"/>
    <x v="3"/>
    <x v="4"/>
  </r>
  <r>
    <d v="2024-03-20T00:00:00"/>
    <x v="18"/>
    <s v="Bookkeeping"/>
    <n v="0.33"/>
    <x v="37"/>
    <s v="Yes"/>
    <m/>
    <x v="3"/>
    <x v="4"/>
  </r>
  <r>
    <d v="2024-03-20T00:00:00"/>
    <x v="18"/>
    <s v="Bookkeeping"/>
    <n v="0.5"/>
    <x v="40"/>
    <s v="No"/>
    <s v="Call with Sarah to ask for advice on the client queries and some items for recon"/>
    <x v="3"/>
    <x v="4"/>
  </r>
  <r>
    <d v="2024-03-20T00:00:00"/>
    <x v="18"/>
    <s v="Bookkeeping"/>
    <n v="0.88"/>
    <x v="27"/>
    <s v="Yes"/>
    <m/>
    <x v="3"/>
    <x v="4"/>
  </r>
  <r>
    <d v="2024-03-20T00:00:00"/>
    <x v="18"/>
    <s v="Bookkeeping"/>
    <n v="1"/>
    <x v="40"/>
    <s v="Yes"/>
    <m/>
    <x v="3"/>
    <x v="4"/>
  </r>
  <r>
    <d v="2024-03-20T00:00:00"/>
    <x v="18"/>
    <s v="Bookkeeping"/>
    <n v="1.23"/>
    <x v="47"/>
    <s v="Yes"/>
    <m/>
    <x v="3"/>
    <x v="4"/>
  </r>
  <r>
    <d v="2024-03-20T00:00:00"/>
    <x v="18"/>
    <s v="Bookkeeping"/>
    <n v="1.45"/>
    <x v="27"/>
    <s v="Yes"/>
    <s v="client queries, ap items, bank recon dext prepare items."/>
    <x v="3"/>
    <x v="4"/>
  </r>
  <r>
    <d v="2024-03-20T00:00:00"/>
    <x v="18"/>
    <s v="Bookkeeping"/>
    <n v="1.57"/>
    <x v="40"/>
    <s v="Yes"/>
    <s v="ap items, invoices from procore &amp; hubdoc, EH items, ap email queries"/>
    <x v="3"/>
    <x v="4"/>
  </r>
  <r>
    <d v="2024-03-20T00:00:00"/>
    <x v="18"/>
    <s v="Payroll Processing"/>
    <n v="0.37"/>
    <x v="40"/>
    <s v="Yes"/>
    <m/>
    <x v="3"/>
    <x v="4"/>
  </r>
  <r>
    <d v="2024-03-20T00:00:00"/>
    <x v="19"/>
    <s v="Automations - Surefire"/>
    <n v="8"/>
    <x v="11"/>
    <s v="No"/>
    <s v="Surefire Automation"/>
    <x v="3"/>
    <x v="4"/>
  </r>
  <r>
    <d v="2024-03-20T00:00:00"/>
    <x v="20"/>
    <s v="Automations"/>
    <n v="8"/>
    <x v="11"/>
    <s v="No"/>
    <m/>
    <x v="3"/>
    <x v="4"/>
  </r>
  <r>
    <d v="2024-03-20T00:00:00"/>
    <x v="21"/>
    <s v="Automations"/>
    <n v="8"/>
    <x v="11"/>
    <s v="No"/>
    <s v="Run: Lack of Color Run: AR Ageing Automation Dev: Pinnacle Oporto Automation"/>
    <x v="3"/>
    <x v="4"/>
  </r>
  <r>
    <d v="2024-03-20T00:00:00"/>
    <x v="22"/>
    <s v="Client Admin"/>
    <n v="0.38"/>
    <x v="11"/>
    <s v="No"/>
    <s v="Filing from downloads folder Emails"/>
    <x v="3"/>
    <x v="4"/>
  </r>
  <r>
    <d v="2024-03-20T00:00:00"/>
    <x v="22"/>
    <s v="Client Meeting"/>
    <n v="1"/>
    <x v="44"/>
    <s v="Yes"/>
    <s v="Meeting with Zoe Meeting with Kim and Zoe"/>
    <x v="3"/>
    <x v="4"/>
  </r>
  <r>
    <d v="2024-03-20T00:00:00"/>
    <x v="22"/>
    <s v="General"/>
    <n v="0.17"/>
    <x v="11"/>
    <s v="No"/>
    <s v="Password update check teams"/>
    <x v="3"/>
    <x v="4"/>
  </r>
  <r>
    <d v="2024-03-20T00:00:00"/>
    <x v="22"/>
    <s v="General"/>
    <n v="0.5"/>
    <x v="11"/>
    <s v="No"/>
    <s v="Nick re tax etc"/>
    <x v="3"/>
    <x v="4"/>
  </r>
  <r>
    <d v="2024-03-20T00:00:00"/>
    <x v="22"/>
    <s v="Payroll Processing"/>
    <n v="0.25"/>
    <x v="42"/>
    <s v="Yes"/>
    <s v="Check payroll and load to bank, send to Ef"/>
    <x v="3"/>
    <x v="4"/>
  </r>
  <r>
    <d v="2024-03-20T00:00:00"/>
    <x v="22"/>
    <s v="Payroll Processing"/>
    <n v="0.3"/>
    <x v="34"/>
    <s v="Yes"/>
    <s v="REview NSW"/>
    <x v="3"/>
    <x v="4"/>
  </r>
  <r>
    <d v="2024-03-20T00:00:00"/>
    <x v="22"/>
    <s v="Payroll Processing"/>
    <n v="0.37"/>
    <x v="34"/>
    <s v="Yes"/>
    <s v="Call with Andrew re budget spreadsheet"/>
    <x v="3"/>
    <x v="4"/>
  </r>
  <r>
    <d v="2024-03-20T00:00:00"/>
    <x v="22"/>
    <s v="Payroll Processing"/>
    <n v="0.87"/>
    <x v="34"/>
    <s v="Yes"/>
    <s v="H Gallagher redudancy review payment"/>
    <x v="3"/>
    <x v="4"/>
  </r>
  <r>
    <d v="2024-03-20T00:00:00"/>
    <x v="22"/>
    <s v="Payroll Processing"/>
    <n v="1"/>
    <x v="34"/>
    <s v="Yes"/>
    <s v="Payroll review"/>
    <x v="3"/>
    <x v="4"/>
  </r>
  <r>
    <d v="2024-03-20T00:00:00"/>
    <x v="22"/>
    <s v="Payroll Processing"/>
    <n v="2.23"/>
    <x v="34"/>
    <s v="Yes"/>
    <s v="Review payruns E Aydin w/comp Update for public holiday in VIC "/>
    <x v="3"/>
    <x v="4"/>
  </r>
  <r>
    <d v="2024-03-20T00:00:00"/>
    <x v="23"/>
    <s v="Client Meeting"/>
    <n v="0.05"/>
    <x v="15"/>
    <s v="No"/>
    <s v="Attending to Sheryl's queries"/>
    <x v="3"/>
    <x v="4"/>
  </r>
  <r>
    <d v="2024-03-20T00:00:00"/>
    <x v="23"/>
    <s v="Client Meeting"/>
    <n v="0.05"/>
    <x v="30"/>
    <s v="Yes"/>
    <s v="email"/>
    <x v="3"/>
    <x v="4"/>
  </r>
  <r>
    <d v="2024-03-20T00:00:00"/>
    <x v="23"/>
    <s v="Client Meeting"/>
    <n v="0.05"/>
    <x v="39"/>
    <s v="No"/>
    <s v="Attending to queries"/>
    <x v="3"/>
    <x v="4"/>
  </r>
  <r>
    <d v="2024-03-20T00:00:00"/>
    <x v="23"/>
    <s v="Client Meeting"/>
    <n v="0.08"/>
    <x v="30"/>
    <s v="No"/>
    <s v="Attending to Rose queries"/>
    <x v="3"/>
    <x v="4"/>
  </r>
  <r>
    <d v="2024-03-20T00:00:00"/>
    <x v="23"/>
    <s v="Client Meeting"/>
    <n v="0.08"/>
    <x v="12"/>
    <s v="Yes"/>
    <s v="Attending to queries"/>
    <x v="3"/>
    <x v="4"/>
  </r>
  <r>
    <d v="2024-03-20T00:00:00"/>
    <x v="23"/>
    <s v="Client Meeting"/>
    <n v="0.13"/>
    <x v="30"/>
    <s v="Yes"/>
    <s v="Attending to queries"/>
    <x v="3"/>
    <x v="4"/>
  </r>
  <r>
    <d v="2024-03-20T00:00:00"/>
    <x v="23"/>
    <s v="Client Meeting"/>
    <n v="0.2"/>
    <x v="39"/>
    <s v="Yes"/>
    <s v="Attending to queries"/>
    <x v="3"/>
    <x v="4"/>
  </r>
  <r>
    <d v="2024-03-20T00:00:00"/>
    <x v="23"/>
    <s v="Client Meeting"/>
    <n v="0.2"/>
    <x v="122"/>
    <s v="Yes"/>
    <s v="attending to queries "/>
    <x v="3"/>
    <x v="4"/>
  </r>
  <r>
    <d v="2024-03-20T00:00:00"/>
    <x v="23"/>
    <s v="Client Meeting"/>
    <n v="0.33"/>
    <x v="27"/>
    <s v="Yes"/>
    <s v="Meeting with Jimwell"/>
    <x v="3"/>
    <x v="4"/>
  </r>
  <r>
    <d v="2024-03-20T00:00:00"/>
    <x v="23"/>
    <s v="General"/>
    <n v="0.15"/>
    <x v="11"/>
    <s v="No"/>
    <s v="Updating outlook calendar"/>
    <x v="3"/>
    <x v="4"/>
  </r>
  <r>
    <d v="2024-03-20T00:00:00"/>
    <x v="23"/>
    <s v="General"/>
    <n v="0.28000000000000003"/>
    <x v="11"/>
    <s v="No"/>
    <m/>
    <x v="3"/>
    <x v="4"/>
  </r>
  <r>
    <d v="2024-03-20T00:00:00"/>
    <x v="23"/>
    <s v="General"/>
    <n v="0.5"/>
    <x v="11"/>
    <s v="No"/>
    <s v="MORNING Break: 15 mins coffee breaks as paid per Labor Code of the Philippines, Article 85."/>
    <x v="3"/>
    <x v="4"/>
  </r>
  <r>
    <d v="2024-03-20T00:00:00"/>
    <x v="23"/>
    <s v="HR/Recuitment"/>
    <n v="0.17"/>
    <x v="11"/>
    <s v="No"/>
    <s v="Sprout and leave"/>
    <x v="3"/>
    <x v="4"/>
  </r>
  <r>
    <d v="2024-03-20T00:00:00"/>
    <x v="23"/>
    <s v="HR/Recuitment"/>
    <n v="0.56999999999999995"/>
    <x v="11"/>
    <s v="No"/>
    <s v="Engagement activity suggestion and reading link from Ali"/>
    <x v="3"/>
    <x v="4"/>
  </r>
  <r>
    <d v="2024-03-20T00:00:00"/>
    <x v="23"/>
    <s v="IAS/BAS Preparation &amp; Lodgement - Apr-Jun"/>
    <n v="0.1"/>
    <x v="111"/>
    <s v="No"/>
    <s v="Creation of template and updating ASANA"/>
    <x v="3"/>
    <x v="4"/>
  </r>
  <r>
    <d v="2024-03-20T00:00:00"/>
    <x v="23"/>
    <s v="IAS/BAS Preparation &amp; Lodgement - Apr-Jun"/>
    <n v="0.15"/>
    <x v="111"/>
    <s v="No"/>
    <s v="Fixing XPM error and activity"/>
    <x v="3"/>
    <x v="4"/>
  </r>
  <r>
    <d v="2024-03-20T00:00:00"/>
    <x v="23"/>
    <s v="IAS/BAS Preparation &amp; Lodgement - Apr-Jun"/>
    <n v="0.3"/>
    <x v="27"/>
    <s v="Yes"/>
    <s v="Checking of FY2023 BAS lodgement and validating export sales"/>
    <x v="3"/>
    <x v="4"/>
  </r>
  <r>
    <d v="2024-03-20T00:00:00"/>
    <x v="23"/>
    <s v="IAS/BAS Preparation &amp; Lodgement - Apr-Jun"/>
    <n v="0.56999999999999995"/>
    <x v="27"/>
    <s v="No"/>
    <s v="Checking of FY2023 as per client request ( export sales )"/>
    <x v="3"/>
    <x v="4"/>
  </r>
  <r>
    <d v="2024-03-20T00:00:00"/>
    <x v="23"/>
    <s v="IAS/BAS Preparation &amp; Lodgement - Apr-Jun"/>
    <n v="0.6"/>
    <x v="111"/>
    <s v="No"/>
    <s v="FY2017 cont."/>
    <x v="3"/>
    <x v="4"/>
  </r>
  <r>
    <d v="2024-03-20T00:00:00"/>
    <x v="23"/>
    <s v="IAS/BAS Preparation &amp; Lodgement - Feb"/>
    <n v="0.35"/>
    <x v="12"/>
    <s v="No"/>
    <s v="XPM and report error"/>
    <x v="3"/>
    <x v="4"/>
  </r>
  <r>
    <d v="2024-03-20T00:00:00"/>
    <x v="23"/>
    <s v="IAS/BAS Preparation &amp; Lodgement - Feb"/>
    <n v="1.1000000000000001"/>
    <x v="12"/>
    <s v="Yes"/>
    <s v="BAS"/>
    <x v="3"/>
    <x v="4"/>
  </r>
  <r>
    <d v="2024-03-20T00:00:00"/>
    <x v="23"/>
    <s v="IAS/BAS Preparation &amp; Lodgement - Jan-Mar"/>
    <n v="0.17"/>
    <x v="111"/>
    <s v="Yes"/>
    <s v="PAYGI creation and updates"/>
    <x v="3"/>
    <x v="4"/>
  </r>
  <r>
    <d v="2024-03-20T00:00:00"/>
    <x v="23"/>
    <s v="IAS/BAS Preparation &amp; Lodgement - Oct-Dec"/>
    <n v="0.08"/>
    <x v="30"/>
    <s v="No"/>
    <s v="Xero and XPM updates"/>
    <x v="3"/>
    <x v="4"/>
  </r>
  <r>
    <d v="2024-03-20T00:00:00"/>
    <x v="23"/>
    <s v="IAS/BAS Preparation &amp; Lodgement - Oct-Dec"/>
    <n v="0.22"/>
    <x v="30"/>
    <s v="Yes"/>
    <s v="Reupdating due to adjustment"/>
    <x v="3"/>
    <x v="4"/>
  </r>
  <r>
    <d v="2024-03-20T00:00:00"/>
    <x v="23"/>
    <s v="IAS/BAS Preparation &amp; Lodgement - Oct-Dec"/>
    <n v="1.02"/>
    <x v="22"/>
    <s v="Yes"/>
    <m/>
    <x v="3"/>
    <x v="4"/>
  </r>
  <r>
    <d v="2024-03-20T00:00:00"/>
    <x v="23"/>
    <s v="Learning &amp; Development"/>
    <n v="0.43"/>
    <x v="11"/>
    <s v="No"/>
    <s v="Wzed training"/>
    <x v="3"/>
    <x v="4"/>
  </r>
  <r>
    <d v="2024-03-20T00:00:00"/>
    <x v="23"/>
    <s v="Meetings"/>
    <n v="0.08"/>
    <x v="11"/>
    <s v="No"/>
    <s v="Catch up with Stepanie Energin regarding combined activity"/>
    <x v="3"/>
    <x v="4"/>
  </r>
  <r>
    <d v="2024-03-20T00:00:00"/>
    <x v="48"/>
    <s v="HR/Recuitment"/>
    <n v="1"/>
    <x v="11"/>
    <s v="No"/>
    <s v="Interview candidate for Finance Manager role and type up notes."/>
    <x v="3"/>
    <x v="4"/>
  </r>
  <r>
    <d v="2024-03-20T00:00:00"/>
    <x v="48"/>
    <s v="P&amp;C Advisory"/>
    <n v="7"/>
    <x v="9"/>
    <s v="Yes"/>
    <s v="Continue with LMS curriculum development - add to curriculum spreadsheet courses and links.  Revise onboarding material for new starters and update video/powerpoint presentation.  Record videos via Loom for how to conduct performance appraisals in Employee connect.  Conduct exit interview with employee.  Teams call with GM AF QLD to discuss employee early exit.  Teams call with employee to discuss equipment return and finishing up early.  Type up exit interview notes.  Send exit checklist to employees who are leaving Friday and organise for equipment return.  "/>
    <x v="3"/>
    <x v="4"/>
  </r>
  <r>
    <d v="2024-03-20T00:00:00"/>
    <x v="24"/>
    <s v="Bookkeeping"/>
    <n v="0.27"/>
    <x v="39"/>
    <s v="Yes"/>
    <s v="checked for |Super variance"/>
    <x v="3"/>
    <x v="4"/>
  </r>
  <r>
    <d v="2024-03-20T00:00:00"/>
    <x v="24"/>
    <s v="Bookkeeping"/>
    <n v="0.3"/>
    <x v="39"/>
    <s v="Yes"/>
    <s v="Assisted Jim with queries"/>
    <x v="3"/>
    <x v="4"/>
  </r>
  <r>
    <d v="2024-03-20T00:00:00"/>
    <x v="24"/>
    <s v="Bookkeeping"/>
    <n v="0.38"/>
    <x v="15"/>
    <s v="Yes"/>
    <s v="Extended to cover for AP posting"/>
    <x v="3"/>
    <x v="4"/>
  </r>
  <r>
    <d v="2024-03-20T00:00:00"/>
    <x v="24"/>
    <s v="Bookkeeping"/>
    <n v="0.4"/>
    <x v="15"/>
    <s v="Yes"/>
    <s v="Extended to cover for AP"/>
    <x v="3"/>
    <x v="4"/>
  </r>
  <r>
    <d v="2024-03-20T00:00:00"/>
    <x v="24"/>
    <s v="Bookkeeping"/>
    <n v="1"/>
    <x v="46"/>
    <s v="Yes"/>
    <s v="Profit Share"/>
    <x v="3"/>
    <x v="4"/>
  </r>
  <r>
    <d v="2024-03-20T00:00:00"/>
    <x v="24"/>
    <s v="Bookkeeping"/>
    <n v="7"/>
    <x v="15"/>
    <s v="Yes"/>
    <m/>
    <x v="3"/>
    <x v="4"/>
  </r>
  <r>
    <d v="2024-03-20T00:00:00"/>
    <x v="24"/>
    <s v="General"/>
    <n v="0.27"/>
    <x v="11"/>
    <s v="No"/>
    <s v="emails"/>
    <x v="3"/>
    <x v="4"/>
  </r>
  <r>
    <d v="2024-03-20T00:00:00"/>
    <x v="24"/>
    <s v="Payroll Processing"/>
    <n v="1.83"/>
    <x v="30"/>
    <s v="Yes"/>
    <m/>
    <x v="3"/>
    <x v="4"/>
  </r>
  <r>
    <d v="2024-03-20T00:00:00"/>
    <x v="26"/>
    <s v="Adhoc Support &amp; Advice"/>
    <n v="2"/>
    <x v="15"/>
    <s v="No"/>
    <s v="Recon"/>
    <x v="3"/>
    <x v="4"/>
  </r>
  <r>
    <d v="2024-03-20T00:00:00"/>
    <x v="26"/>
    <s v="Debt Collection"/>
    <n v="1.5"/>
    <x v="11"/>
    <s v="No"/>
    <m/>
    <x v="3"/>
    <x v="4"/>
  </r>
  <r>
    <d v="2024-03-20T00:00:00"/>
    <x v="26"/>
    <s v="Debt Collection"/>
    <n v="4"/>
    <x v="15"/>
    <s v="Yes"/>
    <m/>
    <x v="3"/>
    <x v="4"/>
  </r>
  <r>
    <d v="2024-03-20T00:00:00"/>
    <x v="26"/>
    <s v="General"/>
    <n v="0.5"/>
    <x v="11"/>
    <s v="No"/>
    <s v="break"/>
    <x v="3"/>
    <x v="4"/>
  </r>
  <r>
    <d v="2024-03-20T00:00:00"/>
    <x v="28"/>
    <s v="Bookkeeping"/>
    <n v="4.87"/>
    <x v="57"/>
    <s v="Yes"/>
    <s v="Email Management Bills raise to xero bank reconciliation BM and LOC Inc Make plan date and prepared payment summary report for approval for payment check approve sales to a2x"/>
    <x v="3"/>
    <x v="4"/>
  </r>
  <r>
    <d v="2024-03-20T00:00:00"/>
    <x v="28"/>
    <s v="General"/>
    <n v="0.5"/>
    <x v="11"/>
    <s v="No"/>
    <s v="Break"/>
    <x v="3"/>
    <x v="4"/>
  </r>
  <r>
    <d v="2024-03-20T00:00:00"/>
    <x v="28"/>
    <s v="Learning &amp; Development"/>
    <n v="2.63"/>
    <x v="11"/>
    <s v="No"/>
    <s v="Quick books training "/>
    <x v="3"/>
    <x v="4"/>
  </r>
  <r>
    <d v="2024-03-20T00:00:00"/>
    <x v="29"/>
    <s v="IT"/>
    <n v="9"/>
    <x v="11"/>
    <s v="No"/>
    <s v="Support"/>
    <x v="3"/>
    <x v="4"/>
  </r>
  <r>
    <d v="2024-03-20T00:00:00"/>
    <x v="30"/>
    <s v="Bookkeeping"/>
    <n v="0.42"/>
    <x v="58"/>
    <s v="Yes"/>
    <s v="Email Management Revising Cash Flow Report"/>
    <x v="3"/>
    <x v="4"/>
  </r>
  <r>
    <d v="2024-03-20T00:00:00"/>
    <x v="30"/>
    <s v="Bookkeeping"/>
    <n v="1.4"/>
    <x v="76"/>
    <s v="Yes"/>
    <s v="Email Management Bills Processing Bank Recon "/>
    <x v="3"/>
    <x v="4"/>
  </r>
  <r>
    <d v="2024-03-20T00:00:00"/>
    <x v="30"/>
    <s v="Bookkeeping"/>
    <n v="3.4"/>
    <x v="58"/>
    <s v="Yes"/>
    <s v="Email Management AR Invoice processing Bills Processing Bank/Credit Card Recon"/>
    <x v="3"/>
    <x v="4"/>
  </r>
  <r>
    <d v="2024-03-20T00:00:00"/>
    <x v="30"/>
    <s v="General"/>
    <n v="0.8"/>
    <x v="11"/>
    <s v="No"/>
    <s v="Reviewing process docs for Tasman Month End"/>
    <x v="3"/>
    <x v="4"/>
  </r>
  <r>
    <d v="2024-03-20T00:00:00"/>
    <x v="30"/>
    <s v="General"/>
    <n v="1.1000000000000001"/>
    <x v="11"/>
    <s v="No"/>
    <s v="Email Management "/>
    <x v="3"/>
    <x v="4"/>
  </r>
  <r>
    <d v="2024-03-20T00:00:00"/>
    <x v="30"/>
    <s v="Meetings"/>
    <n v="0.95"/>
    <x v="11"/>
    <s v="No"/>
    <s v="Catch up with Ann  Re: Revising of Donor's Cash Flow Reports"/>
    <x v="3"/>
    <x v="4"/>
  </r>
  <r>
    <d v="2024-03-20T00:00:00"/>
    <x v="31"/>
    <s v="Accounts"/>
    <n v="0.42"/>
    <x v="11"/>
    <s v="No"/>
    <s v="ABA file and sending RA Coordination with Emily re: INV-390 (late received)"/>
    <x v="3"/>
    <x v="4"/>
  </r>
  <r>
    <d v="2024-03-20T00:00:00"/>
    <x v="31"/>
    <s v="Accounts"/>
    <n v="1.95"/>
    <x v="11"/>
    <s v="No"/>
    <s v="Catch up emails. Process bills and request for payment. Update bank recs. Send out invoice for Ramp."/>
    <x v="3"/>
    <x v="4"/>
  </r>
  <r>
    <d v="2024-03-20T00:00:00"/>
    <x v="31"/>
    <s v="Accounts"/>
    <n v="2.2000000000000002"/>
    <x v="11"/>
    <s v="No"/>
    <s v="Update Cash Flow"/>
    <x v="3"/>
    <x v="4"/>
  </r>
  <r>
    <d v="2024-03-20T00:00:00"/>
    <x v="31"/>
    <s v="Payroll Processing"/>
    <n v="0.67"/>
    <x v="56"/>
    <s v="No"/>
    <s v="Payroll request to Nick. Coordination with Ms Shirley/RJ re: documents needed for processing new Brgy. Clearance."/>
    <x v="3"/>
    <x v="4"/>
  </r>
  <r>
    <d v="2024-03-20T00:00:00"/>
    <x v="31"/>
    <s v="Payroll Processing"/>
    <n v="0.77"/>
    <x v="56"/>
    <s v="No"/>
    <s v="Call with RJ re: Payroll Processing  "/>
    <x v="3"/>
    <x v="4"/>
  </r>
  <r>
    <d v="2024-03-20T00:00:00"/>
    <x v="31"/>
    <s v="Payroll Processing"/>
    <n v="0.93"/>
    <x v="56"/>
    <s v="No"/>
    <s v="BDO payroll processing and call with RJ Coordination re: salary that needs to withhold Update payroll documents"/>
    <x v="3"/>
    <x v="4"/>
  </r>
  <r>
    <d v="2024-03-20T00:00:00"/>
    <x v="31"/>
    <s v="Payroll Processing"/>
    <n v="0.97"/>
    <x v="56"/>
    <s v="No"/>
    <s v="Continue payroll processing and other documentation"/>
    <x v="3"/>
    <x v="4"/>
  </r>
  <r>
    <d v="2024-03-20T00:00:00"/>
    <x v="31"/>
    <s v="Payroll Processing"/>
    <n v="1.67"/>
    <x v="56"/>
    <s v="No"/>
    <s v="Rerun and reprocess payroll and other documents"/>
    <x v="3"/>
    <x v="4"/>
  </r>
  <r>
    <d v="2024-03-20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7f7f7f       - opacity : 65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4"/>
  </r>
  <r>
    <d v="2024-03-20T00:00:00"/>
    <x v="33"/>
    <s v="Bookkeeping"/>
    <n v="0.5"/>
    <x v="60"/>
    <s v="Yes"/>
    <s v="AP list preparation"/>
    <x v="3"/>
    <x v="4"/>
  </r>
  <r>
    <d v="2024-03-20T00:00:00"/>
    <x v="33"/>
    <s v="Bookkeeping"/>
    <n v="0.5"/>
    <x v="60"/>
    <s v="Yes"/>
    <s v="FN Payroll"/>
    <x v="3"/>
    <x v="4"/>
  </r>
  <r>
    <d v="2024-03-20T00:00:00"/>
    <x v="33"/>
    <s v="Bookkeeping"/>
    <n v="0.5"/>
    <x v="79"/>
    <s v="Yes"/>
    <m/>
    <x v="3"/>
    <x v="4"/>
  </r>
  <r>
    <d v="2024-03-20T00:00:00"/>
    <x v="33"/>
    <s v="Bookkeeping"/>
    <n v="0.5"/>
    <x v="32"/>
    <s v="Yes"/>
    <m/>
    <x v="3"/>
    <x v="4"/>
  </r>
  <r>
    <d v="2024-03-20T00:00:00"/>
    <x v="33"/>
    <s v="Bookkeeping"/>
    <n v="0.5"/>
    <x v="48"/>
    <s v="Yes"/>
    <m/>
    <x v="3"/>
    <x v="4"/>
  </r>
  <r>
    <d v="2024-03-20T00:00:00"/>
    <x v="33"/>
    <s v="Bookkeeping"/>
    <n v="0.5"/>
    <x v="59"/>
    <s v="Yes"/>
    <m/>
    <x v="3"/>
    <x v="4"/>
  </r>
  <r>
    <d v="2024-03-20T00:00:00"/>
    <x v="33"/>
    <s v="Bookkeeping"/>
    <n v="2.5"/>
    <x v="9"/>
    <s v="Yes"/>
    <m/>
    <x v="3"/>
    <x v="4"/>
  </r>
  <r>
    <d v="2024-03-20T00:00:00"/>
    <x v="34"/>
    <s v="Client Manager"/>
    <n v="0.2"/>
    <x v="75"/>
    <s v="Yes"/>
    <s v="Emails"/>
    <x v="3"/>
    <x v="4"/>
  </r>
  <r>
    <d v="2024-03-20T00:00:00"/>
    <x v="34"/>
    <s v="Client Manager"/>
    <n v="0.3"/>
    <x v="84"/>
    <s v="No"/>
    <s v="Follow up on payment and meeting"/>
    <x v="3"/>
    <x v="4"/>
  </r>
  <r>
    <d v="2024-03-20T00:00:00"/>
    <x v="34"/>
    <s v="Client Manager"/>
    <n v="1.1200000000000001"/>
    <x v="96"/>
    <s v="No"/>
    <s v="Procedure for Customer Analysis + Improvement of model"/>
    <x v="3"/>
    <x v="4"/>
  </r>
  <r>
    <d v="2024-03-20T00:00:00"/>
    <x v="34"/>
    <s v="Client Meeting"/>
    <n v="0.6"/>
    <x v="75"/>
    <s v="Yes"/>
    <s v="Meeting with Jenny and Scott on month end report"/>
    <x v="3"/>
    <x v="4"/>
  </r>
  <r>
    <d v="2024-03-20T00:00:00"/>
    <x v="34"/>
    <s v="General"/>
    <n v="3.13"/>
    <x v="11"/>
    <s v="No"/>
    <s v="Emails, Teams, Asana"/>
    <x v="3"/>
    <x v="4"/>
  </r>
  <r>
    <d v="2024-03-20T00:00:00"/>
    <x v="35"/>
    <s v="Bookkeeping"/>
    <n v="0.62"/>
    <x v="33"/>
    <s v="Yes"/>
    <s v="emails, AR"/>
    <x v="3"/>
    <x v="4"/>
  </r>
  <r>
    <d v="2024-03-20T00:00:00"/>
    <x v="35"/>
    <s v="Bookkeeping"/>
    <n v="0.82"/>
    <x v="62"/>
    <s v="Yes"/>
    <s v="files"/>
    <x v="3"/>
    <x v="4"/>
  </r>
  <r>
    <d v="2024-03-20T00:00:00"/>
    <x v="35"/>
    <s v="Bookkeeping"/>
    <n v="0.82"/>
    <x v="33"/>
    <s v="Yes"/>
    <s v="BR, emails"/>
    <x v="3"/>
    <x v="4"/>
  </r>
  <r>
    <d v="2024-03-20T00:00:00"/>
    <x v="35"/>
    <s v="Bookkeeping"/>
    <n v="1.35"/>
    <x v="62"/>
    <s v="Yes"/>
    <s v="Files, BR"/>
    <x v="3"/>
    <x v="4"/>
  </r>
  <r>
    <d v="2024-03-20T00:00:00"/>
    <x v="35"/>
    <s v="Bookkeeping"/>
    <n v="3.85"/>
    <x v="62"/>
    <s v="Yes"/>
    <s v="catch up with Adriana, awaiting approval"/>
    <x v="3"/>
    <x v="4"/>
  </r>
  <r>
    <d v="2024-03-20T00:00:00"/>
    <x v="35"/>
    <s v="General"/>
    <n v="0.12"/>
    <x v="11"/>
    <s v="No"/>
    <s v="asana"/>
    <x v="3"/>
    <x v="4"/>
  </r>
  <r>
    <d v="2024-03-20T00:00:00"/>
    <x v="35"/>
    <s v="General"/>
    <n v="0.3"/>
    <x v="11"/>
    <s v="No"/>
    <s v="chat confirm leave "/>
    <x v="3"/>
    <x v="4"/>
  </r>
  <r>
    <d v="2024-03-20T00:00:00"/>
    <x v="36"/>
    <s v="Bookkeeping"/>
    <n v="0.42"/>
    <x v="16"/>
    <s v="Yes"/>
    <s v="OMS V25"/>
    <x v="3"/>
    <x v="4"/>
  </r>
  <r>
    <d v="2024-03-20T00:00:00"/>
    <x v="36"/>
    <s v="Bookkeeping"/>
    <n v="1.08"/>
    <x v="35"/>
    <s v="Yes"/>
    <m/>
    <x v="3"/>
    <x v="4"/>
  </r>
  <r>
    <d v="2024-03-20T00:00:00"/>
    <x v="36"/>
    <s v="General"/>
    <n v="0.37"/>
    <x v="11"/>
    <s v="No"/>
    <s v="Dex emails"/>
    <x v="3"/>
    <x v="4"/>
  </r>
  <r>
    <d v="2024-03-20T00:00:00"/>
    <x v="36"/>
    <s v="Payroll Processing"/>
    <n v="0.77"/>
    <x v="34"/>
    <s v="No"/>
    <s v="Rose handover tasks"/>
    <x v="3"/>
    <x v="4"/>
  </r>
  <r>
    <d v="2024-03-20T00:00:00"/>
    <x v="36"/>
    <s v="Payroll Processing"/>
    <n v="3.13"/>
    <x v="35"/>
    <s v="Yes"/>
    <m/>
    <x v="3"/>
    <x v="4"/>
  </r>
  <r>
    <d v="2024-03-20T00:00:00"/>
    <x v="36"/>
    <s v="Payroll Processing"/>
    <n v="3.27"/>
    <x v="1"/>
    <s v="Yes"/>
    <m/>
    <x v="3"/>
    <x v="4"/>
  </r>
  <r>
    <d v="2024-03-20T00:00:00"/>
    <x v="37"/>
    <s v="General"/>
    <n v="2.9"/>
    <x v="11"/>
    <s v="No"/>
    <s v="RPA XPM resource matrix task assigned PH payroll review handover update of Rose coordination of Cons emails and remaining tasks Call with BDO branch for update"/>
    <x v="3"/>
    <x v="4"/>
  </r>
  <r>
    <d v="2024-03-20T00:00:00"/>
    <x v="37"/>
    <s v="General"/>
    <n v="6.05"/>
    <x v="11"/>
    <s v="No"/>
    <s v="XPM CM roster update PH payroll shadowing with Mel Admin - pto approvals timesheet checking Call with Con "/>
    <x v="3"/>
    <x v="4"/>
  </r>
  <r>
    <d v="2024-03-20T00:00:00"/>
    <x v="38"/>
    <s v="Bookkeeping"/>
    <n v="8.6999999999999993"/>
    <x v="15"/>
    <s v="Yes"/>
    <m/>
    <x v="3"/>
    <x v="4"/>
  </r>
  <r>
    <d v="2024-03-20T00:00:00"/>
    <x v="39"/>
    <s v="General"/>
    <n v="0.43"/>
    <x v="11"/>
    <s v="No"/>
    <s v="Back up plan for Friday leave Message individuals who will back up"/>
    <x v="3"/>
    <x v="4"/>
  </r>
  <r>
    <d v="2024-03-20T00:00:00"/>
    <x v="39"/>
    <s v="General"/>
    <n v="0.5"/>
    <x v="11"/>
    <s v="No"/>
    <s v="Break"/>
    <x v="3"/>
    <x v="4"/>
  </r>
  <r>
    <d v="2024-03-20T00:00:00"/>
    <x v="39"/>
    <s v="General"/>
    <n v="0.88"/>
    <x v="11"/>
    <s v="No"/>
    <s v="Update handover file and schedule Emails Teams messages etc Asana updates"/>
    <x v="3"/>
    <x v="4"/>
  </r>
  <r>
    <d v="2024-03-20T00:00:00"/>
    <x v="39"/>
    <s v="General"/>
    <n v="1.2"/>
    <x v="11"/>
    <s v="No"/>
    <s v="Discussions re handover of review clients"/>
    <x v="3"/>
    <x v="4"/>
  </r>
  <r>
    <d v="2024-03-20T00:00:00"/>
    <x v="39"/>
    <s v="IAS/BAS Preparation &amp; Lodgement - Oct-Dec"/>
    <n v="0.18"/>
    <x v="30"/>
    <s v="Yes"/>
    <s v="Email client updated BAS and follow up Feb24 IAS"/>
    <x v="3"/>
    <x v="4"/>
  </r>
  <r>
    <d v="2024-03-20T00:00:00"/>
    <x v="39"/>
    <s v="Meetings"/>
    <n v="0.2"/>
    <x v="11"/>
    <s v="No"/>
    <s v="Call with Rach re salary packaging"/>
    <x v="3"/>
    <x v="4"/>
  </r>
  <r>
    <d v="2024-03-20T00:00:00"/>
    <x v="39"/>
    <s v="Meetings"/>
    <n v="0.75"/>
    <x v="11"/>
    <s v="No"/>
    <s v="Overview of review clients with Shirley"/>
    <x v="3"/>
    <x v="4"/>
  </r>
  <r>
    <d v="2024-03-20T00:00:00"/>
    <x v="39"/>
    <s v="Payroll Processing"/>
    <n v="0.15"/>
    <x v="34"/>
    <s v="Yes"/>
    <s v="Update Michael D's final pay"/>
    <x v="3"/>
    <x v="4"/>
  </r>
  <r>
    <d v="2024-03-20T00:00:00"/>
    <x v="39"/>
    <s v="Payroll Processing"/>
    <n v="0.18"/>
    <x v="89"/>
    <s v="Yes"/>
    <s v="Load payment in the bank, Sherly as shadow"/>
    <x v="3"/>
    <x v="4"/>
  </r>
  <r>
    <d v="2024-03-20T00:00:00"/>
    <x v="39"/>
    <s v="Payroll Processing"/>
    <n v="0.2"/>
    <x v="75"/>
    <s v="Yes"/>
    <s v="Review redundancy pay for Alisa"/>
    <x v="3"/>
    <x v="4"/>
  </r>
  <r>
    <d v="2024-03-20T00:00:00"/>
    <x v="39"/>
    <s v="Payroll Processing"/>
    <n v="0.22"/>
    <x v="80"/>
    <s v="Yes"/>
    <s v="Payroll review"/>
    <x v="3"/>
    <x v="4"/>
  </r>
  <r>
    <d v="2024-03-20T00:00:00"/>
    <x v="39"/>
    <s v="Payroll Processing"/>
    <n v="0.67"/>
    <x v="34"/>
    <s v="Yes"/>
    <s v="Payroll updates"/>
    <x v="3"/>
    <x v="4"/>
  </r>
  <r>
    <d v="2024-03-20T00:00:00"/>
    <x v="39"/>
    <s v="Payroll Processing"/>
    <n v="1.2"/>
    <x v="34"/>
    <s v="Yes"/>
    <s v="Handover to Rach Unapproved/Unallocated/Non-C timesheets reporting WK/FN payroll processing (NSW WK/FN, VIC FN, SVS FN, QLD WK) Payroll journals automation Hours worked report "/>
    <x v="3"/>
    <x v="4"/>
  </r>
  <r>
    <d v="2024-03-20T00:00:00"/>
    <x v="39"/>
    <s v="Payroll Processing"/>
    <n v="1.25"/>
    <x v="15"/>
    <s v="Yes"/>
    <s v="Look into how to refund credit note for Andrew's novated lease"/>
    <x v="3"/>
    <x v="4"/>
  </r>
  <r>
    <d v="2024-03-20T00:00:00"/>
    <x v="40"/>
    <s v="Individual Tax Returns"/>
    <n v="4.2"/>
    <x v="120"/>
    <s v="Yes"/>
    <s v="Review previous agent tax returns and portal records Compile list of informationi required Call with Stephen re penalties, interest debt and info required"/>
    <x v="3"/>
    <x v="4"/>
  </r>
  <r>
    <d v="2024-03-20T00:00:00"/>
    <x v="40"/>
    <s v="Out-of-Scope Services"/>
    <n v="0.42"/>
    <x v="79"/>
    <s v="Yes"/>
    <s v="Call with Max re FBT and email to Max summarising our discussion"/>
    <x v="3"/>
    <x v="4"/>
  </r>
  <r>
    <d v="2024-03-20T00:00:00"/>
    <x v="41"/>
    <s v="Bookkeeping"/>
    <n v="0.32"/>
    <x v="47"/>
    <s v="Yes"/>
    <s v="Bank rec Accounts review Email client about BAS"/>
    <x v="3"/>
    <x v="4"/>
  </r>
  <r>
    <d v="2024-03-20T00:00:00"/>
    <x v="41"/>
    <s v="Bookkeeping"/>
    <n v="0.45"/>
    <x v="40"/>
    <s v="Yes"/>
    <s v="AP review"/>
    <x v="3"/>
    <x v="4"/>
  </r>
  <r>
    <d v="2024-03-20T00:00:00"/>
    <x v="41"/>
    <s v="Bookkeeping"/>
    <n v="0.78"/>
    <x v="36"/>
    <s v="Yes"/>
    <s v="Update cashflow file Review transactions Upload payments"/>
    <x v="3"/>
    <x v="4"/>
  </r>
  <r>
    <d v="2024-03-20T00:00:00"/>
    <x v="41"/>
    <s v="Bookkeeping"/>
    <n v="1.47"/>
    <x v="16"/>
    <s v="Yes"/>
    <s v="Inbox mgmt Bank rec Set up payroll payment to CT"/>
    <x v="3"/>
    <x v="4"/>
  </r>
  <r>
    <d v="2024-03-20T00:00:00"/>
    <x v="41"/>
    <s v="Bookkeeping"/>
    <n v="1.67"/>
    <x v="16"/>
    <s v="Yes"/>
    <s v="AP/AR Inbox mgmt Bank rec Check bank payments"/>
    <x v="3"/>
    <x v="4"/>
  </r>
  <r>
    <d v="2024-03-20T00:00:00"/>
    <x v="41"/>
    <s v="General"/>
    <n v="0.5"/>
    <x v="11"/>
    <s v="No"/>
    <s v="Paid break"/>
    <x v="3"/>
    <x v="4"/>
  </r>
  <r>
    <d v="2024-03-20T00:00:00"/>
    <x v="41"/>
    <s v="Management Reporting"/>
    <n v="0.85"/>
    <x v="47"/>
    <s v="Yes"/>
    <s v="Review and export reports requested by SIjmon"/>
    <x v="3"/>
    <x v="4"/>
  </r>
  <r>
    <d v="2024-03-20T00:00:00"/>
    <x v="41"/>
    <s v="Payroll Processing"/>
    <n v="7.0000000000000007E-2"/>
    <x v="51"/>
    <s v="Yes"/>
    <m/>
    <x v="3"/>
    <x v="4"/>
  </r>
  <r>
    <d v="2024-03-20T00:00:00"/>
    <x v="41"/>
    <s v="Payroll Processing"/>
    <n v="0.12"/>
    <x v="50"/>
    <s v="Yes"/>
    <m/>
    <x v="3"/>
    <x v="4"/>
  </r>
  <r>
    <d v="2024-03-20T00:00:00"/>
    <x v="41"/>
    <s v="Payroll Processing"/>
    <n v="0.52"/>
    <x v="20"/>
    <s v="Yes"/>
    <m/>
    <x v="3"/>
    <x v="4"/>
  </r>
  <r>
    <d v="2024-03-20T00:00:00"/>
    <x v="41"/>
    <s v="Payroll Processing"/>
    <n v="0.57999999999999996"/>
    <x v="19"/>
    <s v="Yes"/>
    <m/>
    <x v="3"/>
    <x v="4"/>
  </r>
  <r>
    <d v="2024-03-20T00:00:00"/>
    <x v="41"/>
    <s v="Payroll Processing - Senior"/>
    <n v="0.75"/>
    <x v="40"/>
    <s v="Yes"/>
    <s v="Payroll review with Jim"/>
    <x v="3"/>
    <x v="4"/>
  </r>
  <r>
    <d v="2024-03-20T00:00:00"/>
    <x v="42"/>
    <s v="Client Manager"/>
    <n v="0.25"/>
    <x v="85"/>
    <s v="Yes"/>
    <s v="Attend to emails from Kerry"/>
    <x v="3"/>
    <x v="4"/>
  </r>
  <r>
    <d v="2024-03-20T00:00:00"/>
    <x v="42"/>
    <s v="Client Manager"/>
    <n v="0.25"/>
    <x v="55"/>
    <s v="Yes"/>
    <s v="Coordinate re BAS lodgement, PAYG Instalment Tax notice for March 2024 with LM, liaise with Mel re fees etc"/>
    <x v="3"/>
    <x v="4"/>
  </r>
  <r>
    <d v="2024-03-20T00:00:00"/>
    <x v="42"/>
    <s v="Client Manager"/>
    <n v="1"/>
    <x v="36"/>
    <s v="Yes"/>
    <s v="On the call with ATO re payment plan, cannot update as o/s returns for FY 2023. Email Nexia re timeframe for lodgement, email Sarah for an update. Various emails to Sarah to coordinate AMEX and IAS payment"/>
    <x v="3"/>
    <x v="4"/>
  </r>
  <r>
    <d v="2024-03-20T00:00:00"/>
    <x v="42"/>
    <s v="Client Manager"/>
    <n v="1"/>
    <x v="27"/>
    <s v="Yes"/>
    <s v="Attend to queries from John re insurance renewal, provide turnover figures, review export sales for FY 2023 and respond accordingly."/>
    <x v="3"/>
    <x v="4"/>
  </r>
  <r>
    <d v="2024-03-20T00:00:00"/>
    <x v="42"/>
    <s v="Client Manager"/>
    <n v="1"/>
    <x v="23"/>
    <s v="Yes"/>
    <s v="Call with ATO for updated payment plan. Advise team re the outcome"/>
    <x v="3"/>
    <x v="4"/>
  </r>
  <r>
    <d v="2024-03-20T00:00:00"/>
    <x v="42"/>
    <s v="Client Manager"/>
    <n v="2"/>
    <x v="102"/>
    <s v="Yes"/>
    <s v="Update bank and credit card reconciliation for March 2024. Attach invoices in MYOB. Review payroll process, timesheet for March. Look at STP setup. Call ATO, advise Alan re nomination for payroll purpose. Follow up with Alan re payment for IAS. "/>
    <x v="3"/>
    <x v="4"/>
  </r>
  <r>
    <d v="2024-03-20T00:00:00"/>
    <x v="42"/>
    <s v="General"/>
    <n v="0.5"/>
    <x v="11"/>
    <s v="No"/>
    <s v="BAS/IAS workflow, follow up with team, LM etc"/>
    <x v="3"/>
    <x v="4"/>
  </r>
  <r>
    <d v="2024-03-20T00:00:00"/>
    <x v="42"/>
    <s v="General"/>
    <n v="1.5"/>
    <x v="11"/>
    <s v="No"/>
    <s v="Respond to Energy Vault's email re fee for payroll tax registration, liaise with Nica re same for availability, liaise with Logika re on leave and plan, with Angela re debtors, etc"/>
    <x v="3"/>
    <x v="4"/>
  </r>
  <r>
    <d v="2024-03-20T00:00:00"/>
    <x v="42"/>
    <s v="IAS/BAS Preparation &amp; Lodgement - Feb"/>
    <n v="0.33"/>
    <x v="12"/>
    <s v="Yes"/>
    <s v="Feb 2024 BAS review and lodgement"/>
    <x v="3"/>
    <x v="4"/>
  </r>
  <r>
    <d v="2024-03-20T00:00:00"/>
    <x v="42"/>
    <s v="IAS/BAS Preparation &amp; Lodgement - Oct-Dec"/>
    <n v="0.25"/>
    <x v="30"/>
    <s v="Yes"/>
    <s v="Review updated BAS, lodge same"/>
    <x v="3"/>
    <x v="4"/>
  </r>
  <r>
    <d v="2024-03-20T00:00:00"/>
    <x v="43"/>
    <s v="Bookkeeping"/>
    <n v="5.5"/>
    <x v="15"/>
    <s v="Yes"/>
    <s v="Cashflow , AP Invoice, Client Onboarding, Follow up BAS, Meeting with Rej and Lynds"/>
    <x v="3"/>
    <x v="4"/>
  </r>
  <r>
    <d v="2024-03-20T00:00:00"/>
    <x v="43"/>
    <s v="Meetings"/>
    <n v="2.5"/>
    <x v="11"/>
    <s v="No"/>
    <s v="Handover with Rose, Meeting with Xavi, Ann and Rose"/>
    <x v="3"/>
    <x v="4"/>
  </r>
  <r>
    <d v="2024-03-20T00:00:00"/>
    <x v="44"/>
    <s v="Annual Leave"/>
    <n v="7.6"/>
    <x v="11"/>
    <s v="No"/>
    <m/>
    <x v="3"/>
    <x v="4"/>
  </r>
  <r>
    <d v="2024-03-20T00:00:00"/>
    <x v="45"/>
    <s v="HR/Recuitment"/>
    <n v="0.5"/>
    <x v="11"/>
    <s v="No"/>
    <e v="#NAME?"/>
    <x v="3"/>
    <x v="4"/>
  </r>
  <r>
    <d v="2024-03-20T00:00:00"/>
    <x v="45"/>
    <s v="HR/Recuitment"/>
    <n v="3"/>
    <x v="11"/>
    <s v="No"/>
    <e v="#NAME?"/>
    <x v="3"/>
    <x v="4"/>
  </r>
  <r>
    <d v="2024-03-20T00:00:00"/>
    <x v="45"/>
    <s v="HR/Recuitment"/>
    <n v="3.5"/>
    <x v="11"/>
    <s v="No"/>
    <e v="#NAME?"/>
    <x v="3"/>
    <x v="4"/>
  </r>
  <r>
    <d v="2024-03-20T00:00:00"/>
    <x v="45"/>
    <s v="Meetings"/>
    <n v="1"/>
    <x v="11"/>
    <s v="No"/>
    <e v="#NAME?"/>
    <x v="3"/>
    <x v="4"/>
  </r>
  <r>
    <d v="2024-03-21T00:00:00"/>
    <x v="0"/>
    <s v="Bookkeeping"/>
    <n v="0.05"/>
    <x v="10"/>
    <s v="Yes"/>
    <s v="Email"/>
    <x v="3"/>
    <x v="5"/>
  </r>
  <r>
    <d v="2024-03-21T00:00:00"/>
    <x v="0"/>
    <s v="Bookkeeping"/>
    <n v="0.05"/>
    <x v="8"/>
    <s v="Yes"/>
    <s v="Email"/>
    <x v="3"/>
    <x v="5"/>
  </r>
  <r>
    <d v="2024-03-21T00:00:00"/>
    <x v="0"/>
    <s v="Bookkeeping"/>
    <n v="0.1"/>
    <x v="5"/>
    <s v="Yes"/>
    <s v="Email"/>
    <x v="3"/>
    <x v="5"/>
  </r>
  <r>
    <d v="2024-03-21T00:00:00"/>
    <x v="0"/>
    <s v="Bookkeeping"/>
    <n v="0.18"/>
    <x v="6"/>
    <s v="Yes"/>
    <s v="Email/Inbox Management"/>
    <x v="3"/>
    <x v="5"/>
  </r>
  <r>
    <d v="2024-03-21T00:00:00"/>
    <x v="0"/>
    <s v="Bookkeeping"/>
    <n v="0.18"/>
    <x v="5"/>
    <s v="Yes"/>
    <s v="Email/Inbox Management"/>
    <x v="3"/>
    <x v="5"/>
  </r>
  <r>
    <d v="2024-03-21T00:00:00"/>
    <x v="0"/>
    <s v="Bookkeeping"/>
    <n v="0.18"/>
    <x v="1"/>
    <s v="Yes"/>
    <s v="Email and Update supplier bank details in Xero"/>
    <x v="3"/>
    <x v="5"/>
  </r>
  <r>
    <d v="2024-03-21T00:00:00"/>
    <x v="0"/>
    <s v="Bookkeeping"/>
    <n v="0.77"/>
    <x v="9"/>
    <s v="Yes"/>
    <s v="AP and Email/Inbox Management"/>
    <x v="3"/>
    <x v="5"/>
  </r>
  <r>
    <d v="2024-03-21T00:00:00"/>
    <x v="0"/>
    <s v="Bookkeeping"/>
    <n v="0.88"/>
    <x v="6"/>
    <s v="Yes"/>
    <s v="Accounts Payable"/>
    <x v="3"/>
    <x v="5"/>
  </r>
  <r>
    <d v="2024-03-21T00:00:00"/>
    <x v="0"/>
    <s v="Bookkeeping"/>
    <n v="1.25"/>
    <x v="0"/>
    <s v="Yes"/>
    <s v="Create Process Document"/>
    <x v="3"/>
    <x v="5"/>
  </r>
  <r>
    <d v="2024-03-21T00:00:00"/>
    <x v="0"/>
    <s v="Bookkeeping"/>
    <n v="1.63"/>
    <x v="9"/>
    <s v="Yes"/>
    <s v="Accounts Payable"/>
    <x v="3"/>
    <x v="5"/>
  </r>
  <r>
    <d v="2024-03-21T00:00:00"/>
    <x v="0"/>
    <s v="Bookkeeping"/>
    <n v="2.13"/>
    <x v="0"/>
    <s v="No"/>
    <s v="Create Process Document"/>
    <x v="3"/>
    <x v="5"/>
  </r>
  <r>
    <d v="2024-03-21T00:00:00"/>
    <x v="0"/>
    <s v="General"/>
    <n v="0.25"/>
    <x v="11"/>
    <s v="No"/>
    <s v="Afternoon Break"/>
    <x v="3"/>
    <x v="5"/>
  </r>
  <r>
    <d v="2024-03-21T00:00:00"/>
    <x v="0"/>
    <s v="General"/>
    <n v="0.25"/>
    <x v="11"/>
    <s v="No"/>
    <s v="Morning Break"/>
    <x v="3"/>
    <x v="5"/>
  </r>
  <r>
    <d v="2024-03-21T00:00:00"/>
    <x v="0"/>
    <s v="Payroll Processing"/>
    <n v="0.08"/>
    <x v="12"/>
    <s v="Yes"/>
    <s v="Email"/>
    <x v="3"/>
    <x v="5"/>
  </r>
  <r>
    <d v="2024-03-21T00:00:00"/>
    <x v="1"/>
    <s v="P&amp;C Advisory"/>
    <n v="3.33"/>
    <x v="34"/>
    <s v="Yes"/>
    <s v="Correspondence re. salary reviews Salary review meetings with managers Draft message re. redundancy Draft script for conduct discussion"/>
    <x v="3"/>
    <x v="5"/>
  </r>
  <r>
    <d v="2024-03-21T00:00:00"/>
    <x v="1"/>
    <s v="P&amp;C Advisory - Group"/>
    <n v="1.33"/>
    <x v="14"/>
    <s v="Yes"/>
    <s v="Coordinate drug and alcohol testing Weekly call with Senior VP HR"/>
    <x v="3"/>
    <x v="5"/>
  </r>
  <r>
    <d v="2024-03-21T00:00:00"/>
    <x v="1"/>
    <s v="P&amp;C Advisory - Nederman PT"/>
    <n v="0.5"/>
    <x v="14"/>
    <s v="Yes"/>
    <s v="Salary review"/>
    <x v="3"/>
    <x v="5"/>
  </r>
  <r>
    <d v="2024-03-21T00:00:00"/>
    <x v="1"/>
    <s v="P&amp;C Advisory - Nordfab"/>
    <n v="1.5"/>
    <x v="14"/>
    <s v="Yes"/>
    <s v="Disciplinary meeting Salary review Correspondence with Sales candidates"/>
    <x v="3"/>
    <x v="5"/>
  </r>
  <r>
    <d v="2024-03-21T00:00:00"/>
    <x v="2"/>
    <s v="Annual Leave"/>
    <n v="8"/>
    <x v="11"/>
    <s v="No"/>
    <m/>
    <x v="3"/>
    <x v="5"/>
  </r>
  <r>
    <d v="2024-03-21T00:00:00"/>
    <x v="3"/>
    <s v="Learning &amp; Development"/>
    <n v="8"/>
    <x v="11"/>
    <s v="No"/>
    <s v="-finalize AP Automation progress report// meeting with Jordan and Nikhil to discuss status  - short intro for Newsletter -Email to Dex company-wide to update on QMS -Continue Video/Manual edit"/>
    <x v="3"/>
    <x v="5"/>
  </r>
  <r>
    <d v="2024-03-21T00:00:00"/>
    <x v="4"/>
    <s v="Meetings"/>
    <n v="8"/>
    <x v="11"/>
    <s v="No"/>
    <m/>
    <x v="3"/>
    <x v="5"/>
  </r>
  <r>
    <d v="2024-03-21T00:00:00"/>
    <x v="5"/>
    <s v="Unpaid Leave"/>
    <n v="8"/>
    <x v="11"/>
    <s v="No"/>
    <m/>
    <x v="3"/>
    <x v="5"/>
  </r>
  <r>
    <d v="2024-03-21T00:00:00"/>
    <x v="6"/>
    <s v="Automations - Pinnacle"/>
    <n v="8"/>
    <x v="11"/>
    <s v="No"/>
    <s v="March 21 XeroDownloadReportsAutomation - Added filters for aged receivables summary sequence - added security for users with access to the entity and its reports. Still working on how to make the user with Advisor status have the only rights to download reports"/>
    <x v="3"/>
    <x v="5"/>
  </r>
  <r>
    <d v="2024-03-21T00:00:00"/>
    <x v="8"/>
    <s v="Automations"/>
    <n v="1.5"/>
    <x v="11"/>
    <s v="No"/>
    <s v="Run four Alliance automations + AP automation;"/>
    <x v="3"/>
    <x v="5"/>
  </r>
  <r>
    <d v="2024-03-21T00:00:00"/>
    <x v="9"/>
    <s v="Automations"/>
    <n v="9.08"/>
    <x v="11"/>
    <s v="No"/>
    <s v="Data Matrix Automation Development"/>
    <x v="3"/>
    <x v="5"/>
  </r>
  <r>
    <d v="2024-03-21T00:00:00"/>
    <x v="10"/>
    <s v="Bookkeeping"/>
    <n v="0.08"/>
    <x v="50"/>
    <s v="Yes"/>
    <s v="Email payslips, file payrun"/>
    <x v="3"/>
    <x v="5"/>
  </r>
  <r>
    <d v="2024-03-21T00:00:00"/>
    <x v="10"/>
    <s v="Bookkeeping"/>
    <n v="0.17"/>
    <x v="19"/>
    <s v="Yes"/>
    <s v="checking"/>
    <x v="3"/>
    <x v="5"/>
  </r>
  <r>
    <d v="2024-03-21T00:00:00"/>
    <x v="10"/>
    <s v="Bookkeeping"/>
    <n v="0.33"/>
    <x v="42"/>
    <s v="No"/>
    <s v="checking, research about new contacts"/>
    <x v="3"/>
    <x v="5"/>
  </r>
  <r>
    <d v="2024-03-21T00:00:00"/>
    <x v="10"/>
    <s v="Bookkeeping"/>
    <n v="0.42"/>
    <x v="19"/>
    <s v="Yes"/>
    <s v="Loading bills from HubDoc, bank recon"/>
    <x v="3"/>
    <x v="5"/>
  </r>
  <r>
    <d v="2024-03-21T00:00:00"/>
    <x v="10"/>
    <s v="Bookkeeping"/>
    <n v="0.92"/>
    <x v="19"/>
    <s v="Yes"/>
    <s v="Setting up new employee, adding an unscheduled payrun"/>
    <x v="3"/>
    <x v="5"/>
  </r>
  <r>
    <d v="2024-03-21T00:00:00"/>
    <x v="10"/>
    <s v="Bookkeeping"/>
    <n v="2"/>
    <x v="42"/>
    <s v="Yes"/>
    <s v="Emails, loading bills, BAS journal, bank recon, payables list"/>
    <x v="3"/>
    <x v="5"/>
  </r>
  <r>
    <d v="2024-03-21T00:00:00"/>
    <x v="10"/>
    <s v="Bookkeeping"/>
    <n v="3.33"/>
    <x v="23"/>
    <s v="Yes"/>
    <s v="Emails, loading bills, bank recon, weekly report, AP payment"/>
    <x v="3"/>
    <x v="5"/>
  </r>
  <r>
    <d v="2024-03-21T00:00:00"/>
    <x v="10"/>
    <s v="General"/>
    <n v="0.5"/>
    <x v="11"/>
    <s v="No"/>
    <s v="break"/>
    <x v="3"/>
    <x v="5"/>
  </r>
  <r>
    <d v="2024-03-21T00:00:00"/>
    <x v="10"/>
    <s v="Payroll Processing"/>
    <n v="0.25"/>
    <x v="23"/>
    <s v="Yes"/>
    <s v="weekly payroll"/>
    <x v="3"/>
    <x v="5"/>
  </r>
  <r>
    <d v="2024-03-21T00:00:00"/>
    <x v="11"/>
    <s v="Bookkeeping"/>
    <n v="0.42"/>
    <x v="27"/>
    <s v="Yes"/>
    <s v="emails"/>
    <x v="3"/>
    <x v="5"/>
  </r>
  <r>
    <d v="2024-03-21T00:00:00"/>
    <x v="11"/>
    <s v="Bookkeeping"/>
    <n v="0.45"/>
    <x v="29"/>
    <s v="Yes"/>
    <s v="inbox"/>
    <x v="3"/>
    <x v="5"/>
  </r>
  <r>
    <d v="2024-03-21T00:00:00"/>
    <x v="11"/>
    <s v="Bookkeeping"/>
    <n v="0.56999999999999995"/>
    <x v="25"/>
    <s v="Yes"/>
    <s v="emails/ queries"/>
    <x v="3"/>
    <x v="5"/>
  </r>
  <r>
    <d v="2024-03-21T00:00:00"/>
    <x v="11"/>
    <s v="General"/>
    <n v="0.22"/>
    <x v="11"/>
    <s v="No"/>
    <s v="APE ff up"/>
    <x v="3"/>
    <x v="5"/>
  </r>
  <r>
    <d v="2024-03-21T00:00:00"/>
    <x v="11"/>
    <s v="General"/>
    <n v="0.38"/>
    <x v="11"/>
    <s v="No"/>
    <s v="teams/ queries"/>
    <x v="3"/>
    <x v="5"/>
  </r>
  <r>
    <d v="2024-03-21T00:00:00"/>
    <x v="11"/>
    <s v="General"/>
    <n v="0.5"/>
    <x v="11"/>
    <s v="No"/>
    <s v="break"/>
    <x v="3"/>
    <x v="5"/>
  </r>
  <r>
    <d v="2024-03-21T00:00:00"/>
    <x v="11"/>
    <s v="General"/>
    <n v="0.77"/>
    <x v="11"/>
    <s v="No"/>
    <s v="emails/ inbox/ teams/ queries"/>
    <x v="3"/>
    <x v="5"/>
  </r>
  <r>
    <d v="2024-03-21T00:00:00"/>
    <x v="11"/>
    <s v="Payroll Processing"/>
    <n v="0.17"/>
    <x v="15"/>
    <s v="Yes"/>
    <s v="inbox"/>
    <x v="3"/>
    <x v="5"/>
  </r>
  <r>
    <d v="2024-03-21T00:00:00"/>
    <x v="11"/>
    <s v="Payroll Processing"/>
    <n v="0.38"/>
    <x v="15"/>
    <s v="Yes"/>
    <s v="review/ adjustments"/>
    <x v="3"/>
    <x v="5"/>
  </r>
  <r>
    <d v="2024-03-21T00:00:00"/>
    <x v="11"/>
    <s v="Payroll Processing"/>
    <n v="0.72"/>
    <x v="15"/>
    <s v="Yes"/>
    <s v="processing/ stand down time query"/>
    <x v="3"/>
    <x v="5"/>
  </r>
  <r>
    <d v="2024-03-21T00:00:00"/>
    <x v="11"/>
    <s v="Payroll Processing"/>
    <n v="1.5"/>
    <x v="15"/>
    <s v="Yes"/>
    <s v="review"/>
    <x v="3"/>
    <x v="5"/>
  </r>
  <r>
    <d v="2024-03-21T00:00:00"/>
    <x v="11"/>
    <s v="Payroll Processing"/>
    <n v="1.93"/>
    <x v="15"/>
    <s v="Yes"/>
    <m/>
    <x v="3"/>
    <x v="5"/>
  </r>
  <r>
    <d v="2024-03-21T00:00:00"/>
    <x v="12"/>
    <s v="General"/>
    <n v="9.5"/>
    <x v="11"/>
    <s v="No"/>
    <s v="- Nick's Inbox management - Travel Agent follow-up - Air BnB for April 2024 - Newsletter - ATO"/>
    <x v="3"/>
    <x v="5"/>
  </r>
  <r>
    <d v="2024-03-21T00:00:00"/>
    <x v="13"/>
    <s v="Bookkeeping"/>
    <n v="0.27"/>
    <x v="31"/>
    <s v="Yes"/>
    <s v="bank recon ap invoice"/>
    <x v="3"/>
    <x v="5"/>
  </r>
  <r>
    <d v="2024-03-21T00:00:00"/>
    <x v="13"/>
    <s v="Bookkeeping"/>
    <n v="0.33"/>
    <x v="28"/>
    <s v="Yes"/>
    <s v="checking if all IAS and bas were paid"/>
    <x v="3"/>
    <x v="5"/>
  </r>
  <r>
    <d v="2024-03-21T00:00:00"/>
    <x v="13"/>
    <s v="Bookkeeping"/>
    <n v="0.53"/>
    <x v="30"/>
    <s v="Yes"/>
    <s v="bank recon emails"/>
    <x v="3"/>
    <x v="5"/>
  </r>
  <r>
    <d v="2024-03-21T00:00:00"/>
    <x v="13"/>
    <s v="Bookkeeping"/>
    <n v="0.56999999999999995"/>
    <x v="28"/>
    <s v="Yes"/>
    <s v="entering of sales transaction inbox/emails training"/>
    <x v="3"/>
    <x v="5"/>
  </r>
  <r>
    <d v="2024-03-21T00:00:00"/>
    <x v="13"/>
    <s v="Bookkeeping"/>
    <n v="0.6"/>
    <x v="29"/>
    <s v="Yes"/>
    <s v="approve ap invoices. emails"/>
    <x v="3"/>
    <x v="5"/>
  </r>
  <r>
    <d v="2024-03-21T00:00:00"/>
    <x v="13"/>
    <s v="Bookkeeping"/>
    <n v="0.62"/>
    <x v="72"/>
    <s v="Yes"/>
    <s v="entering of sales transactions"/>
    <x v="3"/>
    <x v="5"/>
  </r>
  <r>
    <d v="2024-03-21T00:00:00"/>
    <x v="13"/>
    <s v="Bookkeeping"/>
    <n v="0.82"/>
    <x v="71"/>
    <s v="Yes"/>
    <s v="bank transactions inbox"/>
    <x v="3"/>
    <x v="5"/>
  </r>
  <r>
    <d v="2024-03-21T00:00:00"/>
    <x v="13"/>
    <s v="Bookkeeping"/>
    <n v="1.1000000000000001"/>
    <x v="30"/>
    <s v="No"/>
    <s v="non billable.  checking of previous sales report. emails"/>
    <x v="3"/>
    <x v="5"/>
  </r>
  <r>
    <d v="2024-03-21T00:00:00"/>
    <x v="13"/>
    <s v="Bookkeeping"/>
    <n v="2.67"/>
    <x v="71"/>
    <s v="Yes"/>
    <s v="entering of sales transactions training"/>
    <x v="3"/>
    <x v="5"/>
  </r>
  <r>
    <d v="2024-03-21T00:00:00"/>
    <x v="13"/>
    <s v="General"/>
    <n v="0.5"/>
    <x v="11"/>
    <s v="No"/>
    <s v="break"/>
    <x v="3"/>
    <x v="5"/>
  </r>
  <r>
    <d v="2024-03-21T00:00:00"/>
    <x v="14"/>
    <s v="Bookkeeping"/>
    <n v="0.18"/>
    <x v="25"/>
    <s v="Yes"/>
    <s v="Recording of invoices"/>
    <x v="3"/>
    <x v="5"/>
  </r>
  <r>
    <d v="2024-03-21T00:00:00"/>
    <x v="14"/>
    <s v="Bookkeeping"/>
    <n v="0.2"/>
    <x v="32"/>
    <s v="Yes"/>
    <s v="Checking accounts"/>
    <x v="3"/>
    <x v="5"/>
  </r>
  <r>
    <d v="2024-03-21T00:00:00"/>
    <x v="14"/>
    <s v="Bookkeeping"/>
    <n v="0.5"/>
    <x v="32"/>
    <s v="No"/>
    <s v="Answering questions for handover "/>
    <x v="3"/>
    <x v="5"/>
  </r>
  <r>
    <d v="2024-03-21T00:00:00"/>
    <x v="14"/>
    <s v="Bookkeeping"/>
    <n v="1.02"/>
    <x v="25"/>
    <s v="Yes"/>
    <s v="Bank recs, recording of invoices, checking inbox"/>
    <x v="3"/>
    <x v="5"/>
  </r>
  <r>
    <d v="2024-03-21T00:00:00"/>
    <x v="14"/>
    <s v="Bookkeeping"/>
    <n v="1.2"/>
    <x v="32"/>
    <s v="Yes"/>
    <s v="Asking around to get an answer for the client's query and responding to their email"/>
    <x v="3"/>
    <x v="5"/>
  </r>
  <r>
    <d v="2024-03-21T00:00:00"/>
    <x v="14"/>
    <s v="Bookkeeping"/>
    <n v="1.67"/>
    <x v="25"/>
    <s v="Yes"/>
    <s v="Bank recs, recording of invoices"/>
    <x v="3"/>
    <x v="5"/>
  </r>
  <r>
    <d v="2024-03-21T00:00:00"/>
    <x v="14"/>
    <s v="Bookkeeping"/>
    <n v="2"/>
    <x v="73"/>
    <s v="Yes"/>
    <s v="Bank recs, recording of invoices, clearing of inbox"/>
    <x v="3"/>
    <x v="5"/>
  </r>
  <r>
    <d v="2024-03-21T00:00:00"/>
    <x v="14"/>
    <s v="Client Meeting"/>
    <n v="0.25"/>
    <x v="33"/>
    <s v="No"/>
    <s v="Catch-up with Shalini"/>
    <x v="3"/>
    <x v="5"/>
  </r>
  <r>
    <d v="2024-03-21T00:00:00"/>
    <x v="14"/>
    <s v="General"/>
    <n v="0.18"/>
    <x v="11"/>
    <s v="No"/>
    <s v="Checking emails"/>
    <x v="3"/>
    <x v="5"/>
  </r>
  <r>
    <d v="2024-03-21T00:00:00"/>
    <x v="14"/>
    <s v="Payroll Processing"/>
    <n v="0.35"/>
    <x v="34"/>
    <s v="Yes"/>
    <s v="Checking payroll inbox"/>
    <x v="3"/>
    <x v="5"/>
  </r>
  <r>
    <d v="2024-03-21T00:00:00"/>
    <x v="14"/>
    <s v="Payroll Processing"/>
    <n v="0.45"/>
    <x v="33"/>
    <s v="Yes"/>
    <s v="Updating payroll file - added meal allowances "/>
    <x v="3"/>
    <x v="5"/>
  </r>
  <r>
    <d v="2024-03-21T00:00:00"/>
    <x v="15"/>
    <s v="Bookkeeping"/>
    <n v="0.33"/>
    <x v="92"/>
    <s v="Yes"/>
    <s v="payroll tax email client about registration"/>
    <x v="3"/>
    <x v="5"/>
  </r>
  <r>
    <d v="2024-03-21T00:00:00"/>
    <x v="15"/>
    <s v="Bookkeeping"/>
    <n v="0.35"/>
    <x v="18"/>
    <s v="Yes"/>
    <s v="bank rec"/>
    <x v="3"/>
    <x v="5"/>
  </r>
  <r>
    <d v="2024-03-21T00:00:00"/>
    <x v="15"/>
    <s v="Bookkeeping"/>
    <n v="1.98"/>
    <x v="18"/>
    <s v="Yes"/>
    <s v="bank recs - summary of unreconciled transactions"/>
    <x v="3"/>
    <x v="5"/>
  </r>
  <r>
    <d v="2024-03-21T00:00:00"/>
    <x v="15"/>
    <s v="General"/>
    <n v="0.4"/>
    <x v="11"/>
    <s v="No"/>
    <s v="paid break"/>
    <x v="3"/>
    <x v="5"/>
  </r>
  <r>
    <d v="2024-03-21T00:00:00"/>
    <x v="15"/>
    <s v="General"/>
    <n v="0.62"/>
    <x v="11"/>
    <s v="No"/>
    <s v="clean asana, chat with Jim about Too Nice feb reports"/>
    <x v="3"/>
    <x v="5"/>
  </r>
  <r>
    <d v="2024-03-21T00:00:00"/>
    <x v="15"/>
    <s v="General"/>
    <n v="0.97"/>
    <x v="11"/>
    <s v="No"/>
    <s v="emails, asana, xpm chat with Rac - holdsworth budget chat with Shalini - energy vault payroll tax check with Ef- Pinnacle outstanding items"/>
    <x v="3"/>
    <x v="5"/>
  </r>
  <r>
    <d v="2024-03-21T00:00:00"/>
    <x v="15"/>
    <s v="Learning &amp; Development"/>
    <n v="0.97"/>
    <x v="11"/>
    <s v="No"/>
    <s v="stp finalisation training draft"/>
    <x v="3"/>
    <x v="5"/>
  </r>
  <r>
    <d v="2024-03-21T00:00:00"/>
    <x v="15"/>
    <s v="Learning &amp; Development"/>
    <n v="1.23"/>
    <x v="11"/>
    <s v="No"/>
    <s v="review linkedin trainings upload in wyzed"/>
    <x v="3"/>
    <x v="5"/>
  </r>
  <r>
    <d v="2024-03-21T00:00:00"/>
    <x v="15"/>
    <s v="Learning &amp; Development"/>
    <n v="1.43"/>
    <x v="11"/>
    <s v="No"/>
    <s v="put in Wyzed training modules"/>
    <x v="3"/>
    <x v="5"/>
  </r>
  <r>
    <d v="2024-03-21T00:00:00"/>
    <x v="16"/>
    <s v="Bookkeeping"/>
    <n v="7.15"/>
    <x v="35"/>
    <s v="Yes"/>
    <m/>
    <x v="3"/>
    <x v="5"/>
  </r>
  <r>
    <d v="2024-03-21T00:00:00"/>
    <x v="16"/>
    <s v="Meetings"/>
    <n v="0.3"/>
    <x v="11"/>
    <s v="No"/>
    <s v="Catch up - Ralph"/>
    <x v="3"/>
    <x v="5"/>
  </r>
  <r>
    <d v="2024-03-21T00:00:00"/>
    <x v="16"/>
    <s v="Meetings"/>
    <n v="0.45"/>
    <x v="11"/>
    <s v="No"/>
    <s v="Catchp up - Rachele"/>
    <x v="3"/>
    <x v="5"/>
  </r>
  <r>
    <d v="2024-03-21T00:00:00"/>
    <x v="18"/>
    <s v="Bookkeeping"/>
    <n v="0.38"/>
    <x v="37"/>
    <s v="Yes"/>
    <m/>
    <x v="3"/>
    <x v="5"/>
  </r>
  <r>
    <d v="2024-03-21T00:00:00"/>
    <x v="18"/>
    <s v="Bookkeeping"/>
    <n v="0.48"/>
    <x v="41"/>
    <s v="Yes"/>
    <s v="Ap items and sent bills to client for batch payment"/>
    <x v="3"/>
    <x v="5"/>
  </r>
  <r>
    <d v="2024-03-21T00:00:00"/>
    <x v="18"/>
    <s v="Bookkeeping"/>
    <n v="0.92"/>
    <x v="36"/>
    <s v="Yes"/>
    <s v="ap items, bank recon, invisalign invoices ap emails"/>
    <x v="3"/>
    <x v="5"/>
  </r>
  <r>
    <d v="2024-03-21T00:00:00"/>
    <x v="18"/>
    <s v="Bookkeeping"/>
    <n v="0.93"/>
    <x v="27"/>
    <s v="Yes"/>
    <s v="AP Items, Dext Prepare items, AP email queries, ap batch prepare and sent to client for upload"/>
    <x v="3"/>
    <x v="5"/>
  </r>
  <r>
    <d v="2024-03-21T00:00:00"/>
    <x v="18"/>
    <s v="Bookkeeping"/>
    <n v="1.22"/>
    <x v="27"/>
    <s v="Yes"/>
    <m/>
    <x v="3"/>
    <x v="5"/>
  </r>
  <r>
    <d v="2024-03-21T00:00:00"/>
    <x v="18"/>
    <s v="Bookkeeping"/>
    <n v="1.77"/>
    <x v="35"/>
    <s v="Yes"/>
    <s v="ap bills review"/>
    <x v="3"/>
    <x v="5"/>
  </r>
  <r>
    <d v="2024-03-21T00:00:00"/>
    <x v="18"/>
    <s v="Bookkeeping"/>
    <n v="1.9"/>
    <x v="40"/>
    <s v="Yes"/>
    <s v="AP Items, invoices from procore &amp; hubdoc, new employee set-up, sync data to EH, sorting emails to project folders &amp; queries, checking of invoices correctly tagged on proj "/>
    <x v="3"/>
    <x v="5"/>
  </r>
  <r>
    <d v="2024-03-21T00:00:00"/>
    <x v="18"/>
    <s v="Meetings"/>
    <n v="0.4"/>
    <x v="11"/>
    <s v="No"/>
    <s v="Monthly coaching | Jim-Ralph"/>
    <x v="3"/>
    <x v="5"/>
  </r>
  <r>
    <d v="2024-03-21T00:00:00"/>
    <x v="19"/>
    <s v="Automations - Surefire"/>
    <n v="8"/>
    <x v="11"/>
    <s v="No"/>
    <s v="Surefire Automation"/>
    <x v="3"/>
    <x v="5"/>
  </r>
  <r>
    <d v="2024-03-21T00:00:00"/>
    <x v="20"/>
    <s v="Automations - Skylife"/>
    <n v="8"/>
    <x v="11"/>
    <s v="No"/>
    <m/>
    <x v="3"/>
    <x v="5"/>
  </r>
  <r>
    <d v="2024-03-21T00:00:00"/>
    <x v="21"/>
    <s v="Automations"/>
    <n v="8"/>
    <x v="11"/>
    <s v="No"/>
    <s v="Run: Lack of Color Run: Primebuild Payroll Processing Report Automation Dev: Pinnacle Oporto Automation "/>
    <x v="3"/>
    <x v="5"/>
  </r>
  <r>
    <d v="2024-03-21T00:00:00"/>
    <x v="22"/>
    <s v="Bookkeeping"/>
    <n v="0.17"/>
    <x v="42"/>
    <s v="Yes"/>
    <s v="Import visa transactions, check for BAS signature, check wages paid"/>
    <x v="3"/>
    <x v="5"/>
  </r>
  <r>
    <d v="2024-03-21T00:00:00"/>
    <x v="22"/>
    <s v="Bookkeeping"/>
    <n v="0.88"/>
    <x v="42"/>
    <s v="Yes"/>
    <s v="Load BAS payment Email re nine - check figures Email Lucia re Nine, BAS, Asic Impor visa transactions"/>
    <x v="3"/>
    <x v="5"/>
  </r>
  <r>
    <d v="2024-03-21T00:00:00"/>
    <x v="22"/>
    <s v="Bookkeeping"/>
    <n v="1.32"/>
    <x v="90"/>
    <s v="Yes"/>
    <s v="Intercompany loan reconcilation"/>
    <x v="3"/>
    <x v="5"/>
  </r>
  <r>
    <d v="2024-03-21T00:00:00"/>
    <x v="22"/>
    <s v="Client Admin"/>
    <n v="0.25"/>
    <x v="11"/>
    <s v="No"/>
    <s v="Chat with Carly around Angie super and other things"/>
    <x v="3"/>
    <x v="5"/>
  </r>
  <r>
    <d v="2024-03-21T00:00:00"/>
    <x v="22"/>
    <s v="Client Admin"/>
    <n v="0.37"/>
    <x v="11"/>
    <s v="No"/>
    <s v="Agent portal linking LM, liaise with Sahlini on this and BAS OportoUlladulla adhoc payrun"/>
    <x v="3"/>
    <x v="5"/>
  </r>
  <r>
    <d v="2024-03-21T00:00:00"/>
    <x v="22"/>
    <s v="Client Admin"/>
    <n v="0.52"/>
    <x v="11"/>
    <s v="No"/>
    <s v="Meeting with Shalini to request BAS deferral for Queste, email to client re contact - attempt to call Michael (VM)"/>
    <x v="3"/>
    <x v="5"/>
  </r>
  <r>
    <d v="2024-03-21T00:00:00"/>
    <x v="22"/>
    <s v="Client Manager"/>
    <n v="0.17"/>
    <x v="23"/>
    <s v="Yes"/>
    <s v="Email Anna re wage increases"/>
    <x v="3"/>
    <x v="5"/>
  </r>
  <r>
    <d v="2024-03-21T00:00:00"/>
    <x v="22"/>
    <s v="Client Manager"/>
    <n v="0.52"/>
    <x v="44"/>
    <s v="Yes"/>
    <s v="Redo spreadsheet of transactions and email to Zoe"/>
    <x v="3"/>
    <x v="5"/>
  </r>
  <r>
    <d v="2024-03-21T00:00:00"/>
    <x v="22"/>
    <s v="Client Meeting"/>
    <n v="0.27"/>
    <x v="81"/>
    <s v="Yes"/>
    <s v="Review superstream requirements for WPN holders"/>
    <x v="3"/>
    <x v="5"/>
  </r>
  <r>
    <d v="2024-03-21T00:00:00"/>
    <x v="22"/>
    <s v="Client Meeting"/>
    <n v="0.33"/>
    <x v="90"/>
    <s v="Yes"/>
    <s v="Catch up with Tyson re expenses, loans and rec / bill payment Review reconciliation sheet"/>
    <x v="3"/>
    <x v="5"/>
  </r>
  <r>
    <d v="2024-03-21T00:00:00"/>
    <x v="22"/>
    <s v="General"/>
    <n v="0.68"/>
    <x v="11"/>
    <s v="No"/>
    <s v="Emails"/>
    <x v="3"/>
    <x v="5"/>
  </r>
  <r>
    <d v="2024-03-21T00:00:00"/>
    <x v="22"/>
    <s v="Payroll Processing"/>
    <n v="0.08"/>
    <x v="43"/>
    <s v="Yes"/>
    <s v="Finalise payrun, load ABA to bank, message to Matt re payroll and funds"/>
    <x v="3"/>
    <x v="5"/>
  </r>
  <r>
    <d v="2024-03-21T00:00:00"/>
    <x v="22"/>
    <s v="Payroll Processing"/>
    <n v="0.33"/>
    <x v="15"/>
    <s v="No"/>
    <s v="Assist Rose with Lump sum E and tax"/>
    <x v="3"/>
    <x v="5"/>
  </r>
  <r>
    <d v="2024-03-21T00:00:00"/>
    <x v="22"/>
    <s v="Payroll Processing"/>
    <n v="1.03"/>
    <x v="34"/>
    <s v="Yes"/>
    <s v="Ronnie / Andrew re budgets. Notes on workers comp and novated lease processing Review emails and HR benchmarking report"/>
    <x v="3"/>
    <x v="5"/>
  </r>
  <r>
    <d v="2024-03-21T00:00:00"/>
    <x v="23"/>
    <s v="Annual GST Preparation &amp; Lodgement"/>
    <n v="1.37"/>
    <x v="79"/>
    <s v="No"/>
    <s v="Email response, tax return, Annual, ATO checked, intercompany, initial review, and attending to Neet queries"/>
    <x v="3"/>
    <x v="5"/>
  </r>
  <r>
    <d v="2024-03-21T00:00:00"/>
    <x v="23"/>
    <s v="Client Admin"/>
    <n v="0.3"/>
    <x v="11"/>
    <s v="No"/>
    <s v="Updating new client and responding to kate's request"/>
    <x v="3"/>
    <x v="5"/>
  </r>
  <r>
    <d v="2024-03-21T00:00:00"/>
    <x v="23"/>
    <s v="Client Meeting"/>
    <n v="0.1"/>
    <x v="44"/>
    <s v="Yes"/>
    <s v="Updating the XPM, ASANA and ACN code"/>
    <x v="3"/>
    <x v="5"/>
  </r>
  <r>
    <d v="2024-03-21T00:00:00"/>
    <x v="23"/>
    <s v="Client Meeting"/>
    <n v="0.17"/>
    <x v="22"/>
    <s v="Yes"/>
    <s v="attending to queries"/>
    <x v="3"/>
    <x v="5"/>
  </r>
  <r>
    <d v="2024-03-21T00:00:00"/>
    <x v="23"/>
    <s v="Client Meeting"/>
    <n v="0.23"/>
    <x v="39"/>
    <s v="No"/>
    <s v="Email and attending to queries. Updates XPM and ASANA"/>
    <x v="3"/>
    <x v="5"/>
  </r>
  <r>
    <d v="2024-03-21T00:00:00"/>
    <x v="23"/>
    <s v="Client Meeting"/>
    <n v="0.27"/>
    <x v="15"/>
    <s v="No"/>
    <s v="Attending to Shery'l queries"/>
    <x v="3"/>
    <x v="5"/>
  </r>
  <r>
    <d v="2024-03-21T00:00:00"/>
    <x v="23"/>
    <s v="General"/>
    <n v="0.15"/>
    <x v="11"/>
    <s v="No"/>
    <s v="xpm"/>
    <x v="3"/>
    <x v="5"/>
  </r>
  <r>
    <d v="2024-03-21T00:00:00"/>
    <x v="23"/>
    <s v="General"/>
    <n v="0.17"/>
    <x v="11"/>
    <s v="No"/>
    <s v="Team chats"/>
    <x v="3"/>
    <x v="5"/>
  </r>
  <r>
    <d v="2024-03-21T00:00:00"/>
    <x v="23"/>
    <s v="General"/>
    <n v="0.25"/>
    <x v="11"/>
    <s v="No"/>
    <s v="AFTERNOON Break: 15 mins coffee breaks as paid per Labor Code of the Philippines, Article 85."/>
    <x v="3"/>
    <x v="5"/>
  </r>
  <r>
    <d v="2024-03-21T00:00:00"/>
    <x v="23"/>
    <s v="General"/>
    <n v="0.25"/>
    <x v="11"/>
    <s v="No"/>
    <s v="MORNING Break: 15 mins coffee breaks as paid per Labor Code of the Philippines, Article 85."/>
    <x v="3"/>
    <x v="5"/>
  </r>
  <r>
    <d v="2024-03-21T00:00:00"/>
    <x v="23"/>
    <s v="General"/>
    <n v="0.47"/>
    <x v="11"/>
    <s v="No"/>
    <m/>
    <x v="3"/>
    <x v="5"/>
  </r>
  <r>
    <d v="2024-03-21T00:00:00"/>
    <x v="23"/>
    <s v="General"/>
    <n v="0.68"/>
    <x v="11"/>
    <s v="No"/>
    <s v="&gt;Email, Training, responding to queries, and team chats"/>
    <x v="3"/>
    <x v="5"/>
  </r>
  <r>
    <d v="2024-03-21T00:00:00"/>
    <x v="23"/>
    <s v="General"/>
    <n v="1.03"/>
    <x v="11"/>
    <s v="No"/>
    <s v="clean up files "/>
    <x v="3"/>
    <x v="5"/>
  </r>
  <r>
    <d v="2024-03-21T00:00:00"/>
    <x v="23"/>
    <s v="IAS/BAS Preparation &amp; Lodgement - Jan-Mar"/>
    <n v="0.43"/>
    <x v="111"/>
    <s v="Yes"/>
    <s v="PAYGI process, XPM, and fixing error"/>
    <x v="3"/>
    <x v="5"/>
  </r>
  <r>
    <d v="2024-03-21T00:00:00"/>
    <x v="23"/>
    <s v="IAS/BAS Preparation &amp; Lodgement - Oct-Dec"/>
    <n v="0.32"/>
    <x v="22"/>
    <s v="No"/>
    <s v="NonBillable - XPM and Xero activities"/>
    <x v="3"/>
    <x v="5"/>
  </r>
  <r>
    <d v="2024-03-21T00:00:00"/>
    <x v="23"/>
    <s v="IAS/BAS Preparation &amp; Lodgement - Oct-Dec"/>
    <n v="1.37"/>
    <x v="22"/>
    <s v="No"/>
    <s v="BAS process and further digging of 56K variance."/>
    <x v="3"/>
    <x v="5"/>
  </r>
  <r>
    <d v="2024-03-21T00:00:00"/>
    <x v="23"/>
    <s v="Learning &amp; Development"/>
    <n v="0.47"/>
    <x v="11"/>
    <s v="No"/>
    <s v="Wzed training"/>
    <x v="3"/>
    <x v="5"/>
  </r>
  <r>
    <d v="2024-03-21T00:00:00"/>
    <x v="48"/>
    <s v="HR/Recuitment"/>
    <n v="7"/>
    <x v="11"/>
    <s v="No"/>
    <s v="Interviews with 3 x candidates for Finance Manager role, type up interview notes. Phone interview further candidates and shortlist for video chats.  Review candidates from Linked In sent by Z to HR folder, and send emails as follow up.  Meet with AH for HR monthly catchup."/>
    <x v="3"/>
    <x v="5"/>
  </r>
  <r>
    <d v="2024-03-21T00:00:00"/>
    <x v="24"/>
    <s v="Bookkeeping"/>
    <n v="7.13"/>
    <x v="15"/>
    <s v="Yes"/>
    <m/>
    <x v="3"/>
    <x v="5"/>
  </r>
  <r>
    <d v="2024-03-21T00:00:00"/>
    <x v="24"/>
    <s v="Payroll Processing"/>
    <n v="0.85"/>
    <x v="30"/>
    <s v="Yes"/>
    <m/>
    <x v="3"/>
    <x v="5"/>
  </r>
  <r>
    <d v="2024-03-21T00:00:00"/>
    <x v="26"/>
    <s v="Adhoc Support &amp; Advice"/>
    <n v="1"/>
    <x v="15"/>
    <s v="No"/>
    <s v="Recon"/>
    <x v="3"/>
    <x v="5"/>
  </r>
  <r>
    <d v="2024-03-21T00:00:00"/>
    <x v="26"/>
    <s v="Debt Collection"/>
    <n v="2.5"/>
    <x v="15"/>
    <s v="Yes"/>
    <m/>
    <x v="3"/>
    <x v="5"/>
  </r>
  <r>
    <d v="2024-03-21T00:00:00"/>
    <x v="26"/>
    <s v="Debt Collection"/>
    <n v="4"/>
    <x v="11"/>
    <s v="No"/>
    <m/>
    <x v="3"/>
    <x v="5"/>
  </r>
  <r>
    <d v="2024-03-21T00:00:00"/>
    <x v="26"/>
    <s v="General"/>
    <n v="0.5"/>
    <x v="11"/>
    <s v="No"/>
    <s v="break"/>
    <x v="3"/>
    <x v="5"/>
  </r>
  <r>
    <d v="2024-03-21T00:00:00"/>
    <x v="28"/>
    <s v="Bookkeeping"/>
    <n v="2.52"/>
    <x v="57"/>
    <s v="Yes"/>
    <s v="Clearing Account Domestic Afterpay Shopify klarna Paypal Postscript Bills raise to xero Clearing Account international Afterpay"/>
    <x v="3"/>
    <x v="5"/>
  </r>
  <r>
    <d v="2024-03-21T00:00:00"/>
    <x v="28"/>
    <s v="Bookkeeping"/>
    <n v="5.03"/>
    <x v="57"/>
    <s v="Yes"/>
    <s v="Email Management Bills raise to xero bank Reconciliation BM and LOC Inc Payment Loading to Combizz Check and approved sales to a2x Import paypal currencies and reconciled "/>
    <x v="3"/>
    <x v="5"/>
  </r>
  <r>
    <d v="2024-03-21T00:00:00"/>
    <x v="28"/>
    <s v="General"/>
    <n v="0.5"/>
    <x v="11"/>
    <s v="No"/>
    <s v="Break"/>
    <x v="3"/>
    <x v="5"/>
  </r>
  <r>
    <d v="2024-03-21T00:00:00"/>
    <x v="29"/>
    <s v="IT"/>
    <n v="5"/>
    <x v="11"/>
    <s v="No"/>
    <s v="Support"/>
    <x v="3"/>
    <x v="5"/>
  </r>
  <r>
    <d v="2024-03-21T00:00:00"/>
    <x v="29"/>
    <s v="Sick Leave"/>
    <n v="4"/>
    <x v="11"/>
    <s v="No"/>
    <s v="Sick Leave"/>
    <x v="3"/>
    <x v="5"/>
  </r>
  <r>
    <d v="2024-03-21T00:00:00"/>
    <x v="30"/>
    <s v="Bookkeeping"/>
    <n v="3.53"/>
    <x v="26"/>
    <s v="Yes"/>
    <s v="Email Management Bills processing Bank and Credit Card Recon "/>
    <x v="3"/>
    <x v="5"/>
  </r>
  <r>
    <d v="2024-03-21T00:00:00"/>
    <x v="30"/>
    <s v="Bookkeeping"/>
    <n v="3.77"/>
    <x v="58"/>
    <s v="Yes"/>
    <s v="Email Management AR Invoice processing Bills Processing Bank Recon Supplier's Batch Payment "/>
    <x v="3"/>
    <x v="5"/>
  </r>
  <r>
    <d v="2024-03-21T00:00:00"/>
    <x v="30"/>
    <s v="General"/>
    <n v="0.53"/>
    <x v="11"/>
    <s v="No"/>
    <s v="Asana Task Clean Up"/>
    <x v="3"/>
    <x v="5"/>
  </r>
  <r>
    <d v="2024-03-21T00:00:00"/>
    <x v="30"/>
    <s v="Payroll Processing"/>
    <n v="0.2"/>
    <x v="43"/>
    <s v="Yes"/>
    <s v="Emailing of Employees Pay slips Filing Payroll "/>
    <x v="3"/>
    <x v="5"/>
  </r>
  <r>
    <d v="2024-03-21T00:00:00"/>
    <x v="31"/>
    <s v="Accounts"/>
    <n v="0.22"/>
    <x v="11"/>
    <s v="No"/>
    <s v="TS for MKP - Job Activity for Libby Coordination of payroll concerns with Z and RJ"/>
    <x v="3"/>
    <x v="5"/>
  </r>
  <r>
    <d v="2024-03-21T00:00:00"/>
    <x v="31"/>
    <s v="Accounts"/>
    <n v="0.55000000000000004"/>
    <x v="56"/>
    <s v="No"/>
    <s v="Email Mizpah for the OR copy of SEC payment. Coordination with Burn re: payroll dispute"/>
    <x v="3"/>
    <x v="5"/>
  </r>
  <r>
    <d v="2024-03-21T00:00:00"/>
    <x v="31"/>
    <s v="Accounts"/>
    <n v="0.63"/>
    <x v="11"/>
    <s v="No"/>
    <s v="TS for MKP as requested by Libby (01 Jul 2022 - 30 Jun 2023)"/>
    <x v="3"/>
    <x v="5"/>
  </r>
  <r>
    <d v="2024-03-21T00:00:00"/>
    <x v="31"/>
    <s v="Accounts"/>
    <n v="0.85"/>
    <x v="11"/>
    <s v="No"/>
    <s v="Call with RJ and Shalini re: Referral Update tracker Update Asana tasks based on the meeting"/>
    <x v="3"/>
    <x v="5"/>
  </r>
  <r>
    <d v="2024-03-21T00:00:00"/>
    <x v="31"/>
    <s v="Accounts"/>
    <n v="1.82"/>
    <x v="56"/>
    <s v="No"/>
    <s v="Payroll BDO reuploading tutorial with RJ Catch up emails Process bills and coordinate the correct information Coordinate needed invoices to Jordan Payment inquiry with Z"/>
    <x v="3"/>
    <x v="5"/>
  </r>
  <r>
    <d v="2024-03-21T00:00:00"/>
    <x v="31"/>
    <s v="Bookkeeping"/>
    <n v="1.4"/>
    <x v="11"/>
    <s v="No"/>
    <s v="Process bills and checking of details. Endorsed to Nick for approval. Update bank recs. Catch up emails and respond. Process invoice for Ramp - checking of details for CFO Services."/>
    <x v="3"/>
    <x v="5"/>
  </r>
  <r>
    <d v="2024-03-21T00:00:00"/>
    <x v="31"/>
    <s v="Compliance"/>
    <n v="1.77"/>
    <x v="94"/>
    <s v="No"/>
    <s v="BIR Alphalist for version 2 data entry for RO"/>
    <x v="3"/>
    <x v="5"/>
  </r>
  <r>
    <d v="2024-03-21T00:00:00"/>
    <x v="31"/>
    <s v="Payroll Processing"/>
    <n v="0.82"/>
    <x v="56"/>
    <s v="No"/>
    <s v="Payroll approval and announcement. Concerns from employees re: Loans and others"/>
    <x v="3"/>
    <x v="5"/>
  </r>
  <r>
    <d v="2024-03-21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5"/>
  </r>
  <r>
    <d v="2024-03-21T00:00:00"/>
    <x v="33"/>
    <s v="Bookkeeping"/>
    <n v="0.5"/>
    <x v="79"/>
    <s v="Yes"/>
    <m/>
    <x v="3"/>
    <x v="5"/>
  </r>
  <r>
    <d v="2024-03-21T00:00:00"/>
    <x v="33"/>
    <s v="Bookkeeping"/>
    <n v="0.5"/>
    <x v="32"/>
    <s v="Yes"/>
    <m/>
    <x v="3"/>
    <x v="5"/>
  </r>
  <r>
    <d v="2024-03-21T00:00:00"/>
    <x v="33"/>
    <s v="Bookkeeping"/>
    <n v="0.5"/>
    <x v="59"/>
    <s v="Yes"/>
    <m/>
    <x v="3"/>
    <x v="5"/>
  </r>
  <r>
    <d v="2024-03-21T00:00:00"/>
    <x v="33"/>
    <s v="Bookkeeping"/>
    <n v="0.75"/>
    <x v="60"/>
    <s v="Yes"/>
    <s v="uploading payments"/>
    <x v="3"/>
    <x v="5"/>
  </r>
  <r>
    <d v="2024-03-21T00:00:00"/>
    <x v="33"/>
    <s v="Bookkeeping"/>
    <n v="2.5"/>
    <x v="9"/>
    <s v="Yes"/>
    <m/>
    <x v="3"/>
    <x v="5"/>
  </r>
  <r>
    <d v="2024-03-21T00:00:00"/>
    <x v="33"/>
    <s v="Meetings"/>
    <n v="0.75"/>
    <x v="11"/>
    <s v="No"/>
    <s v="DD meeting with Shalini for Fathom handover"/>
    <x v="3"/>
    <x v="5"/>
  </r>
  <r>
    <d v="2024-03-21T00:00:00"/>
    <x v="34"/>
    <s v="Client Manager"/>
    <n v="0.05"/>
    <x v="75"/>
    <s v="Yes"/>
    <s v="Emails"/>
    <x v="3"/>
    <x v="5"/>
  </r>
  <r>
    <d v="2024-03-21T00:00:00"/>
    <x v="34"/>
    <s v="Client Manager"/>
    <n v="0.23"/>
    <x v="0"/>
    <s v="No"/>
    <s v="Question for Knowledge Shop on MtM"/>
    <x v="3"/>
    <x v="5"/>
  </r>
  <r>
    <d v="2024-03-21T00:00:00"/>
    <x v="34"/>
    <s v="Client Manager"/>
    <n v="6.18"/>
    <x v="96"/>
    <s v="No"/>
    <s v="Procedure for Customer Analysis + Improvement of model"/>
    <x v="3"/>
    <x v="5"/>
  </r>
  <r>
    <d v="2024-03-21T00:00:00"/>
    <x v="34"/>
    <s v="General"/>
    <n v="1.1200000000000001"/>
    <x v="11"/>
    <s v="No"/>
    <s v="Emails, Teams, Asana"/>
    <x v="3"/>
    <x v="5"/>
  </r>
  <r>
    <d v="2024-03-21T00:00:00"/>
    <x v="35"/>
    <s v="Bookkeeping"/>
    <n v="0.2"/>
    <x v="33"/>
    <s v="Yes"/>
    <s v="chat checking re meal rates "/>
    <x v="3"/>
    <x v="5"/>
  </r>
  <r>
    <d v="2024-03-21T00:00:00"/>
    <x v="35"/>
    <s v="Bookkeeping"/>
    <n v="0.78"/>
    <x v="33"/>
    <s v="Yes"/>
    <s v="emails, BR"/>
    <x v="3"/>
    <x v="5"/>
  </r>
  <r>
    <d v="2024-03-21T00:00:00"/>
    <x v="35"/>
    <s v="Bookkeeping"/>
    <n v="1.1200000000000001"/>
    <x v="33"/>
    <s v="Yes"/>
    <s v="BR"/>
    <x v="3"/>
    <x v="5"/>
  </r>
  <r>
    <d v="2024-03-21T00:00:00"/>
    <x v="35"/>
    <s v="Bookkeeping"/>
    <n v="1.37"/>
    <x v="62"/>
    <s v="Yes"/>
    <s v="BR"/>
    <x v="3"/>
    <x v="5"/>
  </r>
  <r>
    <d v="2024-03-21T00:00:00"/>
    <x v="35"/>
    <s v="Bookkeeping"/>
    <n v="1.68"/>
    <x v="62"/>
    <s v="Yes"/>
    <s v="AP, recs,email"/>
    <x v="3"/>
    <x v="5"/>
  </r>
  <r>
    <d v="2024-03-21T00:00:00"/>
    <x v="35"/>
    <s v="Bookkeeping"/>
    <n v="2.67"/>
    <x v="62"/>
    <s v="Yes"/>
    <s v="AP and update Supplier recs and follow up requested invoices"/>
    <x v="3"/>
    <x v="5"/>
  </r>
  <r>
    <d v="2024-03-21T00:00:00"/>
    <x v="35"/>
    <s v="Client Manager"/>
    <n v="0.22"/>
    <x v="33"/>
    <s v="No"/>
    <s v="weekly catch up"/>
    <x v="3"/>
    <x v="5"/>
  </r>
  <r>
    <d v="2024-03-21T00:00:00"/>
    <x v="36"/>
    <s v="Bookkeeping"/>
    <n v="1.45"/>
    <x v="35"/>
    <s v="Yes"/>
    <m/>
    <x v="3"/>
    <x v="5"/>
  </r>
  <r>
    <d v="2024-03-21T00:00:00"/>
    <x v="36"/>
    <s v="Bookkeeping"/>
    <n v="1.88"/>
    <x v="35"/>
    <s v="Yes"/>
    <s v="AP"/>
    <x v="3"/>
    <x v="5"/>
  </r>
  <r>
    <d v="2024-03-21T00:00:00"/>
    <x v="36"/>
    <s v="General"/>
    <n v="0.43"/>
    <x v="11"/>
    <s v="No"/>
    <s v="dex emails"/>
    <x v="3"/>
    <x v="5"/>
  </r>
  <r>
    <d v="2024-03-21T00:00:00"/>
    <x v="36"/>
    <s v="Payroll Processing"/>
    <n v="0.25"/>
    <x v="34"/>
    <s v="Yes"/>
    <s v="Shadowed with Rose "/>
    <x v="3"/>
    <x v="5"/>
  </r>
  <r>
    <d v="2024-03-21T00:00:00"/>
    <x v="36"/>
    <s v="Payroll Processing"/>
    <n v="4.7699999999999996"/>
    <x v="35"/>
    <s v="Yes"/>
    <m/>
    <x v="3"/>
    <x v="5"/>
  </r>
  <r>
    <d v="2024-03-21T00:00:00"/>
    <x v="37"/>
    <s v="General"/>
    <n v="3.47"/>
    <x v="11"/>
    <s v="No"/>
    <s v="BDO upload Holiday capacity plan Admin-emails adhoc BIR BDO notarization "/>
    <x v="3"/>
    <x v="5"/>
  </r>
  <r>
    <d v="2024-03-21T00:00:00"/>
    <x v="37"/>
    <s v="General"/>
    <n v="5.13"/>
    <x v="11"/>
    <s v="No"/>
    <s v="Referral incentive meeting with Shalini Coaching sessions and catch-up - Jeric, Jim and Lindsay Resource matrix table plan Non billable analysis"/>
    <x v="3"/>
    <x v="5"/>
  </r>
  <r>
    <d v="2024-03-21T00:00:00"/>
    <x v="38"/>
    <s v="Bookkeeping"/>
    <n v="8.9"/>
    <x v="15"/>
    <s v="Yes"/>
    <m/>
    <x v="3"/>
    <x v="5"/>
  </r>
  <r>
    <d v="2024-03-21T00:00:00"/>
    <x v="39"/>
    <s v="Bookkeeping"/>
    <n v="2.58"/>
    <x v="71"/>
    <s v="Yes"/>
    <s v="Shadow Gerardo-  Bank transaction entering Bank recon Entering of spreadsheet COH recon Cash clearing recon Create an instruction tab for Gerardo to follow"/>
    <x v="3"/>
    <x v="5"/>
  </r>
  <r>
    <d v="2024-03-21T00:00:00"/>
    <x v="39"/>
    <s v="Payroll Processing"/>
    <n v="0.28000000000000003"/>
    <x v="34"/>
    <s v="Yes"/>
    <s v="Rach shadow -  Saving and emailing below reports: Payroll journals Hours worked report "/>
    <x v="3"/>
    <x v="5"/>
  </r>
  <r>
    <d v="2024-03-21T00:00:00"/>
    <x v="39"/>
    <s v="Payroll Processing"/>
    <n v="0.47"/>
    <x v="15"/>
    <s v="Yes"/>
    <s v="Amendments from James"/>
    <x v="3"/>
    <x v="5"/>
  </r>
  <r>
    <d v="2024-03-21T00:00:00"/>
    <x v="39"/>
    <s v="Payroll Processing"/>
    <n v="0.95"/>
    <x v="15"/>
    <s v="Yes"/>
    <s v="Payroll processing Updates from HR"/>
    <x v="3"/>
    <x v="5"/>
  </r>
  <r>
    <d v="2024-03-21T00:00:00"/>
    <x v="39"/>
    <s v="Payroll Processing"/>
    <n v="1.57"/>
    <x v="15"/>
    <s v="Yes"/>
    <s v="Amendments from James Call to discuss Nick D SL Check previous payslips for SL balances for Nick D Message Xavi to ask for payslips for Feb for checking Respond to James and finalise payroll Export reports Message from James re ACT LSL, respond to his queries "/>
    <x v="3"/>
    <x v="5"/>
  </r>
  <r>
    <d v="2024-03-21T00:00:00"/>
    <x v="39"/>
    <s v="Payroll Processing"/>
    <n v="2.65"/>
    <x v="15"/>
    <s v="Yes"/>
    <s v="Payroll processing and peer review"/>
    <x v="3"/>
    <x v="5"/>
  </r>
  <r>
    <d v="2024-03-21T00:00:00"/>
    <x v="40"/>
    <s v="Individual Tax Returns"/>
    <n v="1"/>
    <x v="120"/>
    <s v="Yes"/>
    <s v="Review prior year returns for the group Prepare list of informaiton required to prepare 22 and 23 ITRs and email to Stephen"/>
    <x v="3"/>
    <x v="5"/>
  </r>
  <r>
    <d v="2024-03-21T00:00:00"/>
    <x v="41"/>
    <s v="Annual Leave"/>
    <n v="8"/>
    <x v="11"/>
    <s v="No"/>
    <m/>
    <x v="3"/>
    <x v="5"/>
  </r>
  <r>
    <d v="2024-03-21T00:00:00"/>
    <x v="42"/>
    <s v="Client Manager"/>
    <n v="0.5"/>
    <x v="48"/>
    <s v="Yes"/>
    <s v="Catch-up with Carly re KPI's"/>
    <x v="3"/>
    <x v="5"/>
  </r>
  <r>
    <d v="2024-03-21T00:00:00"/>
    <x v="42"/>
    <s v="Client Manager"/>
    <n v="0.5"/>
    <x v="48"/>
    <s v="Yes"/>
    <s v="Catch-up with Neeti to handover Fathom reporting"/>
    <x v="3"/>
    <x v="5"/>
  </r>
  <r>
    <d v="2024-03-21T00:00:00"/>
    <x v="42"/>
    <s v="Client Manager"/>
    <n v="0.5"/>
    <x v="39"/>
    <s v="Yes"/>
    <s v="Resolve issue of branch 006. Remove client and advise Dominic to nominate again. Add client. Liaise with LM for XPM task"/>
    <x v="3"/>
    <x v="5"/>
  </r>
  <r>
    <d v="2024-03-21T00:00:00"/>
    <x v="42"/>
    <s v="Client Manager"/>
    <n v="0.5"/>
    <x v="85"/>
    <s v="Yes"/>
    <s v="Respond to Kerry's email re tax on unscheduled payrun. Send detailed email in relation to correct tax to be withheld in total and the PAYG adjustment done to ensure correct PAYG tax has been paid for the fortnight. "/>
    <x v="3"/>
    <x v="5"/>
  </r>
  <r>
    <d v="2024-03-21T00:00:00"/>
    <x v="42"/>
    <s v="Client Manager"/>
    <n v="0.5"/>
    <x v="33"/>
    <s v="Yes"/>
    <s v="Weekly teams meeting"/>
    <x v="3"/>
    <x v="5"/>
  </r>
  <r>
    <d v="2024-03-21T00:00:00"/>
    <x v="42"/>
    <s v="Client Manager"/>
    <n v="2"/>
    <x v="102"/>
    <s v="Yes"/>
    <s v="Supplier payment run dated 21/03/2024. Upload payables and email Alan/Catherine for approval. Update leave approval forms and email staff for clarification. "/>
    <x v="3"/>
    <x v="5"/>
  </r>
  <r>
    <d v="2024-03-21T00:00:00"/>
    <x v="42"/>
    <s v="General"/>
    <n v="1"/>
    <x v="11"/>
    <s v="No"/>
    <s v="Fee review and email to Lyndcote Family Trust, add in additional billings, go through Asana tasks and delegate, comment, general queries from team, etc"/>
    <x v="3"/>
    <x v="5"/>
  </r>
  <r>
    <d v="2024-03-21T00:00:00"/>
    <x v="42"/>
    <s v="IAS/BAS Preparation &amp; Lodgement - Apr-Jun"/>
    <n v="0.25"/>
    <x v="111"/>
    <s v="Yes"/>
    <s v="Jun 2017 quarter BAS review and lodgement"/>
    <x v="3"/>
    <x v="5"/>
  </r>
  <r>
    <d v="2024-03-21T00:00:00"/>
    <x v="42"/>
    <s v="IAS/BAS Preparation &amp; Lodgement - Jan-Mar"/>
    <n v="0.25"/>
    <x v="111"/>
    <s v="Yes"/>
    <s v="Mar 2017 quarter BAS review and lodgement"/>
    <x v="3"/>
    <x v="5"/>
  </r>
  <r>
    <d v="2024-03-21T00:00:00"/>
    <x v="42"/>
    <s v="IAS/BAS Preparation &amp; Lodgement - Jul-Sep"/>
    <n v="0.25"/>
    <x v="111"/>
    <s v="Yes"/>
    <s v="Sep 2016 quarter BAS review and lodgement"/>
    <x v="3"/>
    <x v="5"/>
  </r>
  <r>
    <d v="2024-03-21T00:00:00"/>
    <x v="42"/>
    <s v="IAS/BAS Preparation &amp; Lodgement - Oct-Dec"/>
    <n v="0.25"/>
    <x v="111"/>
    <s v="Yes"/>
    <s v="Dec 2016 quarter BAS review and lodgement"/>
    <x v="3"/>
    <x v="5"/>
  </r>
  <r>
    <d v="2024-03-21T00:00:00"/>
    <x v="42"/>
    <s v="IAS/BAS Preparation &amp; Lodgement - Oct-Dec"/>
    <n v="0.25"/>
    <x v="111"/>
    <s v="Yes"/>
    <s v="Dec 2023 quarter PAYGI notice review and lodgement"/>
    <x v="3"/>
    <x v="5"/>
  </r>
  <r>
    <d v="2024-03-21T00:00:00"/>
    <x v="42"/>
    <s v="IAS/BAS Preparation &amp; Lodgement - Oct-Dec"/>
    <n v="0.25"/>
    <x v="25"/>
    <s v="Yes"/>
    <s v="Dec 2023 quarter PAYGI notice review and lodgement"/>
    <x v="3"/>
    <x v="5"/>
  </r>
  <r>
    <d v="2024-03-21T00:00:00"/>
    <x v="42"/>
    <s v="IAS/BAS Preparation &amp; Lodgement - Oct-Dec"/>
    <n v="0.33"/>
    <x v="22"/>
    <s v="Yes"/>
    <s v="Dec 2023 quarter BAS review and lodgement"/>
    <x v="3"/>
    <x v="5"/>
  </r>
  <r>
    <d v="2024-03-21T00:00:00"/>
    <x v="42"/>
    <s v="Meetings"/>
    <n v="0.5"/>
    <x v="11"/>
    <s v="No"/>
    <s v="Catchup with Mel and RJ re referral program"/>
    <x v="3"/>
    <x v="5"/>
  </r>
  <r>
    <d v="2024-03-21T00:00:00"/>
    <x v="43"/>
    <s v="Adhoc Support &amp; Advice"/>
    <n v="2.75"/>
    <x v="15"/>
    <s v="No"/>
    <s v="Study procedures"/>
    <x v="3"/>
    <x v="5"/>
  </r>
  <r>
    <d v="2024-03-21T00:00:00"/>
    <x v="43"/>
    <s v="Bookkeeping"/>
    <n v="0.25"/>
    <x v="15"/>
    <s v="Yes"/>
    <s v="Cashflow"/>
    <x v="3"/>
    <x v="5"/>
  </r>
  <r>
    <d v="2024-03-21T00:00:00"/>
    <x v="43"/>
    <s v="Bookkeeping"/>
    <n v="4"/>
    <x v="15"/>
    <s v="Yes"/>
    <s v="AP Invoice"/>
    <x v="3"/>
    <x v="5"/>
  </r>
  <r>
    <d v="2024-03-21T00:00:00"/>
    <x v="43"/>
    <s v="General"/>
    <n v="1"/>
    <x v="11"/>
    <s v="No"/>
    <s v="Email to client about Rose' transition."/>
    <x v="3"/>
    <x v="5"/>
  </r>
  <r>
    <d v="2024-03-21T00:00:00"/>
    <x v="44"/>
    <s v="Annual Leave"/>
    <n v="7.6"/>
    <x v="11"/>
    <s v="No"/>
    <m/>
    <x v="3"/>
    <x v="5"/>
  </r>
  <r>
    <d v="2024-03-21T00:00:00"/>
    <x v="45"/>
    <s v="HR/Recuitment"/>
    <n v="3"/>
    <x v="11"/>
    <s v="No"/>
    <e v="#NAME?"/>
    <x v="3"/>
    <x v="5"/>
  </r>
  <r>
    <d v="2024-03-21T00:00:00"/>
    <x v="45"/>
    <s v="HR/Recuitment"/>
    <n v="5"/>
    <x v="11"/>
    <s v="No"/>
    <s v="- interview 2 candidates for Senior Accountant role - resume browsing - send out message to LinkedIn for SA role"/>
    <x v="3"/>
    <x v="5"/>
  </r>
  <r>
    <d v="2024-03-22T00:00:00"/>
    <x v="0"/>
    <s v="Bookkeeping"/>
    <n v="0.03"/>
    <x v="13"/>
    <s v="Yes"/>
    <m/>
    <x v="3"/>
    <x v="0"/>
  </r>
  <r>
    <d v="2024-03-22T00:00:00"/>
    <x v="0"/>
    <s v="Bookkeeping"/>
    <n v="7.0000000000000007E-2"/>
    <x v="12"/>
    <s v="Yes"/>
    <s v="Email"/>
    <x v="3"/>
    <x v="0"/>
  </r>
  <r>
    <d v="2024-03-22T00:00:00"/>
    <x v="0"/>
    <s v="Bookkeeping"/>
    <n v="7.0000000000000007E-2"/>
    <x v="12"/>
    <s v="Yes"/>
    <s v="Emails"/>
    <x v="3"/>
    <x v="0"/>
  </r>
  <r>
    <d v="2024-03-22T00:00:00"/>
    <x v="0"/>
    <s v="Bookkeeping"/>
    <n v="0.08"/>
    <x v="0"/>
    <s v="Yes"/>
    <s v="Bank Reconciliation"/>
    <x v="3"/>
    <x v="0"/>
  </r>
  <r>
    <d v="2024-03-22T00:00:00"/>
    <x v="0"/>
    <s v="Bookkeeping"/>
    <n v="0.13"/>
    <x v="0"/>
    <s v="Yes"/>
    <s v="Email/Inbox Management"/>
    <x v="3"/>
    <x v="0"/>
  </r>
  <r>
    <d v="2024-03-22T00:00:00"/>
    <x v="0"/>
    <s v="Bookkeeping"/>
    <n v="0.2"/>
    <x v="4"/>
    <s v="Yes"/>
    <s v="Accounts Payable"/>
    <x v="3"/>
    <x v="0"/>
  </r>
  <r>
    <d v="2024-03-22T00:00:00"/>
    <x v="0"/>
    <s v="Bookkeeping"/>
    <n v="0.22"/>
    <x v="12"/>
    <s v="Yes"/>
    <s v="Send reports to client"/>
    <x v="3"/>
    <x v="0"/>
  </r>
  <r>
    <d v="2024-03-22T00:00:00"/>
    <x v="0"/>
    <s v="Bookkeeping"/>
    <n v="0.27"/>
    <x v="5"/>
    <s v="Yes"/>
    <s v="Accounts Payable"/>
    <x v="3"/>
    <x v="0"/>
  </r>
  <r>
    <d v="2024-03-22T00:00:00"/>
    <x v="0"/>
    <s v="Bookkeeping"/>
    <n v="0.28000000000000003"/>
    <x v="5"/>
    <s v="Yes"/>
    <s v="AP and Email/Inbox Management"/>
    <x v="3"/>
    <x v="0"/>
  </r>
  <r>
    <d v="2024-03-22T00:00:00"/>
    <x v="0"/>
    <s v="Bookkeeping"/>
    <n v="0.3"/>
    <x v="4"/>
    <s v="Yes"/>
    <s v="AR and Emails"/>
    <x v="3"/>
    <x v="0"/>
  </r>
  <r>
    <d v="2024-03-22T00:00:00"/>
    <x v="0"/>
    <s v="Bookkeeping"/>
    <n v="0.3"/>
    <x v="9"/>
    <s v="Yes"/>
    <s v="AP and Email/Inbox Management"/>
    <x v="3"/>
    <x v="0"/>
  </r>
  <r>
    <d v="2024-03-22T00:00:00"/>
    <x v="0"/>
    <s v="Bookkeeping"/>
    <n v="0.3"/>
    <x v="1"/>
    <s v="Yes"/>
    <s v="Clear AP inbox and Submit bills for approval in Xero"/>
    <x v="3"/>
    <x v="0"/>
  </r>
  <r>
    <d v="2024-03-22T00:00:00"/>
    <x v="0"/>
    <s v="Bookkeeping"/>
    <n v="0.45"/>
    <x v="6"/>
    <s v="Yes"/>
    <s v="Accounts Payable"/>
    <x v="3"/>
    <x v="0"/>
  </r>
  <r>
    <d v="2024-03-22T00:00:00"/>
    <x v="0"/>
    <s v="Bookkeeping"/>
    <n v="0.47"/>
    <x v="8"/>
    <s v="Yes"/>
    <s v="Bank Reconciliation"/>
    <x v="3"/>
    <x v="0"/>
  </r>
  <r>
    <d v="2024-03-22T00:00:00"/>
    <x v="0"/>
    <s v="Bookkeeping"/>
    <n v="0.77"/>
    <x v="6"/>
    <s v="Yes"/>
    <s v="Bank Reconciliation"/>
    <x v="3"/>
    <x v="0"/>
  </r>
  <r>
    <d v="2024-03-22T00:00:00"/>
    <x v="0"/>
    <s v="Bookkeeping"/>
    <n v="0.88"/>
    <x v="0"/>
    <s v="No"/>
    <s v="Merge duplicate contacts in Xero"/>
    <x v="3"/>
    <x v="0"/>
  </r>
  <r>
    <d v="2024-03-22T00:00:00"/>
    <x v="0"/>
    <s v="Bookkeeping"/>
    <n v="1.62"/>
    <x v="9"/>
    <s v="Yes"/>
    <s v="Accounts Payable"/>
    <x v="3"/>
    <x v="0"/>
  </r>
  <r>
    <d v="2024-03-22T00:00:00"/>
    <x v="0"/>
    <s v="General"/>
    <n v="0.25"/>
    <x v="11"/>
    <s v="No"/>
    <s v="Afternoon Break"/>
    <x v="3"/>
    <x v="0"/>
  </r>
  <r>
    <d v="2024-03-22T00:00:00"/>
    <x v="0"/>
    <s v="General"/>
    <n v="0.25"/>
    <x v="11"/>
    <s v="No"/>
    <s v="Morning Break"/>
    <x v="3"/>
    <x v="0"/>
  </r>
  <r>
    <d v="2024-03-22T00:00:00"/>
    <x v="0"/>
    <s v="Meetings"/>
    <n v="1.07"/>
    <x v="11"/>
    <s v="No"/>
    <s v="Team Huddle"/>
    <x v="3"/>
    <x v="0"/>
  </r>
  <r>
    <d v="2024-03-22T00:00:00"/>
    <x v="1"/>
    <s v="P&amp;C Advisory"/>
    <n v="2.33"/>
    <x v="34"/>
    <s v="Yes"/>
    <s v="Salary reviews - meetings with managers Meeting with P &amp; C coordinator Discussion with MD  Discussion re. on/offboarding process/staff"/>
    <x v="3"/>
    <x v="0"/>
  </r>
  <r>
    <d v="2024-03-22T00:00:00"/>
    <x v="1"/>
    <s v="P&amp;C Advisory - Group"/>
    <n v="0.67"/>
    <x v="14"/>
    <s v="Yes"/>
    <s v="Correspondence re. salary reviews"/>
    <x v="3"/>
    <x v="0"/>
  </r>
  <r>
    <d v="2024-03-22T00:00:00"/>
    <x v="1"/>
    <s v="P&amp;C Advisory - Nederman Mikropul"/>
    <n v="1.33"/>
    <x v="14"/>
    <s v="Yes"/>
    <s v="Reference checks Remuneration review Goal setting guidance Draft contract"/>
    <x v="3"/>
    <x v="0"/>
  </r>
  <r>
    <d v="2024-03-22T00:00:00"/>
    <x v="1"/>
    <s v="P&amp;C Advisory - Nederman PT"/>
    <n v="0.5"/>
    <x v="14"/>
    <s v="Yes"/>
    <s v="Salary review information"/>
    <x v="3"/>
    <x v="0"/>
  </r>
  <r>
    <d v="2024-03-22T00:00:00"/>
    <x v="1"/>
    <s v="P&amp;C Advisory - Nordfab"/>
    <n v="0.83"/>
    <x v="14"/>
    <s v="Yes"/>
    <s v="Salary review Coordinate follow up meeting from disciplinary EAP information"/>
    <x v="3"/>
    <x v="0"/>
  </r>
  <r>
    <d v="2024-03-22T00:00:00"/>
    <x v="2"/>
    <s v="Bookkeeping"/>
    <n v="1.08"/>
    <x v="58"/>
    <s v="Yes"/>
    <m/>
    <x v="3"/>
    <x v="0"/>
  </r>
  <r>
    <d v="2024-03-22T00:00:00"/>
    <x v="2"/>
    <s v="Bookkeeping"/>
    <n v="1.57"/>
    <x v="67"/>
    <s v="Yes"/>
    <s v="equity review/recs"/>
    <x v="3"/>
    <x v="0"/>
  </r>
  <r>
    <d v="2024-03-22T00:00:00"/>
    <x v="2"/>
    <s v="General"/>
    <n v="0.45"/>
    <x v="11"/>
    <s v="No"/>
    <s v="call with Charm, call with Z, chats, etc"/>
    <x v="3"/>
    <x v="0"/>
  </r>
  <r>
    <d v="2024-03-22T00:00:00"/>
    <x v="2"/>
    <s v="General"/>
    <n v="0.6"/>
    <x v="11"/>
    <s v="No"/>
    <s v="break, chats re tasks"/>
    <x v="3"/>
    <x v="0"/>
  </r>
  <r>
    <d v="2024-03-22T00:00:00"/>
    <x v="2"/>
    <s v="General"/>
    <n v="0.63"/>
    <x v="11"/>
    <s v="No"/>
    <s v="chats with staff re leave, check staff Asana, etc"/>
    <x v="3"/>
    <x v="0"/>
  </r>
  <r>
    <d v="2024-03-22T00:00:00"/>
    <x v="2"/>
    <s v="General"/>
    <n v="1.17"/>
    <x v="11"/>
    <s v="No"/>
    <s v="Asana, check article re people leader and respond to email, chats re staff concerns, etc"/>
    <x v="3"/>
    <x v="0"/>
  </r>
  <r>
    <d v="2024-03-22T00:00:00"/>
    <x v="2"/>
    <s v="General"/>
    <n v="1.43"/>
    <x v="11"/>
    <s v="No"/>
    <s v="chats, emails, Asana, Sprout, call with Z re staff concerns, check handover file, etc"/>
    <x v="3"/>
    <x v="0"/>
  </r>
  <r>
    <d v="2024-03-22T00:00:00"/>
    <x v="2"/>
    <s v="Meetings"/>
    <n v="1.07"/>
    <x v="11"/>
    <s v="No"/>
    <s v="team huddle"/>
    <x v="3"/>
    <x v="0"/>
  </r>
  <r>
    <d v="2024-03-22T00:00:00"/>
    <x v="3"/>
    <s v="Learning &amp; Development"/>
    <n v="8"/>
    <x v="11"/>
    <s v="No"/>
    <s v="Social Committee Meeting  Timetable &amp; Presentation prep for QMS Launch (1st week of April)  Continue Video/Manual edits"/>
    <x v="3"/>
    <x v="0"/>
  </r>
  <r>
    <d v="2024-03-22T00:00:00"/>
    <x v="4"/>
    <s v="General"/>
    <n v="5"/>
    <x v="11"/>
    <s v="No"/>
    <m/>
    <x v="3"/>
    <x v="0"/>
  </r>
  <r>
    <d v="2024-03-22T00:00:00"/>
    <x v="4"/>
    <s v="Sick Leave"/>
    <n v="2"/>
    <x v="11"/>
    <s v="No"/>
    <s v="Norah sick"/>
    <x v="3"/>
    <x v="0"/>
  </r>
  <r>
    <d v="2024-03-22T00:00:00"/>
    <x v="5"/>
    <s v="Unpaid Leave"/>
    <n v="8"/>
    <x v="11"/>
    <s v="No"/>
    <m/>
    <x v="3"/>
    <x v="0"/>
  </r>
  <r>
    <d v="2024-03-22T00:00:00"/>
    <x v="6"/>
    <s v="Automations - Pinnacle"/>
    <n v="8"/>
    <x v="11"/>
    <s v="No"/>
    <s v="March 22 XeroDownloadReportsAutomation - Updated sequence for security for users with access to the entity and its reports"/>
    <x v="3"/>
    <x v="0"/>
  </r>
  <r>
    <d v="2024-03-22T00:00:00"/>
    <x v="9"/>
    <s v="Automations"/>
    <n v="9.18"/>
    <x v="11"/>
    <s v="No"/>
    <s v="Data Matrix Table Part 2 Development"/>
    <x v="3"/>
    <x v="0"/>
  </r>
  <r>
    <d v="2024-03-22T00:00:00"/>
    <x v="10"/>
    <s v="Annual Leave"/>
    <n v="4"/>
    <x v="11"/>
    <s v="No"/>
    <s v="Need to travel back home early"/>
    <x v="3"/>
    <x v="0"/>
  </r>
  <r>
    <d v="2024-03-22T00:00:00"/>
    <x v="10"/>
    <s v="Bookkeeping"/>
    <n v="0.25"/>
    <x v="23"/>
    <s v="Yes"/>
    <s v="Emails, loading bills"/>
    <x v="3"/>
    <x v="0"/>
  </r>
  <r>
    <d v="2024-03-22T00:00:00"/>
    <x v="10"/>
    <s v="Bookkeeping"/>
    <n v="0.25"/>
    <x v="42"/>
    <s v="Yes"/>
    <s v="Emails, loading bills"/>
    <x v="3"/>
    <x v="0"/>
  </r>
  <r>
    <d v="2024-03-22T00:00:00"/>
    <x v="10"/>
    <s v="Bookkeeping"/>
    <n v="0.83"/>
    <x v="90"/>
    <s v="Yes"/>
    <s v="Adding new employee"/>
    <x v="3"/>
    <x v="0"/>
  </r>
  <r>
    <d v="2024-03-22T00:00:00"/>
    <x v="10"/>
    <s v="Bookkeeping"/>
    <n v="1.17"/>
    <x v="45"/>
    <s v="Yes"/>
    <s v="bank recon"/>
    <x v="3"/>
    <x v="0"/>
  </r>
  <r>
    <d v="2024-03-22T00:00:00"/>
    <x v="10"/>
    <s v="Bookkeeping"/>
    <n v="1.17"/>
    <x v="21"/>
    <s v="Yes"/>
    <s v="Loading bills, bank recon"/>
    <x v="3"/>
    <x v="0"/>
  </r>
  <r>
    <d v="2024-03-22T00:00:00"/>
    <x v="10"/>
    <s v="Payroll Processing"/>
    <n v="0.17"/>
    <x v="90"/>
    <s v="Yes"/>
    <s v="FN payroll"/>
    <x v="3"/>
    <x v="0"/>
  </r>
  <r>
    <d v="2024-03-22T00:00:00"/>
    <x v="10"/>
    <s v="Payroll Processing"/>
    <n v="0.17"/>
    <x v="45"/>
    <s v="Yes"/>
    <s v="FN payroll"/>
    <x v="3"/>
    <x v="0"/>
  </r>
  <r>
    <d v="2024-03-22T00:00:00"/>
    <x v="11"/>
    <s v="Bookkeeping"/>
    <n v="0.42"/>
    <x v="73"/>
    <s v="Yes"/>
    <s v="queries and email to Shalini re: Dadworld sale"/>
    <x v="3"/>
    <x v="0"/>
  </r>
  <r>
    <d v="2024-03-22T00:00:00"/>
    <x v="11"/>
    <s v="General"/>
    <n v="0.42"/>
    <x v="11"/>
    <s v="No"/>
    <s v="inbox/ queries/ teams"/>
    <x v="3"/>
    <x v="0"/>
  </r>
  <r>
    <d v="2024-03-22T00:00:00"/>
    <x v="11"/>
    <s v="Learning &amp; Development"/>
    <n v="1.52"/>
    <x v="11"/>
    <s v="No"/>
    <s v="Wyzed - Management Reporting"/>
    <x v="3"/>
    <x v="0"/>
  </r>
  <r>
    <d v="2024-03-22T00:00:00"/>
    <x v="11"/>
    <s v="Meetings"/>
    <n v="1"/>
    <x v="11"/>
    <s v="No"/>
    <s v="team huddle"/>
    <x v="3"/>
    <x v="0"/>
  </r>
  <r>
    <d v="2024-03-22T00:00:00"/>
    <x v="11"/>
    <s v="Payroll Processing"/>
    <n v="0.65"/>
    <x v="15"/>
    <s v="Yes"/>
    <s v="inbox"/>
    <x v="3"/>
    <x v="0"/>
  </r>
  <r>
    <d v="2024-03-22T00:00:00"/>
    <x v="11"/>
    <s v="Sick Leave"/>
    <n v="4"/>
    <x v="11"/>
    <s v="No"/>
    <s v="leg cramps"/>
    <x v="3"/>
    <x v="0"/>
  </r>
  <r>
    <d v="2024-03-22T00:00:00"/>
    <x v="12"/>
    <s v="Bookkeeping"/>
    <n v="0.33"/>
    <x v="15"/>
    <s v="Yes"/>
    <s v="Received raw invoices."/>
    <x v="3"/>
    <x v="0"/>
  </r>
  <r>
    <d v="2024-03-22T00:00:00"/>
    <x v="12"/>
    <s v="General"/>
    <n v="9.17"/>
    <x v="11"/>
    <s v="No"/>
    <s v="- ATO - Retrieval of Equipments from:   - Con Carlos   - Charm Dequito - Dispatch of Equipments to:    - RJ Renia - Nick's Inbox management - Newsletter"/>
    <x v="3"/>
    <x v="0"/>
  </r>
  <r>
    <d v="2024-03-22T00:00:00"/>
    <x v="13"/>
    <s v="Bookkeeping"/>
    <n v="0.33"/>
    <x v="30"/>
    <s v="Yes"/>
    <s v="IAS emails"/>
    <x v="3"/>
    <x v="0"/>
  </r>
  <r>
    <d v="2024-03-22T00:00:00"/>
    <x v="13"/>
    <s v="Bookkeeping"/>
    <n v="0.88"/>
    <x v="29"/>
    <s v="Yes"/>
    <s v="ap invoices inbox/emails"/>
    <x v="3"/>
    <x v="0"/>
  </r>
  <r>
    <d v="2024-03-22T00:00:00"/>
    <x v="13"/>
    <s v="Bookkeeping"/>
    <n v="1.1499999999999999"/>
    <x v="30"/>
    <s v="Yes"/>
    <s v="bank recon email update supplier contact and bank details ap payment"/>
    <x v="3"/>
    <x v="0"/>
  </r>
  <r>
    <d v="2024-03-22T00:00:00"/>
    <x v="13"/>
    <s v="Bookkeeping"/>
    <n v="1.45"/>
    <x v="71"/>
    <s v="Yes"/>
    <s v="ap invoices"/>
    <x v="3"/>
    <x v="0"/>
  </r>
  <r>
    <d v="2024-03-22T00:00:00"/>
    <x v="13"/>
    <s v="Bookkeeping - AP"/>
    <n v="0.78"/>
    <x v="31"/>
    <s v="Yes"/>
    <s v="ap report approve invoices"/>
    <x v="3"/>
    <x v="0"/>
  </r>
  <r>
    <d v="2024-03-22T00:00:00"/>
    <x v="13"/>
    <s v="Bookkeeping - AP"/>
    <n v="1.35"/>
    <x v="31"/>
    <s v="Yes"/>
    <s v="Export aba files emails "/>
    <x v="3"/>
    <x v="0"/>
  </r>
  <r>
    <d v="2024-03-22T00:00:00"/>
    <x v="13"/>
    <s v="General"/>
    <n v="0.5"/>
    <x v="11"/>
    <s v="No"/>
    <s v="break"/>
    <x v="3"/>
    <x v="0"/>
  </r>
  <r>
    <d v="2024-03-22T00:00:00"/>
    <x v="13"/>
    <s v="Learning &amp; Development"/>
    <n v="0.47"/>
    <x v="11"/>
    <s v="No"/>
    <s v="checking of ways to importing files for the system Reckon"/>
    <x v="3"/>
    <x v="0"/>
  </r>
  <r>
    <d v="2024-03-22T00:00:00"/>
    <x v="13"/>
    <s v="Meetings"/>
    <n v="1.08"/>
    <x v="11"/>
    <s v="No"/>
    <s v="team huddle"/>
    <x v="3"/>
    <x v="0"/>
  </r>
  <r>
    <d v="2024-03-22T00:00:00"/>
    <x v="14"/>
    <s v="Bookkeeping"/>
    <n v="7.0000000000000007E-2"/>
    <x v="32"/>
    <s v="Yes"/>
    <s v="Checking contacts"/>
    <x v="3"/>
    <x v="0"/>
  </r>
  <r>
    <d v="2024-03-22T00:00:00"/>
    <x v="14"/>
    <s v="Bookkeeping"/>
    <n v="0.68"/>
    <x v="73"/>
    <s v="Yes"/>
    <s v="Bank recs, recording of invoices"/>
    <x v="3"/>
    <x v="0"/>
  </r>
  <r>
    <d v="2024-03-22T00:00:00"/>
    <x v="14"/>
    <s v="Bookkeeping"/>
    <n v="0.98"/>
    <x v="32"/>
    <s v="Yes"/>
    <s v="Bank recs, recording of invoices, drafting tasks &amp; responsibilities requested by the client for the handover to Neeti"/>
    <x v="3"/>
    <x v="0"/>
  </r>
  <r>
    <d v="2024-03-22T00:00:00"/>
    <x v="14"/>
    <s v="Bookkeeping"/>
    <n v="1.42"/>
    <x v="73"/>
    <s v="Yes"/>
    <s v="Recording of invoices, bank recs"/>
    <x v="3"/>
    <x v="0"/>
  </r>
  <r>
    <d v="2024-03-22T00:00:00"/>
    <x v="14"/>
    <s v="Bookkeeping"/>
    <n v="1.55"/>
    <x v="73"/>
    <s v="Yes"/>
    <s v="Bank recs, recording of invoices, cleaning up of contacts"/>
    <x v="3"/>
    <x v="0"/>
  </r>
  <r>
    <d v="2024-03-22T00:00:00"/>
    <x v="14"/>
    <s v="General"/>
    <n v="0.23"/>
    <x v="11"/>
    <s v="No"/>
    <s v="Checking emails"/>
    <x v="3"/>
    <x v="0"/>
  </r>
  <r>
    <d v="2024-03-22T00:00:00"/>
    <x v="14"/>
    <s v="Management Reporting"/>
    <n v="0.75"/>
    <x v="25"/>
    <s v="Yes"/>
    <s v="Cashflow updates"/>
    <x v="3"/>
    <x v="0"/>
  </r>
  <r>
    <d v="2024-03-22T00:00:00"/>
    <x v="14"/>
    <s v="Meetings"/>
    <n v="1.05"/>
    <x v="11"/>
    <s v="No"/>
    <s v="Team Huddle"/>
    <x v="3"/>
    <x v="0"/>
  </r>
  <r>
    <d v="2024-03-22T00:00:00"/>
    <x v="14"/>
    <s v="Payroll Processing"/>
    <n v="0.62"/>
    <x v="33"/>
    <s v="Yes"/>
    <s v="Checking the action items in Keypay"/>
    <x v="3"/>
    <x v="0"/>
  </r>
  <r>
    <d v="2024-03-22T00:00:00"/>
    <x v="14"/>
    <s v="Payroll Processing"/>
    <n v="1.25"/>
    <x v="34"/>
    <s v="Yes"/>
    <s v="Clearing inbox, answering queries, updating live files, PAYG Rec"/>
    <x v="3"/>
    <x v="0"/>
  </r>
  <r>
    <d v="2024-03-22T00:00:00"/>
    <x v="15"/>
    <s v="Bookkeeping"/>
    <n v="0.23"/>
    <x v="19"/>
    <s v="Yes"/>
    <m/>
    <x v="3"/>
    <x v="0"/>
  </r>
  <r>
    <d v="2024-03-22T00:00:00"/>
    <x v="15"/>
    <s v="Bookkeeping"/>
    <n v="1.1200000000000001"/>
    <x v="49"/>
    <s v="Yes"/>
    <s v="hubdoc and bank rec"/>
    <x v="3"/>
    <x v="0"/>
  </r>
  <r>
    <d v="2024-03-22T00:00:00"/>
    <x v="15"/>
    <s v="Bookkeeping"/>
    <n v="1.4"/>
    <x v="20"/>
    <s v="Yes"/>
    <s v="record bills from hubdoc to Xero - 40bills and bank recs"/>
    <x v="3"/>
    <x v="0"/>
  </r>
  <r>
    <d v="2024-03-22T00:00:00"/>
    <x v="15"/>
    <s v="Bookkeeping"/>
    <n v="1.9"/>
    <x v="50"/>
    <s v="Yes"/>
    <m/>
    <x v="3"/>
    <x v="0"/>
  </r>
  <r>
    <d v="2024-03-22T00:00:00"/>
    <x v="15"/>
    <s v="General"/>
    <n v="0.38"/>
    <x v="11"/>
    <s v="No"/>
    <s v="emails, chat with Alison, chat with Kate -pinnacle and spectrum"/>
    <x v="3"/>
    <x v="0"/>
  </r>
  <r>
    <d v="2024-03-22T00:00:00"/>
    <x v="15"/>
    <s v="General"/>
    <n v="0.67"/>
    <x v="11"/>
    <s v="No"/>
    <s v="add notes to stp finalisation training"/>
    <x v="3"/>
    <x v="0"/>
  </r>
  <r>
    <d v="2024-03-22T00:00:00"/>
    <x v="15"/>
    <s v="General"/>
    <n v="0.82"/>
    <x v="11"/>
    <s v="No"/>
    <s v="clean up files"/>
    <x v="3"/>
    <x v="0"/>
  </r>
  <r>
    <d v="2024-03-22T00:00:00"/>
    <x v="15"/>
    <s v="Learning &amp; Development"/>
    <n v="1.3"/>
    <x v="11"/>
    <s v="No"/>
    <s v="continue doing script for video training"/>
    <x v="3"/>
    <x v="0"/>
  </r>
  <r>
    <d v="2024-03-22T00:00:00"/>
    <x v="16"/>
    <s v="Bookkeeping"/>
    <n v="8.15"/>
    <x v="35"/>
    <s v="Yes"/>
    <m/>
    <x v="3"/>
    <x v="0"/>
  </r>
  <r>
    <d v="2024-03-22T00:00:00"/>
    <x v="18"/>
    <s v="Bookkeeping"/>
    <n v="0.45"/>
    <x v="39"/>
    <s v="Yes"/>
    <m/>
    <x v="3"/>
    <x v="0"/>
  </r>
  <r>
    <d v="2024-03-22T00:00:00"/>
    <x v="18"/>
    <s v="Bookkeeping"/>
    <n v="0.5"/>
    <x v="37"/>
    <s v="Yes"/>
    <m/>
    <x v="3"/>
    <x v="0"/>
  </r>
  <r>
    <d v="2024-03-22T00:00:00"/>
    <x v="18"/>
    <s v="Bookkeeping"/>
    <n v="0.5"/>
    <x v="38"/>
    <s v="Yes"/>
    <m/>
    <x v="3"/>
    <x v="0"/>
  </r>
  <r>
    <d v="2024-03-22T00:00:00"/>
    <x v="18"/>
    <s v="Bookkeeping"/>
    <n v="1.4"/>
    <x v="41"/>
    <s v="Yes"/>
    <s v="ap items, dext prep, ap emails query to check an update on old invoices, bank recon"/>
    <x v="3"/>
    <x v="0"/>
  </r>
  <r>
    <d v="2024-03-22T00:00:00"/>
    <x v="18"/>
    <s v="Bookkeeping"/>
    <n v="1.5"/>
    <x v="40"/>
    <s v="Yes"/>
    <m/>
    <x v="3"/>
    <x v="0"/>
  </r>
  <r>
    <d v="2024-03-22T00:00:00"/>
    <x v="18"/>
    <s v="Bookkeeping"/>
    <n v="2.0299999999999998"/>
    <x v="27"/>
    <s v="Yes"/>
    <m/>
    <x v="3"/>
    <x v="0"/>
  </r>
  <r>
    <d v="2024-03-22T00:00:00"/>
    <x v="18"/>
    <s v="General"/>
    <n v="0.5"/>
    <x v="11"/>
    <s v="No"/>
    <s v="Emails sort, wyzed, asana"/>
    <x v="3"/>
    <x v="0"/>
  </r>
  <r>
    <d v="2024-03-22T00:00:00"/>
    <x v="18"/>
    <s v="General"/>
    <n v="0.62"/>
    <x v="11"/>
    <s v="No"/>
    <s v="Accomplishing FTE analysis file sent by Sir RJ"/>
    <x v="3"/>
    <x v="0"/>
  </r>
  <r>
    <d v="2024-03-22T00:00:00"/>
    <x v="18"/>
    <s v="Learning &amp; Development"/>
    <n v="0.5"/>
    <x v="11"/>
    <s v="No"/>
    <s v="Wyzed LSL"/>
    <x v="3"/>
    <x v="0"/>
  </r>
  <r>
    <d v="2024-03-22T00:00:00"/>
    <x v="19"/>
    <s v="Automations - Surefire"/>
    <n v="8"/>
    <x v="11"/>
    <s v="No"/>
    <s v="Surefire Automation"/>
    <x v="3"/>
    <x v="0"/>
  </r>
  <r>
    <d v="2024-03-22T00:00:00"/>
    <x v="20"/>
    <s v="Automations"/>
    <n v="8"/>
    <x v="11"/>
    <s v="No"/>
    <m/>
    <x v="3"/>
    <x v="0"/>
  </r>
  <r>
    <d v="2024-03-22T00:00:00"/>
    <x v="21"/>
    <s v="Automations"/>
    <n v="8"/>
    <x v="11"/>
    <s v="No"/>
    <s v="Run: Lack of Color Dev: Pinnacle Oporto Automation Dev: Holdsworth Automation Update"/>
    <x v="3"/>
    <x v="0"/>
  </r>
  <r>
    <d v="2024-03-22T00:00:00"/>
    <x v="22"/>
    <s v="Bookkeeping"/>
    <n v="0.62"/>
    <x v="44"/>
    <s v="Yes"/>
    <s v="Journal to account for interest on HP Ford Ranger paid to end of March 2024 in preparation for vehicle sale"/>
    <x v="3"/>
    <x v="0"/>
  </r>
  <r>
    <d v="2024-03-22T00:00:00"/>
    <x v="22"/>
    <s v="Bookkeeping"/>
    <n v="0.93"/>
    <x v="90"/>
    <s v="Yes"/>
    <s v="Ackad reconcilation for BAS"/>
    <x v="3"/>
    <x v="0"/>
  </r>
  <r>
    <d v="2024-03-22T00:00:00"/>
    <x v="22"/>
    <s v="Bookkeeping"/>
    <n v="1"/>
    <x v="90"/>
    <s v="Yes"/>
    <s v="Reconcilation of loans with Pinnacle entities"/>
    <x v="3"/>
    <x v="0"/>
  </r>
  <r>
    <d v="2024-03-22T00:00:00"/>
    <x v="22"/>
    <s v="Client Admin"/>
    <n v="0.17"/>
    <x v="11"/>
    <s v="No"/>
    <s v="Message to Mel re invoicing for Queste"/>
    <x v="3"/>
    <x v="0"/>
  </r>
  <r>
    <d v="2024-03-22T00:00:00"/>
    <x v="22"/>
    <s v="Client Admin"/>
    <n v="0.33"/>
    <x v="11"/>
    <s v="No"/>
    <s v="Teams messages - CJs nowra invoicing, employee set up SRD"/>
    <x v="3"/>
    <x v="0"/>
  </r>
  <r>
    <d v="2024-03-22T00:00:00"/>
    <x v="22"/>
    <s v="Client Manager"/>
    <n v="0.18"/>
    <x v="22"/>
    <s v="Yes"/>
    <s v="ATO check portal add financial institution details for refund.  Add BAS journals to Xero"/>
    <x v="3"/>
    <x v="0"/>
  </r>
  <r>
    <d v="2024-03-22T00:00:00"/>
    <x v="22"/>
    <s v="Client Manager"/>
    <n v="0.37"/>
    <x v="43"/>
    <s v="Yes"/>
    <s v="Email access for Mary - email to Matt"/>
    <x v="3"/>
    <x v="0"/>
  </r>
  <r>
    <d v="2024-03-22T00:00:00"/>
    <x v="22"/>
    <s v="Client Manager"/>
    <n v="0.67"/>
    <x v="90"/>
    <s v="Yes"/>
    <s v="prepartion of email for Tom at HK and summary of queries "/>
    <x v="3"/>
    <x v="0"/>
  </r>
  <r>
    <d v="2024-03-22T00:00:00"/>
    <x v="22"/>
    <s v="General"/>
    <n v="0.18"/>
    <x v="11"/>
    <s v="No"/>
    <s v="Emails"/>
    <x v="3"/>
    <x v="0"/>
  </r>
  <r>
    <d v="2024-03-22T00:00:00"/>
    <x v="22"/>
    <s v="General"/>
    <n v="0.45"/>
    <x v="11"/>
    <s v="No"/>
    <s v="Emiail and liaise with Mayday"/>
    <x v="3"/>
    <x v="0"/>
  </r>
  <r>
    <d v="2024-03-22T00:00:00"/>
    <x v="22"/>
    <s v="Learning &amp; Development"/>
    <n v="0.93"/>
    <x v="11"/>
    <s v="No"/>
    <s v="Booke.ai demo and follow up email to team"/>
    <x v="3"/>
    <x v="0"/>
  </r>
  <r>
    <d v="2024-03-22T00:00:00"/>
    <x v="22"/>
    <s v="Payroll Processing"/>
    <n v="0.23"/>
    <x v="34"/>
    <s v="Yes"/>
    <s v="Reports for Ali for salary reviews / contract offers"/>
    <x v="3"/>
    <x v="0"/>
  </r>
  <r>
    <d v="2024-03-22T00:00:00"/>
    <x v="22"/>
    <s v="Payroll Processing"/>
    <n v="0.97"/>
    <x v="34"/>
    <s v="Yes"/>
    <s v="Oncost journals for two weeks"/>
    <x v="3"/>
    <x v="0"/>
  </r>
  <r>
    <d v="2024-03-22T00:00:00"/>
    <x v="23"/>
    <s v="Client Meeting"/>
    <n v="0.1"/>
    <x v="30"/>
    <s v="No"/>
    <s v="Team chat and client channel"/>
    <x v="3"/>
    <x v="0"/>
  </r>
  <r>
    <d v="2024-03-22T00:00:00"/>
    <x v="23"/>
    <s v="Client Meeting"/>
    <n v="0.17"/>
    <x v="114"/>
    <s v="No"/>
    <s v="Updating, checking, and modify"/>
    <x v="3"/>
    <x v="0"/>
  </r>
  <r>
    <d v="2024-03-22T00:00:00"/>
    <x v="23"/>
    <s v="Client Meeting"/>
    <n v="0.77"/>
    <x v="11"/>
    <s v="No"/>
    <s v="Meeting with Mel and Jordan"/>
    <x v="3"/>
    <x v="0"/>
  </r>
  <r>
    <d v="2024-03-22T00:00:00"/>
    <x v="23"/>
    <s v="General"/>
    <n v="0.25"/>
    <x v="11"/>
    <s v="No"/>
    <s v="AFTERNOON Break: 15 mins coffee breaks as paid per Labor Code of the Philippines, Article 85."/>
    <x v="3"/>
    <x v="0"/>
  </r>
  <r>
    <d v="2024-03-22T00:00:00"/>
    <x v="23"/>
    <s v="General"/>
    <n v="0.25"/>
    <x v="11"/>
    <s v="No"/>
    <s v="MORNING Break: 15 mins coffee breaks as paid per Labor Code of the Philippines, Article 85."/>
    <x v="3"/>
    <x v="0"/>
  </r>
  <r>
    <d v="2024-03-22T00:00:00"/>
    <x v="23"/>
    <s v="General"/>
    <n v="0.56999999999999995"/>
    <x v="11"/>
    <s v="No"/>
    <s v="Cleaning of ASANA, message, inactive task and others"/>
    <x v="3"/>
    <x v="0"/>
  </r>
  <r>
    <d v="2024-03-22T00:00:00"/>
    <x v="23"/>
    <s v="General"/>
    <n v="0.63"/>
    <x v="11"/>
    <s v="No"/>
    <s v="Asana"/>
    <x v="3"/>
    <x v="0"/>
  </r>
  <r>
    <d v="2024-03-22T00:00:00"/>
    <x v="23"/>
    <s v="General"/>
    <n v="1.17"/>
    <x v="11"/>
    <s v="No"/>
    <s v="XPM. Asana. Birthday search to alison, catch up with Mel and other adhoc"/>
    <x v="3"/>
    <x v="0"/>
  </r>
  <r>
    <d v="2024-03-22T00:00:00"/>
    <x v="23"/>
    <s v="General"/>
    <n v="1.22"/>
    <x v="11"/>
    <s v="No"/>
    <m/>
    <x v="3"/>
    <x v="0"/>
  </r>
  <r>
    <d v="2024-03-22T00:00:00"/>
    <x v="23"/>
    <s v="IAS/BAS Preparation &amp; Lodgement - Feb"/>
    <n v="1.43"/>
    <x v="122"/>
    <s v="Yes"/>
    <s v="BAS proces, export, xpm, and others"/>
    <x v="3"/>
    <x v="0"/>
  </r>
  <r>
    <d v="2024-03-22T00:00:00"/>
    <x v="23"/>
    <s v="IAS/BAS Preparation &amp; Lodgement - Oct-Dec"/>
    <n v="0.22"/>
    <x v="115"/>
    <s v="No"/>
    <s v="Updating, checking, and modify"/>
    <x v="3"/>
    <x v="0"/>
  </r>
  <r>
    <d v="2024-03-22T00:00:00"/>
    <x v="23"/>
    <s v="Individual Tax Returns"/>
    <n v="0.2"/>
    <x v="112"/>
    <s v="No"/>
    <s v="Updating, checking, and modify"/>
    <x v="3"/>
    <x v="0"/>
  </r>
  <r>
    <d v="2024-03-22T00:00:00"/>
    <x v="23"/>
    <s v="Learning &amp; Development"/>
    <n v="0.38"/>
    <x v="11"/>
    <s v="No"/>
    <s v="Company tax return training cont. "/>
    <x v="3"/>
    <x v="0"/>
  </r>
  <r>
    <d v="2024-03-22T00:00:00"/>
    <x v="23"/>
    <s v="Meetings"/>
    <n v="0.18"/>
    <x v="11"/>
    <s v="No"/>
    <s v="Catch up with Zerra"/>
    <x v="3"/>
    <x v="0"/>
  </r>
  <r>
    <d v="2024-03-22T00:00:00"/>
    <x v="23"/>
    <s v="Meetings"/>
    <n v="0.48"/>
    <x v="11"/>
    <s v="No"/>
    <s v="Social Activity meeting"/>
    <x v="3"/>
    <x v="0"/>
  </r>
  <r>
    <d v="2024-03-22T00:00:00"/>
    <x v="24"/>
    <s v="Bookkeeping"/>
    <n v="0.73"/>
    <x v="15"/>
    <s v="Yes"/>
    <s v="extended to cover for Ap"/>
    <x v="3"/>
    <x v="0"/>
  </r>
  <r>
    <d v="2024-03-22T00:00:00"/>
    <x v="24"/>
    <s v="Bookkeeping"/>
    <n v="7.62"/>
    <x v="15"/>
    <s v="Yes"/>
    <m/>
    <x v="3"/>
    <x v="0"/>
  </r>
  <r>
    <d v="2024-03-22T00:00:00"/>
    <x v="24"/>
    <s v="Payroll Processing"/>
    <n v="0.57999999999999996"/>
    <x v="39"/>
    <s v="Yes"/>
    <m/>
    <x v="3"/>
    <x v="0"/>
  </r>
  <r>
    <d v="2024-03-22T00:00:00"/>
    <x v="26"/>
    <s v="Debt Collection"/>
    <n v="0.87"/>
    <x v="11"/>
    <s v="No"/>
    <s v="Comparison of current ageing and recorded aging"/>
    <x v="3"/>
    <x v="0"/>
  </r>
  <r>
    <d v="2024-03-22T00:00:00"/>
    <x v="26"/>
    <s v="Debt Collection"/>
    <n v="1"/>
    <x v="11"/>
    <s v="No"/>
    <m/>
    <x v="3"/>
    <x v="0"/>
  </r>
  <r>
    <d v="2024-03-22T00:00:00"/>
    <x v="26"/>
    <s v="Debt Collection"/>
    <n v="1.5"/>
    <x v="15"/>
    <s v="No"/>
    <s v="Cross checking debtors list versus current invoices"/>
    <x v="3"/>
    <x v="0"/>
  </r>
  <r>
    <d v="2024-03-22T00:00:00"/>
    <x v="26"/>
    <s v="Debt Collection"/>
    <n v="2.5"/>
    <x v="15"/>
    <s v="Yes"/>
    <m/>
    <x v="3"/>
    <x v="0"/>
  </r>
  <r>
    <d v="2024-03-22T00:00:00"/>
    <x v="26"/>
    <s v="General"/>
    <n v="0.5"/>
    <x v="11"/>
    <s v="No"/>
    <s v="break"/>
    <x v="3"/>
    <x v="0"/>
  </r>
  <r>
    <d v="2024-03-22T00:00:00"/>
    <x v="26"/>
    <s v="General"/>
    <n v="0.57999999999999996"/>
    <x v="11"/>
    <s v="No"/>
    <s v="Aranas"/>
    <x v="3"/>
    <x v="0"/>
  </r>
  <r>
    <d v="2024-03-22T00:00:00"/>
    <x v="26"/>
    <s v="General"/>
    <n v="1.05"/>
    <x v="11"/>
    <s v="No"/>
    <s v="huddle"/>
    <x v="3"/>
    <x v="0"/>
  </r>
  <r>
    <d v="2024-03-22T00:00:00"/>
    <x v="28"/>
    <s v="Bookkeeping"/>
    <n v="0.22"/>
    <x v="101"/>
    <s v="Yes"/>
    <s v="Weekly Bookkeeping"/>
    <x v="3"/>
    <x v="0"/>
  </r>
  <r>
    <d v="2024-03-22T00:00:00"/>
    <x v="28"/>
    <s v="Bookkeeping"/>
    <n v="1.05"/>
    <x v="57"/>
    <s v="Yes"/>
    <s v="Check and approving sales in a2x Clearing Account international Paypal Shopify Installment Shopify Klarna Afterpay"/>
    <x v="3"/>
    <x v="0"/>
  </r>
  <r>
    <d v="2024-03-22T00:00:00"/>
    <x v="28"/>
    <s v="Bookkeeping"/>
    <n v="1.07"/>
    <x v="57"/>
    <s v="Yes"/>
    <s v="Continuation of Clearing Account Paypal and Afterpay approving postscript sales in a2x"/>
    <x v="3"/>
    <x v="0"/>
  </r>
  <r>
    <d v="2024-03-22T00:00:00"/>
    <x v="28"/>
    <s v="Bookkeeping"/>
    <n v="5.08"/>
    <x v="57"/>
    <s v="Yes"/>
    <s v="Check accounts inbox and action as necessary Email Management Bills raise to xero Bank Reconciliation Bm  Imported transactions from CBA and reconciled bank reconciliation LOC Inc Check and approving sales from a2x"/>
    <x v="3"/>
    <x v="0"/>
  </r>
  <r>
    <d v="2024-03-22T00:00:00"/>
    <x v="28"/>
    <s v="General"/>
    <n v="0.5"/>
    <x v="11"/>
    <s v="No"/>
    <s v="Break"/>
    <x v="3"/>
    <x v="0"/>
  </r>
  <r>
    <d v="2024-03-22T00:00:00"/>
    <x v="28"/>
    <s v="Meetings"/>
    <n v="0.08"/>
    <x v="11"/>
    <s v="No"/>
    <m/>
    <x v="3"/>
    <x v="0"/>
  </r>
  <r>
    <d v="2024-03-22T00:00:00"/>
    <x v="29"/>
    <s v="Annual Leave"/>
    <n v="8"/>
    <x v="11"/>
    <s v="No"/>
    <s v="Annual leave"/>
    <x v="3"/>
    <x v="0"/>
  </r>
  <r>
    <d v="2024-03-22T00:00:00"/>
    <x v="30"/>
    <s v="Bookkeeping"/>
    <n v="2.98"/>
    <x v="26"/>
    <s v="Yes"/>
    <s v="Email Management Bills Processing  Bank Recon "/>
    <x v="3"/>
    <x v="0"/>
  </r>
  <r>
    <d v="2024-03-22T00:00:00"/>
    <x v="30"/>
    <s v="Bookkeeping"/>
    <n v="3.05"/>
    <x v="58"/>
    <s v="Yes"/>
    <s v="Email Management Bank Recon Reviewing Project Recon "/>
    <x v="3"/>
    <x v="0"/>
  </r>
  <r>
    <d v="2024-03-22T00:00:00"/>
    <x v="30"/>
    <s v="General"/>
    <n v="1.05"/>
    <x v="11"/>
    <s v="No"/>
    <s v="Email Management"/>
    <x v="3"/>
    <x v="0"/>
  </r>
  <r>
    <d v="2024-03-22T00:00:00"/>
    <x v="30"/>
    <s v="Meetings"/>
    <n v="1.03"/>
    <x v="11"/>
    <s v="No"/>
    <s v="Team Ann Wekkly Huddle"/>
    <x v="3"/>
    <x v="0"/>
  </r>
  <r>
    <d v="2024-03-22T00:00:00"/>
    <x v="31"/>
    <s v="Accounts"/>
    <n v="0.13"/>
    <x v="11"/>
    <s v="No"/>
    <s v="Invoice sending for BAS lodgement "/>
    <x v="3"/>
    <x v="0"/>
  </r>
  <r>
    <d v="2024-03-22T00:00:00"/>
    <x v="31"/>
    <s v="Accounts"/>
    <n v="0.56999999999999995"/>
    <x v="56"/>
    <s v="No"/>
    <s v="Update bank recs for PH Branch"/>
    <x v="3"/>
    <x v="0"/>
  </r>
  <r>
    <d v="2024-03-22T00:00:00"/>
    <x v="31"/>
    <s v="Accounts"/>
    <n v="0.68"/>
    <x v="11"/>
    <s v="No"/>
    <s v="Assist invoices requested. Checking of unsent invoices. Update bills and entry setup for Seek."/>
    <x v="3"/>
    <x v="0"/>
  </r>
  <r>
    <d v="2024-03-22T00:00:00"/>
    <x v="31"/>
    <s v="Accounts"/>
    <n v="0.92"/>
    <x v="56"/>
    <s v="No"/>
    <s v="Fixed all 2307 and prepare emails for 2307 and remittance advice for local payments. Catch up emails for AP Manila."/>
    <x v="3"/>
    <x v="0"/>
  </r>
  <r>
    <d v="2024-03-22T00:00:00"/>
    <x v="31"/>
    <s v="Accounts"/>
    <n v="2.2200000000000002"/>
    <x v="11"/>
    <s v="No"/>
    <s v="Coordination with Kate re: Queste invoice Checking with Anie and informing her about the needed documents for BIR requirements. Compliance invoicing updating and sending out invoices."/>
    <x v="3"/>
    <x v="0"/>
  </r>
  <r>
    <d v="2024-03-22T00:00:00"/>
    <x v="31"/>
    <s v="Bookkeeping"/>
    <n v="0.63"/>
    <x v="11"/>
    <s v="No"/>
    <s v="Process bank recs and bills. Catch up emails on AU accounts."/>
    <x v="3"/>
    <x v="0"/>
  </r>
  <r>
    <d v="2024-03-22T00:00:00"/>
    <x v="31"/>
    <s v="Compliance"/>
    <n v="0.68"/>
    <x v="94"/>
    <s v="No"/>
    <s v="Continuous BIR Alphalist for version 2 data entry for RO"/>
    <x v="3"/>
    <x v="0"/>
  </r>
  <r>
    <d v="2024-03-22T00:00:00"/>
    <x v="31"/>
    <s v="Compliance"/>
    <n v="2.2000000000000002"/>
    <x v="94"/>
    <s v="No"/>
    <s v="BIR Alphalist for version 2 data entry for RO Assist Gen on HDMF enrollment"/>
    <x v="3"/>
    <x v="0"/>
  </r>
  <r>
    <d v="2024-03-22T00:00:00"/>
    <x v="31"/>
    <s v="General"/>
    <n v="0.1"/>
    <x v="11"/>
    <s v="No"/>
    <s v="Update Asana tasks and check pending tasks"/>
    <x v="3"/>
    <x v="0"/>
  </r>
  <r>
    <d v="2024-03-22T00:00:00"/>
    <x v="32"/>
    <s v="Web"/>
    <n v="9"/>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x v="3"/>
    <x v="0"/>
  </r>
  <r>
    <d v="2024-03-22T00:00:00"/>
    <x v="33"/>
    <s v="Annual Leave"/>
    <n v="5"/>
    <x v="11"/>
    <s v="No"/>
    <m/>
    <x v="3"/>
    <x v="0"/>
  </r>
  <r>
    <d v="2024-03-22T00:00:00"/>
    <x v="34"/>
    <s v="Client Manager"/>
    <n v="4.5999999999999996"/>
    <x v="96"/>
    <s v="No"/>
    <s v="Procedure for Customer Analysis + Improvement of model"/>
    <x v="3"/>
    <x v="0"/>
  </r>
  <r>
    <d v="2024-03-22T00:00:00"/>
    <x v="34"/>
    <s v="General"/>
    <n v="0.6"/>
    <x v="11"/>
    <s v="No"/>
    <s v="Emails, Teams, Asana"/>
    <x v="3"/>
    <x v="0"/>
  </r>
  <r>
    <d v="2024-03-22T00:00:00"/>
    <x v="35"/>
    <s v="Bookkeeping"/>
    <n v="0.22"/>
    <x v="62"/>
    <s v="Yes"/>
    <s v="email from Supplier recs and update"/>
    <x v="3"/>
    <x v="0"/>
  </r>
  <r>
    <d v="2024-03-22T00:00:00"/>
    <x v="35"/>
    <s v="Bookkeeping"/>
    <n v="0.52"/>
    <x v="62"/>
    <s v="Yes"/>
    <s v="BR"/>
    <x v="3"/>
    <x v="0"/>
  </r>
  <r>
    <d v="2024-03-22T00:00:00"/>
    <x v="35"/>
    <s v="Bookkeeping"/>
    <n v="1.08"/>
    <x v="33"/>
    <s v="No"/>
    <s v="Proc docs"/>
    <x v="3"/>
    <x v="0"/>
  </r>
  <r>
    <d v="2024-03-22T00:00:00"/>
    <x v="35"/>
    <s v="Bookkeeping"/>
    <n v="1.75"/>
    <x v="62"/>
    <s v="Yes"/>
    <s v="catch up with Adriana, chasing Credits"/>
    <x v="3"/>
    <x v="0"/>
  </r>
  <r>
    <d v="2024-03-22T00:00:00"/>
    <x v="35"/>
    <s v="Bookkeeping"/>
    <n v="3.33"/>
    <x v="33"/>
    <s v="No"/>
    <s v="BS Recs and update procdoc"/>
    <x v="3"/>
    <x v="0"/>
  </r>
  <r>
    <d v="2024-03-22T00:00:00"/>
    <x v="35"/>
    <s v="Meetings"/>
    <n v="1.1000000000000001"/>
    <x v="11"/>
    <s v="No"/>
    <s v="Team Huddle"/>
    <x v="3"/>
    <x v="0"/>
  </r>
  <r>
    <d v="2024-03-22T00:00:00"/>
    <x v="36"/>
    <s v="Bookkeeping"/>
    <n v="1.02"/>
    <x v="35"/>
    <s v="Yes"/>
    <m/>
    <x v="3"/>
    <x v="0"/>
  </r>
  <r>
    <d v="2024-03-22T00:00:00"/>
    <x v="36"/>
    <s v="Bookkeeping"/>
    <n v="1.08"/>
    <x v="16"/>
    <s v="Yes"/>
    <m/>
    <x v="3"/>
    <x v="0"/>
  </r>
  <r>
    <d v="2024-03-22T00:00:00"/>
    <x v="36"/>
    <s v="General"/>
    <n v="0.18"/>
    <x v="11"/>
    <s v="No"/>
    <m/>
    <x v="3"/>
    <x v="0"/>
  </r>
  <r>
    <d v="2024-03-22T00:00:00"/>
    <x v="36"/>
    <s v="General"/>
    <n v="0.32"/>
    <x v="11"/>
    <s v="No"/>
    <s v="Dex emails"/>
    <x v="3"/>
    <x v="0"/>
  </r>
  <r>
    <d v="2024-03-22T00:00:00"/>
    <x v="36"/>
    <s v="Management Reporting"/>
    <n v="4.2"/>
    <x v="35"/>
    <s v="Yes"/>
    <m/>
    <x v="3"/>
    <x v="0"/>
  </r>
  <r>
    <d v="2024-03-22T00:00:00"/>
    <x v="36"/>
    <s v="Payroll Processing"/>
    <n v="0.15"/>
    <x v="1"/>
    <s v="Yes"/>
    <s v="Reviewed Feb super"/>
    <x v="3"/>
    <x v="0"/>
  </r>
  <r>
    <d v="2024-03-22T00:00:00"/>
    <x v="36"/>
    <s v="Payroll Processing"/>
    <n v="1.1499999999999999"/>
    <x v="35"/>
    <s v="Yes"/>
    <s v="Brooke final pay"/>
    <x v="3"/>
    <x v="0"/>
  </r>
  <r>
    <d v="2024-03-22T00:00:00"/>
    <x v="37"/>
    <s v="General"/>
    <n v="3.17"/>
    <x v="11"/>
    <s v="No"/>
    <s v="Finance adhoc Timesheets review - sprout Resource matrix table start  "/>
    <x v="3"/>
    <x v="0"/>
  </r>
  <r>
    <d v="2024-03-22T00:00:00"/>
    <x v="37"/>
    <s v="General"/>
    <n v="4.5999999999999996"/>
    <x v="11"/>
    <s v="No"/>
    <s v="Call with Jordan Resource allocation matrix Study FCT Arranging Dex files and documents, logistics"/>
    <x v="3"/>
    <x v="0"/>
  </r>
  <r>
    <d v="2024-03-22T00:00:00"/>
    <x v="37"/>
    <s v="Meetings"/>
    <n v="0.32"/>
    <x v="11"/>
    <s v="No"/>
    <s v="Catchup with Ali"/>
    <x v="3"/>
    <x v="0"/>
  </r>
  <r>
    <d v="2024-03-22T00:00:00"/>
    <x v="38"/>
    <s v="Bookkeeping"/>
    <n v="8.68"/>
    <x v="15"/>
    <s v="Yes"/>
    <m/>
    <x v="3"/>
    <x v="0"/>
  </r>
  <r>
    <d v="2024-03-22T00:00:00"/>
    <x v="39"/>
    <s v="Annual Leave"/>
    <n v="8"/>
    <x v="11"/>
    <s v="No"/>
    <m/>
    <x v="3"/>
    <x v="0"/>
  </r>
  <r>
    <d v="2024-03-22T00:00:00"/>
    <x v="41"/>
    <s v="Annual Leave"/>
    <n v="8"/>
    <x v="11"/>
    <s v="No"/>
    <m/>
    <x v="3"/>
    <x v="0"/>
  </r>
  <r>
    <d v="2024-03-22T00:00:00"/>
    <x v="42"/>
    <s v="Client Manager"/>
    <n v="0.5"/>
    <x v="48"/>
    <s v="Yes"/>
    <s v="Review bank balance as at 22.03.2024. Upload payables, email Zoe for approval noting bank balance "/>
    <x v="3"/>
    <x v="0"/>
  </r>
  <r>
    <d v="2024-03-22T00:00:00"/>
    <x v="42"/>
    <s v="Client Manager"/>
    <n v="1"/>
    <x v="36"/>
    <s v="Yes"/>
    <s v="Provide commentary on cashflow for BOQ overdraft. Send comments to Sarah"/>
    <x v="3"/>
    <x v="0"/>
  </r>
  <r>
    <d v="2024-03-22T00:00:00"/>
    <x v="42"/>
    <s v="Client Manager"/>
    <n v="1"/>
    <x v="27"/>
    <s v="Yes"/>
    <s v="Meeting with John &amp; Gary re R&amp;D claim for FY 2023"/>
    <x v="3"/>
    <x v="0"/>
  </r>
  <r>
    <d v="2024-03-22T00:00:00"/>
    <x v="42"/>
    <s v="General"/>
    <n v="1"/>
    <x v="11"/>
    <s v="No"/>
    <s v="Asana clean up of tasks, Mel queries, Angela, look further at training topics"/>
    <x v="3"/>
    <x v="0"/>
  </r>
  <r>
    <d v="2024-03-22T00:00:00"/>
    <x v="42"/>
    <s v="General"/>
    <n v="1"/>
    <x v="11"/>
    <s v="No"/>
    <s v="Cleaning up tax client folders"/>
    <x v="3"/>
    <x v="0"/>
  </r>
  <r>
    <d v="2024-03-22T00:00:00"/>
    <x v="42"/>
    <s v="IAS/BAS Preparation &amp; Lodgement - Feb"/>
    <n v="0.33"/>
    <x v="122"/>
    <s v="Yes"/>
    <s v="Feb BAS review and lodgement"/>
    <x v="3"/>
    <x v="0"/>
  </r>
  <r>
    <d v="2024-03-22T00:00:00"/>
    <x v="42"/>
    <s v="IAS/BAS Preparation &amp; Lodgement - Oct-Dec"/>
    <n v="0.33"/>
    <x v="22"/>
    <s v="Yes"/>
    <s v="Dec 2023 quarter BAS review and lodgement"/>
    <x v="3"/>
    <x v="0"/>
  </r>
  <r>
    <d v="2024-03-22T00:00:00"/>
    <x v="42"/>
    <s v="Learning &amp; Development"/>
    <n v="2"/>
    <x v="11"/>
    <s v="No"/>
    <s v="Training videos with Carly"/>
    <x v="3"/>
    <x v="0"/>
  </r>
  <r>
    <d v="2024-03-22T00:00:00"/>
    <x v="43"/>
    <s v="Adhoc Support &amp; Advice"/>
    <n v="0.5"/>
    <x v="15"/>
    <s v="Yes"/>
    <s v="JD update"/>
    <x v="3"/>
    <x v="0"/>
  </r>
  <r>
    <d v="2024-03-22T00:00:00"/>
    <x v="43"/>
    <s v="Adhoc Support &amp; Advice"/>
    <n v="3.75"/>
    <x v="15"/>
    <s v="No"/>
    <s v="Preparing for payroll training and new hire assistance"/>
    <x v="3"/>
    <x v="0"/>
  </r>
  <r>
    <d v="2024-03-22T00:00:00"/>
    <x v="43"/>
    <s v="Bookkeeping"/>
    <n v="0.25"/>
    <x v="15"/>
    <s v="Yes"/>
    <s v="Cashflow"/>
    <x v="3"/>
    <x v="0"/>
  </r>
  <r>
    <d v="2024-03-22T00:00:00"/>
    <x v="43"/>
    <s v="Bookkeeping"/>
    <n v="2.5"/>
    <x v="15"/>
    <s v="Yes"/>
    <s v="Leave Request/Balance report/NSW RDO update"/>
    <x v="3"/>
    <x v="0"/>
  </r>
  <r>
    <d v="2024-03-22T00:00:00"/>
    <x v="43"/>
    <s v="Client Meeting"/>
    <n v="0.5"/>
    <x v="15"/>
    <s v="Yes"/>
    <s v="AP Catch up"/>
    <x v="3"/>
    <x v="0"/>
  </r>
  <r>
    <d v="2024-03-22T00:00:00"/>
    <x v="43"/>
    <s v="Meetings"/>
    <n v="0.5"/>
    <x v="11"/>
    <s v="No"/>
    <s v="Catch up Meeting with Carly"/>
    <x v="3"/>
    <x v="0"/>
  </r>
  <r>
    <d v="2024-03-22T00:00:00"/>
    <x v="45"/>
    <s v="HR/Recuitment"/>
    <n v="2"/>
    <x v="11"/>
    <s v="No"/>
    <e v="#NAME?"/>
    <x v="3"/>
    <x v="0"/>
  </r>
  <r>
    <d v="2024-03-22T00:00:00"/>
    <x v="45"/>
    <s v="HR/Recuitment"/>
    <n v="4"/>
    <x v="11"/>
    <s v="No"/>
    <e v="#NAME?"/>
    <x v="3"/>
    <x v="0"/>
  </r>
  <r>
    <d v="2024-03-22T00:00:00"/>
    <x v="45"/>
    <s v="Meetings"/>
    <n v="2"/>
    <x v="11"/>
    <s v="No"/>
    <e v="#NAME?"/>
    <x v="3"/>
    <x v="0"/>
  </r>
  <r>
    <d v="2024-03-24T00:00:00"/>
    <x v="40"/>
    <s v="Financial Statements"/>
    <n v="0.23"/>
    <x v="117"/>
    <s v="Yes"/>
    <s v="Formatting financial report"/>
    <x v="4"/>
    <x v="6"/>
  </r>
  <r>
    <d v="2024-03-24T00:00:00"/>
    <x v="40"/>
    <s v="Financial Statements"/>
    <n v="0.33"/>
    <x v="117"/>
    <s v="Yes"/>
    <s v="Reconcile balances to Hall Chadwick"/>
    <x v="4"/>
    <x v="6"/>
  </r>
  <r>
    <d v="2024-03-24T00:00:00"/>
    <x v="40"/>
    <s v="Financial Statements"/>
    <n v="0.97"/>
    <x v="118"/>
    <s v="Yes"/>
    <s v="Report formating"/>
    <x v="4"/>
    <x v="6"/>
  </r>
  <r>
    <d v="2024-03-24T00:00:00"/>
    <x v="40"/>
    <s v="Financial Statements"/>
    <n v="1.1299999999999999"/>
    <x v="118"/>
    <s v="Yes"/>
    <s v="Add Xero trial ledger Create comparaiteve figures for 20 and 21 from Hall Chadwick"/>
    <x v="4"/>
    <x v="6"/>
  </r>
  <r>
    <d v="2024-03-24T00:00:00"/>
    <x v="40"/>
    <s v="Financial Statements"/>
    <n v="1.33"/>
    <x v="117"/>
    <s v="Yes"/>
    <s v="Enter Hall Chadwick data into Xero ledger 20 and 21"/>
    <x v="4"/>
    <x v="6"/>
  </r>
  <r>
    <d v="2024-03-25T00:00:00"/>
    <x v="0"/>
    <s v="Bookkeeping"/>
    <n v="7.0000000000000007E-2"/>
    <x v="5"/>
    <s v="Yes"/>
    <s v="Email"/>
    <x v="4"/>
    <x v="2"/>
  </r>
  <r>
    <d v="2024-03-25T00:00:00"/>
    <x v="0"/>
    <s v="Bookkeeping"/>
    <n v="0.08"/>
    <x v="6"/>
    <s v="Yes"/>
    <s v="Accounts Receivable"/>
    <x v="4"/>
    <x v="2"/>
  </r>
  <r>
    <d v="2024-03-25T00:00:00"/>
    <x v="0"/>
    <s v="Bookkeeping"/>
    <n v="0.1"/>
    <x v="5"/>
    <s v="Yes"/>
    <s v="Accounts Payable"/>
    <x v="4"/>
    <x v="2"/>
  </r>
  <r>
    <d v="2024-03-25T00:00:00"/>
    <x v="0"/>
    <s v="Bookkeeping"/>
    <n v="0.12"/>
    <x v="4"/>
    <s v="Yes"/>
    <s v="Email"/>
    <x v="4"/>
    <x v="2"/>
  </r>
  <r>
    <d v="2024-03-25T00:00:00"/>
    <x v="0"/>
    <s v="Bookkeeping"/>
    <n v="0.17"/>
    <x v="9"/>
    <s v="Yes"/>
    <s v="Accounts Payable"/>
    <x v="4"/>
    <x v="2"/>
  </r>
  <r>
    <d v="2024-03-25T00:00:00"/>
    <x v="0"/>
    <s v="Bookkeeping"/>
    <n v="0.17"/>
    <x v="3"/>
    <s v="Yes"/>
    <s v="Bank Reconciliation"/>
    <x v="4"/>
    <x v="2"/>
  </r>
  <r>
    <d v="2024-03-25T00:00:00"/>
    <x v="0"/>
    <s v="Bookkeeping"/>
    <n v="0.2"/>
    <x v="6"/>
    <s v="Yes"/>
    <s v="Bank Reconciliation and Email"/>
    <x v="4"/>
    <x v="2"/>
  </r>
  <r>
    <d v="2024-03-25T00:00:00"/>
    <x v="0"/>
    <s v="Bookkeeping"/>
    <n v="0.25"/>
    <x v="6"/>
    <s v="Yes"/>
    <s v="AP and Emails"/>
    <x v="4"/>
    <x v="2"/>
  </r>
  <r>
    <d v="2024-03-25T00:00:00"/>
    <x v="0"/>
    <s v="Bookkeeping"/>
    <n v="0.27"/>
    <x v="4"/>
    <s v="Yes"/>
    <s v="AP and Email"/>
    <x v="4"/>
    <x v="2"/>
  </r>
  <r>
    <d v="2024-03-25T00:00:00"/>
    <x v="0"/>
    <s v="Bookkeeping"/>
    <n v="0.28000000000000003"/>
    <x v="1"/>
    <s v="Yes"/>
    <s v="Clear AP inbox and Submit bills for approval in Xero"/>
    <x v="4"/>
    <x v="2"/>
  </r>
  <r>
    <d v="2024-03-25T00:00:00"/>
    <x v="0"/>
    <s v="Bookkeeping"/>
    <n v="0.3"/>
    <x v="0"/>
    <s v="No"/>
    <s v="Respond to CM's comments and Update Process Document"/>
    <x v="4"/>
    <x v="2"/>
  </r>
  <r>
    <d v="2024-03-25T00:00:00"/>
    <x v="0"/>
    <s v="Bookkeeping"/>
    <n v="0.42"/>
    <x v="5"/>
    <s v="Yes"/>
    <s v="AP and Emails"/>
    <x v="4"/>
    <x v="2"/>
  </r>
  <r>
    <d v="2024-03-25T00:00:00"/>
    <x v="0"/>
    <s v="Bookkeeping"/>
    <n v="0.47"/>
    <x v="4"/>
    <s v="Yes"/>
    <s v="Accounts Payable"/>
    <x v="4"/>
    <x v="2"/>
  </r>
  <r>
    <d v="2024-03-25T00:00:00"/>
    <x v="0"/>
    <s v="Bookkeeping"/>
    <n v="0.67"/>
    <x v="5"/>
    <s v="Yes"/>
    <s v="AP and Email/Inbox Management"/>
    <x v="4"/>
    <x v="2"/>
  </r>
  <r>
    <d v="2024-03-25T00:00:00"/>
    <x v="0"/>
    <s v="Bookkeeping"/>
    <n v="0.73"/>
    <x v="5"/>
    <s v="Yes"/>
    <s v="Bank Reconciliation"/>
    <x v="4"/>
    <x v="2"/>
  </r>
  <r>
    <d v="2024-03-25T00:00:00"/>
    <x v="0"/>
    <s v="Bookkeeping"/>
    <n v="1.17"/>
    <x v="9"/>
    <s v="Yes"/>
    <s v="AP and Email/Inbox Management"/>
    <x v="4"/>
    <x v="2"/>
  </r>
  <r>
    <d v="2024-03-25T00:00:00"/>
    <x v="0"/>
    <s v="General"/>
    <n v="0.25"/>
    <x v="11"/>
    <s v="No"/>
    <s v="Afternoon Break"/>
    <x v="4"/>
    <x v="2"/>
  </r>
  <r>
    <d v="2024-03-25T00:00:00"/>
    <x v="0"/>
    <s v="General"/>
    <n v="0.25"/>
    <x v="11"/>
    <s v="No"/>
    <s v="Morning Break"/>
    <x v="4"/>
    <x v="2"/>
  </r>
  <r>
    <d v="2024-03-25T00:00:00"/>
    <x v="0"/>
    <s v="Meetings"/>
    <n v="0.72"/>
    <x v="11"/>
    <s v="No"/>
    <s v="Team Meeting"/>
    <x v="4"/>
    <x v="2"/>
  </r>
  <r>
    <d v="2024-03-25T00:00:00"/>
    <x v="0"/>
    <s v="Payroll Processing"/>
    <n v="0.12"/>
    <x v="13"/>
    <s v="Yes"/>
    <m/>
    <x v="4"/>
    <x v="2"/>
  </r>
  <r>
    <d v="2024-03-25T00:00:00"/>
    <x v="0"/>
    <s v="Payroll Processing"/>
    <n v="0.3"/>
    <x v="2"/>
    <s v="Yes"/>
    <s v="Set up new employee in Xero"/>
    <x v="4"/>
    <x v="2"/>
  </r>
  <r>
    <d v="2024-03-25T00:00:00"/>
    <x v="0"/>
    <s v="Payroll Processing"/>
    <n v="0.33"/>
    <x v="8"/>
    <s v="Yes"/>
    <m/>
    <x v="4"/>
    <x v="2"/>
  </r>
  <r>
    <d v="2024-03-25T00:00:00"/>
    <x v="0"/>
    <s v="Payroll Processing"/>
    <n v="0.57999999999999996"/>
    <x v="12"/>
    <s v="Yes"/>
    <m/>
    <x v="4"/>
    <x v="2"/>
  </r>
  <r>
    <d v="2024-03-25T00:00:00"/>
    <x v="1"/>
    <s v="P&amp;C Advisory"/>
    <n v="0.5"/>
    <x v="34"/>
    <s v="Yes"/>
    <m/>
    <x v="4"/>
    <x v="2"/>
  </r>
  <r>
    <d v="2024-03-25T00:00:00"/>
    <x v="1"/>
    <s v="P&amp;C Advisory - Group"/>
    <n v="0.25"/>
    <x v="14"/>
    <s v="Yes"/>
    <s v="Correspondence re. IT flexible working arrangements"/>
    <x v="4"/>
    <x v="2"/>
  </r>
  <r>
    <d v="2024-03-25T00:00:00"/>
    <x v="1"/>
    <s v="P&amp;C Advisory - Nederman Mikropul"/>
    <n v="1"/>
    <x v="14"/>
    <s v="Yes"/>
    <s v="Drug and alcohol testing Recruitment &amp; onboarding - Solution Sales"/>
    <x v="4"/>
    <x v="2"/>
  </r>
  <r>
    <d v="2024-03-25T00:00:00"/>
    <x v="1"/>
    <s v="P&amp;C Advisory - Nederman PT"/>
    <n v="2.17"/>
    <x v="14"/>
    <s v="Yes"/>
    <s v="Drug and alcohol testing and follow up Draft letter for employee"/>
    <x v="4"/>
    <x v="2"/>
  </r>
  <r>
    <d v="2024-03-25T00:00:00"/>
    <x v="1"/>
    <s v="P&amp;C Advisory - Nordfab"/>
    <n v="3"/>
    <x v="14"/>
    <s v="Yes"/>
    <s v="Employment agreement Coaching re. people management Drug and alcohol testing and follow up"/>
    <x v="4"/>
    <x v="2"/>
  </r>
  <r>
    <d v="2024-03-25T00:00:00"/>
    <x v="2"/>
    <s v="Bookkeeping"/>
    <n v="0.27"/>
    <x v="5"/>
    <s v="No"/>
    <m/>
    <x v="4"/>
    <x v="2"/>
  </r>
  <r>
    <d v="2024-03-25T00:00:00"/>
    <x v="2"/>
    <s v="Bookkeeping"/>
    <n v="3.12"/>
    <x v="67"/>
    <s v="Yes"/>
    <m/>
    <x v="4"/>
    <x v="2"/>
  </r>
  <r>
    <d v="2024-03-25T00:00:00"/>
    <x v="2"/>
    <s v="General"/>
    <n v="0.05"/>
    <x v="11"/>
    <s v="No"/>
    <s v="emails"/>
    <x v="4"/>
    <x v="2"/>
  </r>
  <r>
    <d v="2024-03-25T00:00:00"/>
    <x v="2"/>
    <s v="General"/>
    <n v="0.38"/>
    <x v="11"/>
    <s v="No"/>
    <s v="chats, announcements, etc."/>
    <x v="4"/>
    <x v="2"/>
  </r>
  <r>
    <d v="2024-03-25T00:00:00"/>
    <x v="2"/>
    <s v="General"/>
    <n v="0.55000000000000004"/>
    <x v="11"/>
    <s v="No"/>
    <s v="review backup plan"/>
    <x v="4"/>
    <x v="2"/>
  </r>
  <r>
    <d v="2024-03-25T00:00:00"/>
    <x v="2"/>
    <s v="General"/>
    <n v="0.72"/>
    <x v="11"/>
    <s v="No"/>
    <s v="break, chats, emails"/>
    <x v="4"/>
    <x v="2"/>
  </r>
  <r>
    <d v="2024-03-25T00:00:00"/>
    <x v="2"/>
    <s v="General"/>
    <n v="0.78"/>
    <x v="11"/>
    <s v="No"/>
    <s v="emails, chats, Sprout, Asana, timesheets, etc"/>
    <x v="4"/>
    <x v="2"/>
  </r>
  <r>
    <d v="2024-03-25T00:00:00"/>
    <x v="2"/>
    <s v="General"/>
    <n v="1.45"/>
    <x v="11"/>
    <s v="No"/>
    <s v="concerns, emails, timesheets, etc"/>
    <x v="4"/>
    <x v="2"/>
  </r>
  <r>
    <d v="2024-03-25T00:00:00"/>
    <x v="2"/>
    <s v="Meetings"/>
    <n v="0.73"/>
    <x v="11"/>
    <s v="No"/>
    <s v="Call with team re Charm's termination and other concerns"/>
    <x v="4"/>
    <x v="2"/>
  </r>
  <r>
    <d v="2024-03-25T00:00:00"/>
    <x v="4"/>
    <s v="General"/>
    <n v="8"/>
    <x v="11"/>
    <s v="No"/>
    <m/>
    <x v="4"/>
    <x v="2"/>
  </r>
  <r>
    <d v="2024-03-25T00:00:00"/>
    <x v="6"/>
    <s v="Automations - Pinnacle"/>
    <n v="8"/>
    <x v="11"/>
    <s v="No"/>
    <s v="March 25 XeroDownloadReportsAutomation - updated filter for aged payables summary sequence - updated the for each logic for each entity for security for users with access to the entity and its reports due to errors and different scenarios encountered"/>
    <x v="4"/>
    <x v="2"/>
  </r>
  <r>
    <d v="2024-03-25T00:00:00"/>
    <x v="8"/>
    <s v="Automations"/>
    <n v="4"/>
    <x v="11"/>
    <s v="No"/>
    <s v="Met with Rejie and Jordan to discuss Alliance Automations, Conducted some screen recordings to capture automations; Run four Alliance automations + AP automation; Run Marsill Automation"/>
    <x v="4"/>
    <x v="2"/>
  </r>
  <r>
    <d v="2024-03-25T00:00:00"/>
    <x v="9"/>
    <s v="Automations"/>
    <n v="9.1999999999999993"/>
    <x v="11"/>
    <s v="No"/>
    <s v="Matrix Data Table Part 2 Development"/>
    <x v="4"/>
    <x v="2"/>
  </r>
  <r>
    <d v="2024-03-25T00:00:00"/>
    <x v="10"/>
    <s v="Annual Leave"/>
    <n v="8"/>
    <x v="11"/>
    <s v="No"/>
    <s v="My kid's educational trip"/>
    <x v="4"/>
    <x v="2"/>
  </r>
  <r>
    <d v="2024-03-25T00:00:00"/>
    <x v="46"/>
    <s v="CFO001 - CFO Services"/>
    <n v="1"/>
    <x v="5"/>
    <s v="Yes"/>
    <s v="Various work"/>
    <x v="4"/>
    <x v="2"/>
  </r>
  <r>
    <d v="2024-03-25T00:00:00"/>
    <x v="11"/>
    <s v="Bookkeeping"/>
    <n v="0.22"/>
    <x v="60"/>
    <s v="No"/>
    <s v="review TS and approve invoice"/>
    <x v="4"/>
    <x v="2"/>
  </r>
  <r>
    <d v="2024-03-25T00:00:00"/>
    <x v="11"/>
    <s v="Bookkeeping"/>
    <n v="0.45"/>
    <x v="27"/>
    <s v="Yes"/>
    <s v="emails"/>
    <x v="4"/>
    <x v="2"/>
  </r>
  <r>
    <d v="2024-03-25T00:00:00"/>
    <x v="11"/>
    <s v="Bookkeeping"/>
    <n v="0.47"/>
    <x v="25"/>
    <s v="Yes"/>
    <s v="emails/ queries"/>
    <x v="4"/>
    <x v="2"/>
  </r>
  <r>
    <d v="2024-03-25T00:00:00"/>
    <x v="11"/>
    <s v="Bookkeeping"/>
    <n v="0.85"/>
    <x v="26"/>
    <s v="Yes"/>
    <s v="bank recs review"/>
    <x v="4"/>
    <x v="2"/>
  </r>
  <r>
    <d v="2024-03-25T00:00:00"/>
    <x v="11"/>
    <s v="Bookkeeping"/>
    <n v="1.48"/>
    <x v="26"/>
    <s v="Yes"/>
    <s v="bank rec review"/>
    <x v="4"/>
    <x v="2"/>
  </r>
  <r>
    <d v="2024-03-25T00:00:00"/>
    <x v="11"/>
    <s v="General"/>
    <n v="0.25"/>
    <x v="11"/>
    <s v="No"/>
    <s v="teams/ queries"/>
    <x v="4"/>
    <x v="2"/>
  </r>
  <r>
    <d v="2024-03-25T00:00:00"/>
    <x v="11"/>
    <s v="General"/>
    <n v="0.5"/>
    <x v="11"/>
    <s v="No"/>
    <s v="break"/>
    <x v="4"/>
    <x v="2"/>
  </r>
  <r>
    <d v="2024-03-25T00:00:00"/>
    <x v="11"/>
    <s v="General"/>
    <n v="0.63"/>
    <x v="11"/>
    <s v="No"/>
    <s v="inbox/ emails/ queries"/>
    <x v="4"/>
    <x v="2"/>
  </r>
  <r>
    <d v="2024-03-25T00:00:00"/>
    <x v="11"/>
    <s v="Learning &amp; Development"/>
    <n v="0.48"/>
    <x v="11"/>
    <s v="No"/>
    <s v="free webinar"/>
    <x v="4"/>
    <x v="2"/>
  </r>
  <r>
    <d v="2024-03-25T00:00:00"/>
    <x v="11"/>
    <s v="Payroll Processing"/>
    <n v="0.25"/>
    <x v="15"/>
    <s v="Yes"/>
    <s v="inbox"/>
    <x v="4"/>
    <x v="2"/>
  </r>
  <r>
    <d v="2024-03-25T00:00:00"/>
    <x v="11"/>
    <s v="Payroll Processing"/>
    <n v="0.32"/>
    <x v="15"/>
    <s v="Yes"/>
    <s v="inbox/ emails"/>
    <x v="4"/>
    <x v="2"/>
  </r>
  <r>
    <d v="2024-03-25T00:00:00"/>
    <x v="11"/>
    <s v="Payroll Processing"/>
    <n v="0.42"/>
    <x v="2"/>
    <s v="Yes"/>
    <s v="employee set-up review"/>
    <x v="4"/>
    <x v="2"/>
  </r>
  <r>
    <d v="2024-03-25T00:00:00"/>
    <x v="11"/>
    <s v="Payroll Processing"/>
    <n v="0.42"/>
    <x v="8"/>
    <s v="Yes"/>
    <s v="review"/>
    <x v="4"/>
    <x v="2"/>
  </r>
  <r>
    <d v="2024-03-25T00:00:00"/>
    <x v="11"/>
    <s v="Payroll Processing"/>
    <n v="1.27"/>
    <x v="31"/>
    <s v="Yes"/>
    <m/>
    <x v="4"/>
    <x v="2"/>
  </r>
  <r>
    <d v="2024-03-25T00:00:00"/>
    <x v="12"/>
    <s v="General"/>
    <n v="9.6199999999999992"/>
    <x v="11"/>
    <s v="No"/>
    <s v="- ASIC - ATO - Communication History - Air BnB check - Travel Agent check for the Outing - Nick's Inbox management - Birthday poster for Mel  "/>
    <x v="4"/>
    <x v="2"/>
  </r>
  <r>
    <d v="2024-03-25T00:00:00"/>
    <x v="13"/>
    <s v="Annual Leave"/>
    <n v="8"/>
    <x v="11"/>
    <s v="No"/>
    <m/>
    <x v="4"/>
    <x v="2"/>
  </r>
  <r>
    <d v="2024-03-25T00:00:00"/>
    <x v="14"/>
    <s v="Bookkeeping"/>
    <n v="0.18"/>
    <x v="32"/>
    <s v="Yes"/>
    <s v="Bank recs"/>
    <x v="4"/>
    <x v="2"/>
  </r>
  <r>
    <d v="2024-03-25T00:00:00"/>
    <x v="14"/>
    <s v="Bookkeeping"/>
    <n v="0.28000000000000003"/>
    <x v="32"/>
    <s v="No"/>
    <s v="Checking asana tasks, adding tasks and reassigning"/>
    <x v="4"/>
    <x v="2"/>
  </r>
  <r>
    <d v="2024-03-25T00:00:00"/>
    <x v="14"/>
    <s v="Bookkeeping"/>
    <n v="0.42"/>
    <x v="32"/>
    <s v="No"/>
    <s v="Checking asana tasks, updating &amp; reassigning"/>
    <x v="4"/>
    <x v="2"/>
  </r>
  <r>
    <d v="2024-03-25T00:00:00"/>
    <x v="14"/>
    <s v="Bookkeeping"/>
    <n v="0.48"/>
    <x v="73"/>
    <s v="Yes"/>
    <s v="Bank recs"/>
    <x v="4"/>
    <x v="2"/>
  </r>
  <r>
    <d v="2024-03-25T00:00:00"/>
    <x v="14"/>
    <s v="Bookkeeping"/>
    <n v="0.53"/>
    <x v="73"/>
    <s v="Yes"/>
    <s v="Bank recs,"/>
    <x v="4"/>
    <x v="2"/>
  </r>
  <r>
    <d v="2024-03-25T00:00:00"/>
    <x v="14"/>
    <s v="Bookkeeping"/>
    <n v="0.82"/>
    <x v="25"/>
    <s v="Yes"/>
    <s v="Checking receivables, payments"/>
    <x v="4"/>
    <x v="2"/>
  </r>
  <r>
    <d v="2024-03-25T00:00:00"/>
    <x v="14"/>
    <s v="Bookkeeping"/>
    <n v="1"/>
    <x v="32"/>
    <s v="Yes"/>
    <s v="Recording of invoices, AP processing, AR update"/>
    <x v="4"/>
    <x v="2"/>
  </r>
  <r>
    <d v="2024-03-25T00:00:00"/>
    <x v="14"/>
    <s v="Bookkeeping"/>
    <n v="1.72"/>
    <x v="73"/>
    <s v="Yes"/>
    <s v="Bank recs, recording of invoices"/>
    <x v="4"/>
    <x v="2"/>
  </r>
  <r>
    <d v="2024-03-25T00:00:00"/>
    <x v="14"/>
    <s v="Client Meeting"/>
    <n v="0.08"/>
    <x v="34"/>
    <s v="No"/>
    <s v="Short discussion with Rose re access"/>
    <x v="4"/>
    <x v="2"/>
  </r>
  <r>
    <d v="2024-03-25T00:00:00"/>
    <x v="14"/>
    <s v="General"/>
    <n v="0.08"/>
    <x v="11"/>
    <s v="No"/>
    <s v="Checking emails"/>
    <x v="4"/>
    <x v="2"/>
  </r>
  <r>
    <d v="2024-03-25T00:00:00"/>
    <x v="14"/>
    <s v="Learning &amp; Development"/>
    <n v="0.78"/>
    <x v="11"/>
    <s v="No"/>
    <s v="Wyzed training"/>
    <x v="4"/>
    <x v="2"/>
  </r>
  <r>
    <d v="2024-03-25T00:00:00"/>
    <x v="14"/>
    <s v="Meetings"/>
    <n v="0.68"/>
    <x v="11"/>
    <s v="No"/>
    <s v="Team meeting"/>
    <x v="4"/>
    <x v="2"/>
  </r>
  <r>
    <d v="2024-03-25T00:00:00"/>
    <x v="14"/>
    <s v="Payroll Processing"/>
    <n v="0.13"/>
    <x v="34"/>
    <s v="Yes"/>
    <s v="Clearing payroll inbox"/>
    <x v="4"/>
    <x v="2"/>
  </r>
  <r>
    <d v="2024-03-25T00:00:00"/>
    <x v="14"/>
    <s v="Payroll Processing"/>
    <n v="0.25"/>
    <x v="33"/>
    <s v="Yes"/>
    <s v="Collating timesheets and leave reports for Keypay clean-up"/>
    <x v="4"/>
    <x v="2"/>
  </r>
  <r>
    <d v="2024-03-25T00:00:00"/>
    <x v="14"/>
    <s v="Payroll Processing"/>
    <n v="0.55000000000000004"/>
    <x v="78"/>
    <s v="Yes"/>
    <s v="Payroll - entered in Xero, Payroll Rec"/>
    <x v="4"/>
    <x v="2"/>
  </r>
  <r>
    <d v="2024-03-25T00:00:00"/>
    <x v="14"/>
    <s v="Payroll Processing"/>
    <n v="0.57999999999999996"/>
    <x v="34"/>
    <s v="Yes"/>
    <s v="Clearing inbox"/>
    <x v="4"/>
    <x v="2"/>
  </r>
  <r>
    <d v="2024-03-25T00:00:00"/>
    <x v="14"/>
    <s v="Payroll Processing"/>
    <n v="0.57999999999999996"/>
    <x v="33"/>
    <s v="Yes"/>
    <s v="Checking timesheets, action items, leaves"/>
    <x v="4"/>
    <x v="2"/>
  </r>
  <r>
    <d v="2024-03-25T00:00:00"/>
    <x v="15"/>
    <s v="Annual Leave"/>
    <n v="8"/>
    <x v="11"/>
    <s v="No"/>
    <m/>
    <x v="4"/>
    <x v="2"/>
  </r>
  <r>
    <d v="2024-03-25T00:00:00"/>
    <x v="16"/>
    <s v="Bookkeeping"/>
    <n v="2.85"/>
    <x v="35"/>
    <s v="Yes"/>
    <m/>
    <x v="4"/>
    <x v="2"/>
  </r>
  <r>
    <d v="2024-03-25T00:00:00"/>
    <x v="16"/>
    <s v="Meetings"/>
    <n v="0.17"/>
    <x v="11"/>
    <s v="No"/>
    <s v="Emails"/>
    <x v="4"/>
    <x v="2"/>
  </r>
  <r>
    <d v="2024-03-25T00:00:00"/>
    <x v="16"/>
    <s v="Payroll Processing"/>
    <n v="1.17"/>
    <x v="1"/>
    <s v="Yes"/>
    <s v="Sort files in client drive"/>
    <x v="4"/>
    <x v="2"/>
  </r>
  <r>
    <d v="2024-03-25T00:00:00"/>
    <x v="16"/>
    <s v="Payroll Processing"/>
    <n v="1.38"/>
    <x v="75"/>
    <s v="Yes"/>
    <s v="Weekly payroll &amp; Redundancy calculation "/>
    <x v="4"/>
    <x v="2"/>
  </r>
  <r>
    <d v="2024-03-25T00:00:00"/>
    <x v="16"/>
    <s v="Payroll Processing"/>
    <n v="2.5"/>
    <x v="75"/>
    <s v="Yes"/>
    <m/>
    <x v="4"/>
    <x v="2"/>
  </r>
  <r>
    <d v="2024-03-25T00:00:00"/>
    <x v="18"/>
    <s v="Bookkeeping"/>
    <n v="0.45"/>
    <x v="39"/>
    <s v="Yes"/>
    <s v="AP list, bank recon, email query"/>
    <x v="4"/>
    <x v="2"/>
  </r>
  <r>
    <d v="2024-03-25T00:00:00"/>
    <x v="18"/>
    <s v="Bookkeeping"/>
    <n v="0.5"/>
    <x v="36"/>
    <s v="Yes"/>
    <s v="ap items, check invisalign invoices, bank recon"/>
    <x v="4"/>
    <x v="2"/>
  </r>
  <r>
    <d v="2024-03-25T00:00:00"/>
    <x v="18"/>
    <s v="Bookkeeping"/>
    <n v="0.5"/>
    <x v="27"/>
    <s v="Yes"/>
    <s v="Created folder and saved payroll reports for FY23"/>
    <x v="4"/>
    <x v="2"/>
  </r>
  <r>
    <d v="2024-03-25T00:00:00"/>
    <x v="18"/>
    <s v="Bookkeeping"/>
    <n v="0.57999999999999996"/>
    <x v="39"/>
    <s v="Yes"/>
    <s v="AP items, bank recon, upload payroll reports into client folder current FY"/>
    <x v="4"/>
    <x v="2"/>
  </r>
  <r>
    <d v="2024-03-25T00:00:00"/>
    <x v="18"/>
    <s v="Bookkeeping"/>
    <n v="0.92"/>
    <x v="41"/>
    <s v="Yes"/>
    <m/>
    <x v="4"/>
    <x v="2"/>
  </r>
  <r>
    <d v="2024-03-25T00:00:00"/>
    <x v="18"/>
    <s v="Bookkeeping"/>
    <n v="1.28"/>
    <x v="37"/>
    <s v="Yes"/>
    <s v="ap items, sent ap list to clients, bank recon"/>
    <x v="4"/>
    <x v="2"/>
  </r>
  <r>
    <d v="2024-03-25T00:00:00"/>
    <x v="18"/>
    <s v="Bookkeeping"/>
    <n v="1.78"/>
    <x v="27"/>
    <s v="Yes"/>
    <m/>
    <x v="4"/>
    <x v="2"/>
  </r>
  <r>
    <d v="2024-03-25T00:00:00"/>
    <x v="18"/>
    <s v="Bookkeeping"/>
    <n v="1.98"/>
    <x v="40"/>
    <s v="Yes"/>
    <m/>
    <x v="4"/>
    <x v="2"/>
  </r>
  <r>
    <d v="2024-03-25T00:00:00"/>
    <x v="19"/>
    <s v="Automations - Surefire"/>
    <n v="8"/>
    <x v="11"/>
    <s v="No"/>
    <s v="Surefire Automation"/>
    <x v="4"/>
    <x v="2"/>
  </r>
  <r>
    <d v="2024-03-25T00:00:00"/>
    <x v="20"/>
    <s v="Automations - Skylife"/>
    <n v="8"/>
    <x v="11"/>
    <s v="No"/>
    <m/>
    <x v="4"/>
    <x v="2"/>
  </r>
  <r>
    <d v="2024-03-25T00:00:00"/>
    <x v="21"/>
    <s v="Automations"/>
    <n v="8"/>
    <x v="11"/>
    <s v="No"/>
    <s v="Run: LOC Dev: Holdsworth Update Automation"/>
    <x v="4"/>
    <x v="2"/>
  </r>
  <r>
    <d v="2024-03-25T00:00:00"/>
    <x v="22"/>
    <s v="Bookkeeping"/>
    <n v="0.05"/>
    <x v="51"/>
    <s v="Yes"/>
    <s v="Hubdoc and bank rec, journal for reimbursements"/>
    <x v="4"/>
    <x v="2"/>
  </r>
  <r>
    <d v="2024-03-25T00:00:00"/>
    <x v="22"/>
    <s v="Bookkeeping"/>
    <n v="0.1"/>
    <x v="22"/>
    <s v="Yes"/>
    <s v="Hubdoc and bank rec"/>
    <x v="4"/>
    <x v="2"/>
  </r>
  <r>
    <d v="2024-03-25T00:00:00"/>
    <x v="22"/>
    <s v="Bookkeeping"/>
    <n v="0.1"/>
    <x v="20"/>
    <s v="Yes"/>
    <s v="HubDoc and bank reconciliation"/>
    <x v="4"/>
    <x v="2"/>
  </r>
  <r>
    <d v="2024-03-25T00:00:00"/>
    <x v="22"/>
    <s v="Bookkeeping"/>
    <n v="0.12"/>
    <x v="103"/>
    <s v="Yes"/>
    <s v="Hubdoc and bank rec"/>
    <x v="4"/>
    <x v="2"/>
  </r>
  <r>
    <d v="2024-03-25T00:00:00"/>
    <x v="22"/>
    <s v="Bookkeeping"/>
    <n v="0.15"/>
    <x v="49"/>
    <s v="Yes"/>
    <s v="Hubdoc and bank rec"/>
    <x v="4"/>
    <x v="2"/>
  </r>
  <r>
    <d v="2024-03-25T00:00:00"/>
    <x v="22"/>
    <s v="Bookkeeping"/>
    <n v="0.2"/>
    <x v="50"/>
    <s v="Yes"/>
    <s v="Email rec queries etc"/>
    <x v="4"/>
    <x v="2"/>
  </r>
  <r>
    <d v="2024-03-25T00:00:00"/>
    <x v="22"/>
    <s v="Bookkeeping"/>
    <n v="0.25"/>
    <x v="50"/>
    <s v="Yes"/>
    <s v="Review Asana tasks and push bills from HubDoc, bank reconciliation"/>
    <x v="4"/>
    <x v="2"/>
  </r>
  <r>
    <d v="2024-03-25T00:00:00"/>
    <x v="22"/>
    <s v="Bookkeeping"/>
    <n v="0.35"/>
    <x v="42"/>
    <s v="Yes"/>
    <s v="AP, check bills, setup Amex payment, draft email"/>
    <x v="4"/>
    <x v="2"/>
  </r>
  <r>
    <d v="2024-03-25T00:00:00"/>
    <x v="22"/>
    <s v="Bookkeeping"/>
    <n v="0.42"/>
    <x v="19"/>
    <s v="Yes"/>
    <s v="Hub Doc and bank rec Recode office expenses from oporto (tech fees)"/>
    <x v="4"/>
    <x v="2"/>
  </r>
  <r>
    <d v="2024-03-25T00:00:00"/>
    <x v="22"/>
    <s v="Bookkeeping"/>
    <n v="0.56999999999999995"/>
    <x v="26"/>
    <s v="Yes"/>
    <s v="Review suspense transactions to FY2023 for tax"/>
    <x v="4"/>
    <x v="2"/>
  </r>
  <r>
    <d v="2024-03-25T00:00:00"/>
    <x v="22"/>
    <s v="Bookkeeping"/>
    <n v="0.63"/>
    <x v="19"/>
    <s v="Yes"/>
    <s v="Including reconciliation of Summertime Chicken and Oporto statements"/>
    <x v="4"/>
    <x v="2"/>
  </r>
  <r>
    <d v="2024-03-25T00:00:00"/>
    <x v="22"/>
    <s v="Bookkeeping"/>
    <n v="1.4"/>
    <x v="26"/>
    <s v="Yes"/>
    <s v="Follow up file for tax, send to Sam"/>
    <x v="4"/>
    <x v="2"/>
  </r>
  <r>
    <d v="2024-03-25T00:00:00"/>
    <x v="22"/>
    <s v="Client Manager"/>
    <n v="0.28000000000000003"/>
    <x v="34"/>
    <s v="Yes"/>
    <s v="Emails"/>
    <x v="4"/>
    <x v="2"/>
  </r>
  <r>
    <d v="2024-03-25T00:00:00"/>
    <x v="22"/>
    <s v="Client Manager"/>
    <n v="0.43"/>
    <x v="50"/>
    <s v="Yes"/>
    <s v="Coordination of queries and emaill to cient"/>
    <x v="4"/>
    <x v="2"/>
  </r>
  <r>
    <d v="2024-03-25T00:00:00"/>
    <x v="22"/>
    <s v="General"/>
    <n v="0.08"/>
    <x v="11"/>
    <s v="No"/>
    <s v="Emails"/>
    <x v="4"/>
    <x v="2"/>
  </r>
  <r>
    <d v="2024-03-25T00:00:00"/>
    <x v="22"/>
    <s v="General"/>
    <n v="0.32"/>
    <x v="11"/>
    <s v="No"/>
    <s v="Teams"/>
    <x v="4"/>
    <x v="2"/>
  </r>
  <r>
    <d v="2024-03-25T00:00:00"/>
    <x v="22"/>
    <s v="General"/>
    <n v="0.67"/>
    <x v="11"/>
    <s v="No"/>
    <s v="Emails, Teams messages, asana Check all Asana Projects Filing from downloads folder"/>
    <x v="4"/>
    <x v="2"/>
  </r>
  <r>
    <d v="2024-03-25T00:00:00"/>
    <x v="22"/>
    <s v="Meetings"/>
    <n v="0.35"/>
    <x v="11"/>
    <s v="No"/>
    <s v="Sydney meeting and calendar updates"/>
    <x v="4"/>
    <x v="2"/>
  </r>
  <r>
    <d v="2024-03-25T00:00:00"/>
    <x v="22"/>
    <s v="Payroll Processing"/>
    <n v="0.13"/>
    <x v="34"/>
    <s v="Yes"/>
    <s v="Attempt to call ATO re PAYG - no response "/>
    <x v="4"/>
    <x v="2"/>
  </r>
  <r>
    <d v="2024-03-25T00:00:00"/>
    <x v="22"/>
    <s v="Payroll Processing"/>
    <n v="1.23"/>
    <x v="34"/>
    <s v="Yes"/>
    <s v="Finance team meeting"/>
    <x v="4"/>
    <x v="2"/>
  </r>
  <r>
    <d v="2024-03-25T00:00:00"/>
    <x v="23"/>
    <s v="Annual Leave"/>
    <n v="8"/>
    <x v="11"/>
    <s v="No"/>
    <m/>
    <x v="4"/>
    <x v="2"/>
  </r>
  <r>
    <d v="2024-03-25T00:00:00"/>
    <x v="48"/>
    <s v="Meetings"/>
    <n v="0.25"/>
    <x v="11"/>
    <s v="No"/>
    <s v="Weekly Team meeting"/>
    <x v="4"/>
    <x v="2"/>
  </r>
  <r>
    <d v="2024-03-25T00:00:00"/>
    <x v="48"/>
    <s v="P&amp;C Advisory"/>
    <n v="7.75"/>
    <x v="9"/>
    <s v="Yes"/>
    <s v="Check emails and Teams messages. Meeting with CEO to discuss restructure of AF business, and people management training course for leaders.  Research people management training information and put together a program for leaders.  Review MKP LMS curriculum.  Put together survey on AF gap analysis for Brokers, and prepare on Employee Connect, then test, then send out to individuals - liaise with CEO on same.  Employee Connect support phone conversations to troubleshoot problems.  Download responses from EC for employees and send to CEO. "/>
    <x v="4"/>
    <x v="2"/>
  </r>
  <r>
    <d v="2024-03-25T00:00:00"/>
    <x v="24"/>
    <s v="Bookkeeping"/>
    <n v="0.3"/>
    <x v="46"/>
    <s v="Yes"/>
    <m/>
    <x v="4"/>
    <x v="2"/>
  </r>
  <r>
    <d v="2024-03-25T00:00:00"/>
    <x v="24"/>
    <s v="Bookkeeping"/>
    <n v="0.75"/>
    <x v="54"/>
    <s v="Yes"/>
    <m/>
    <x v="4"/>
    <x v="2"/>
  </r>
  <r>
    <d v="2024-03-25T00:00:00"/>
    <x v="24"/>
    <s v="Bookkeeping"/>
    <n v="7.65"/>
    <x v="15"/>
    <s v="Yes"/>
    <m/>
    <x v="4"/>
    <x v="2"/>
  </r>
  <r>
    <d v="2024-03-25T00:00:00"/>
    <x v="26"/>
    <s v="Debt Collection"/>
    <n v="2.8"/>
    <x v="11"/>
    <s v="No"/>
    <m/>
    <x v="4"/>
    <x v="2"/>
  </r>
  <r>
    <d v="2024-03-25T00:00:00"/>
    <x v="26"/>
    <s v="Debt Collection"/>
    <n v="4"/>
    <x v="15"/>
    <s v="Yes"/>
    <m/>
    <x v="4"/>
    <x v="2"/>
  </r>
  <r>
    <d v="2024-03-25T00:00:00"/>
    <x v="26"/>
    <s v="General"/>
    <n v="0.5"/>
    <x v="11"/>
    <s v="No"/>
    <s v="break"/>
    <x v="4"/>
    <x v="2"/>
  </r>
  <r>
    <d v="2024-03-25T00:00:00"/>
    <x v="26"/>
    <s v="Meetings"/>
    <n v="0.7"/>
    <x v="11"/>
    <s v="No"/>
    <s v="huddle"/>
    <x v="4"/>
    <x v="2"/>
  </r>
  <r>
    <d v="2024-03-25T00:00:00"/>
    <x v="28"/>
    <s v="Bookkeeping"/>
    <n v="2.4300000000000002"/>
    <x v="57"/>
    <s v="Yes"/>
    <s v="Bank reconciliation LOC INc Postscript bills raise to xero Checking again the shopify installment clearing account Checked the statement of Corporate traveller "/>
    <x v="4"/>
    <x v="2"/>
  </r>
  <r>
    <d v="2024-03-25T00:00:00"/>
    <x v="28"/>
    <s v="Bookkeeping"/>
    <n v="3.5"/>
    <x v="57"/>
    <s v="Yes"/>
    <s v="Email Management Bills raise to xero bank reconciliation BM  Check and approve sales to a2x"/>
    <x v="4"/>
    <x v="2"/>
  </r>
  <r>
    <d v="2024-03-25T00:00:00"/>
    <x v="28"/>
    <s v="General"/>
    <n v="0.5"/>
    <x v="11"/>
    <s v="No"/>
    <s v="Break"/>
    <x v="4"/>
    <x v="2"/>
  </r>
  <r>
    <d v="2024-03-25T00:00:00"/>
    <x v="28"/>
    <s v="Payroll Processing"/>
    <n v="1.63"/>
    <x v="57"/>
    <s v="Yes"/>
    <s v="Check Employee list Vs Xero Prepared payroll employee summary report and check and make a note to the variance.  Sent the draft payslip and payroll report for approval Payroll payment upload to combizz Sent payslip and filed to ATO"/>
    <x v="4"/>
    <x v="2"/>
  </r>
  <r>
    <d v="2024-03-25T00:00:00"/>
    <x v="29"/>
    <s v="IT"/>
    <n v="9"/>
    <x v="11"/>
    <s v="No"/>
    <s v="Support Create account and configure for new Staff"/>
    <x v="4"/>
    <x v="2"/>
  </r>
  <r>
    <d v="2024-03-25T00:00:00"/>
    <x v="30"/>
    <s v="Bookkeeping"/>
    <n v="2.5299999999999998"/>
    <x v="58"/>
    <s v="Yes"/>
    <s v="Email Management Bills Processing  Invoice Processing "/>
    <x v="4"/>
    <x v="2"/>
  </r>
  <r>
    <d v="2024-03-25T00:00:00"/>
    <x v="30"/>
    <s v="Bookkeeping"/>
    <n v="3.62"/>
    <x v="26"/>
    <s v="Yes"/>
    <s v="Email Management Bills processing  Bank Recon "/>
    <x v="4"/>
    <x v="2"/>
  </r>
  <r>
    <d v="2024-03-25T00:00:00"/>
    <x v="30"/>
    <s v="General"/>
    <n v="0.95"/>
    <x v="11"/>
    <s v="No"/>
    <s v="Email Management "/>
    <x v="4"/>
    <x v="2"/>
  </r>
  <r>
    <d v="2024-03-25T00:00:00"/>
    <x v="30"/>
    <s v="Meetings"/>
    <n v="0.72"/>
    <x v="11"/>
    <s v="No"/>
    <s v="Important meeting with Team Ann "/>
    <x v="4"/>
    <x v="2"/>
  </r>
  <r>
    <d v="2024-03-25T00:00:00"/>
    <x v="30"/>
    <s v="Payroll Processing"/>
    <n v="0.2"/>
    <x v="43"/>
    <s v="Yes"/>
    <s v="checking  inbox "/>
    <x v="4"/>
    <x v="2"/>
  </r>
  <r>
    <d v="2024-03-25T00:00:00"/>
    <x v="31"/>
    <s v="Accounts"/>
    <n v="0.23"/>
    <x v="56"/>
    <s v="No"/>
    <s v="Checking of summary of all expenses for the company outing needed by Gen."/>
    <x v="4"/>
    <x v="2"/>
  </r>
  <r>
    <d v="2024-03-25T00:00:00"/>
    <x v="31"/>
    <s v="Accounts"/>
    <n v="0.32"/>
    <x v="56"/>
    <s v="No"/>
    <s v="Call with RJ for the pending/other tasks before AL"/>
    <x v="4"/>
    <x v="2"/>
  </r>
  <r>
    <d v="2024-03-25T00:00:00"/>
    <x v="31"/>
    <s v="Accounts"/>
    <n v="0.63"/>
    <x v="11"/>
    <s v="No"/>
    <s v="Timesheet checking and coordination for the unsubmitted TS."/>
    <x v="4"/>
    <x v="2"/>
  </r>
  <r>
    <d v="2024-03-25T00:00:00"/>
    <x v="31"/>
    <s v="Accounts"/>
    <n v="0.67"/>
    <x v="11"/>
    <s v="No"/>
    <s v="Respond to emails and other approved emails from Nick.  Attached to bills in Xero."/>
    <x v="4"/>
    <x v="2"/>
  </r>
  <r>
    <d v="2024-03-25T00:00:00"/>
    <x v="31"/>
    <s v="Accounts"/>
    <n v="0.8"/>
    <x v="11"/>
    <s v="No"/>
    <s v="Check bills and laptop inquiry (Sharry) and enter bills. Request Nick's approval."/>
    <x v="4"/>
    <x v="2"/>
  </r>
  <r>
    <d v="2024-03-25T00:00:00"/>
    <x v="31"/>
    <s v="Accounts"/>
    <n v="1.25"/>
    <x v="11"/>
    <s v="No"/>
    <s v="Process bills for Elena and Angela Farrell. Checking of details and TS. Coordinate to Carly approval of bill for Elena also."/>
    <x v="4"/>
    <x v="2"/>
  </r>
  <r>
    <d v="2024-03-25T00:00:00"/>
    <x v="31"/>
    <s v="Bookkeeping"/>
    <n v="0.17"/>
    <x v="11"/>
    <s v="No"/>
    <s v="Invoice preparation and sending for Daniel Scheuch. Setup of contact details."/>
    <x v="4"/>
    <x v="2"/>
  </r>
  <r>
    <d v="2024-03-25T00:00:00"/>
    <x v="31"/>
    <s v="Bookkeeping"/>
    <n v="0.62"/>
    <x v="11"/>
    <s v="No"/>
    <s v="Process bank recs and check the Xero invoice on clients access (Billing Accounts)"/>
    <x v="4"/>
    <x v="2"/>
  </r>
  <r>
    <d v="2024-03-25T00:00:00"/>
    <x v="31"/>
    <s v="Bookkeeping"/>
    <n v="0.82"/>
    <x v="11"/>
    <s v="No"/>
    <s v="Process and check bills for payment. Catch up email and respond."/>
    <x v="4"/>
    <x v="2"/>
  </r>
  <r>
    <d v="2024-03-25T00:00:00"/>
    <x v="31"/>
    <s v="Bookkeeping"/>
    <n v="2.95"/>
    <x v="11"/>
    <s v="No"/>
    <s v="Timesheet review and invoice update for various CMs."/>
    <x v="4"/>
    <x v="2"/>
  </r>
  <r>
    <d v="2024-03-25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2"/>
  </r>
  <r>
    <d v="2024-03-25T00:00:00"/>
    <x v="33"/>
    <s v="Annual Leave"/>
    <n v="5"/>
    <x v="11"/>
    <s v="No"/>
    <m/>
    <x v="4"/>
    <x v="2"/>
  </r>
  <r>
    <d v="2024-03-25T00:00:00"/>
    <x v="34"/>
    <s v="Client Manager"/>
    <n v="0.05"/>
    <x v="61"/>
    <s v="No"/>
    <s v="Follow up on Asana tasks"/>
    <x v="4"/>
    <x v="2"/>
  </r>
  <r>
    <d v="2024-03-25T00:00:00"/>
    <x v="34"/>
    <s v="Client Manager"/>
    <n v="0.17"/>
    <x v="84"/>
    <s v="No"/>
    <s v="Follow up on new scope and payment"/>
    <x v="4"/>
    <x v="2"/>
  </r>
  <r>
    <d v="2024-03-25T00:00:00"/>
    <x v="34"/>
    <s v="Client Manager"/>
    <n v="0.17"/>
    <x v="75"/>
    <s v="No"/>
    <s v="Emails"/>
    <x v="4"/>
    <x v="2"/>
  </r>
  <r>
    <d v="2024-03-25T00:00:00"/>
    <x v="34"/>
    <s v="Client Manager"/>
    <n v="0.5"/>
    <x v="96"/>
    <s v="No"/>
    <s v="Meeting with Carly"/>
    <x v="4"/>
    <x v="2"/>
  </r>
  <r>
    <d v="2024-03-25T00:00:00"/>
    <x v="34"/>
    <s v="Client Manager"/>
    <n v="0.62"/>
    <x v="0"/>
    <s v="Yes"/>
    <s v="Meeting with Stuart on MtM and month end prep"/>
    <x v="4"/>
    <x v="2"/>
  </r>
  <r>
    <d v="2024-03-25T00:00:00"/>
    <x v="34"/>
    <s v="Client Manager"/>
    <n v="0.63"/>
    <x v="96"/>
    <s v="No"/>
    <s v="Prep for meeting Procedure for Customer Analysis + Improvement of model"/>
    <x v="4"/>
    <x v="2"/>
  </r>
  <r>
    <d v="2024-03-25T00:00:00"/>
    <x v="34"/>
    <s v="Client Manager"/>
    <n v="2.65"/>
    <x v="0"/>
    <s v="No"/>
    <s v="Follow up on Asana tasks"/>
    <x v="4"/>
    <x v="2"/>
  </r>
  <r>
    <d v="2024-03-25T00:00:00"/>
    <x v="34"/>
    <s v="General"/>
    <n v="1.28"/>
    <x v="11"/>
    <s v="No"/>
    <s v="Emails, Teams, Asana"/>
    <x v="4"/>
    <x v="2"/>
  </r>
  <r>
    <d v="2024-03-25T00:00:00"/>
    <x v="34"/>
    <s v="Meetings"/>
    <n v="0.22"/>
    <x v="11"/>
    <s v="No"/>
    <s v="Sydney weekly meeting"/>
    <x v="4"/>
    <x v="2"/>
  </r>
  <r>
    <d v="2024-03-25T00:00:00"/>
    <x v="35"/>
    <s v="Bookkeeping"/>
    <n v="0.1"/>
    <x v="33"/>
    <s v="Yes"/>
    <m/>
    <x v="4"/>
    <x v="2"/>
  </r>
  <r>
    <d v="2024-03-25T00:00:00"/>
    <x v="35"/>
    <s v="Bookkeeping"/>
    <n v="0.9"/>
    <x v="33"/>
    <s v="Yes"/>
    <s v="BR. prepare Feb Account transactions. email"/>
    <x v="4"/>
    <x v="2"/>
  </r>
  <r>
    <d v="2024-03-25T00:00:00"/>
    <x v="35"/>
    <s v="Bookkeeping"/>
    <n v="1.5"/>
    <x v="33"/>
    <s v="Yes"/>
    <s v="emails, BR"/>
    <x v="4"/>
    <x v="2"/>
  </r>
  <r>
    <d v="2024-03-25T00:00:00"/>
    <x v="35"/>
    <s v="Meetings"/>
    <n v="0.73"/>
    <x v="11"/>
    <s v="No"/>
    <s v="Team meeting"/>
    <x v="4"/>
    <x v="2"/>
  </r>
  <r>
    <d v="2024-03-25T00:00:00"/>
    <x v="35"/>
    <s v="Payroll Processing"/>
    <n v="0.42"/>
    <x v="29"/>
    <s v="Yes"/>
    <m/>
    <x v="4"/>
    <x v="2"/>
  </r>
  <r>
    <d v="2024-03-25T00:00:00"/>
    <x v="35"/>
    <s v="Payroll Processing"/>
    <n v="1.1299999999999999"/>
    <x v="29"/>
    <s v="Yes"/>
    <s v="Leave application and Leave recs vs. Deputy 01 Jan to 10 Mar"/>
    <x v="4"/>
    <x v="2"/>
  </r>
  <r>
    <d v="2024-03-25T00:00:00"/>
    <x v="35"/>
    <s v="Payroll Processing"/>
    <n v="1.63"/>
    <x v="31"/>
    <s v="Yes"/>
    <m/>
    <x v="4"/>
    <x v="2"/>
  </r>
  <r>
    <d v="2024-03-25T00:00:00"/>
    <x v="35"/>
    <s v="Payroll Processing"/>
    <n v="1.65"/>
    <x v="31"/>
    <s v="Yes"/>
    <s v="payroll &amp; leave recs 01Jan to 10Mar"/>
    <x v="4"/>
    <x v="2"/>
  </r>
  <r>
    <d v="2024-03-25T00:00:00"/>
    <x v="36"/>
    <s v="Bookkeeping"/>
    <n v="0.83"/>
    <x v="16"/>
    <s v="Yes"/>
    <s v="Catchup[ with Sylvie"/>
    <x v="4"/>
    <x v="2"/>
  </r>
  <r>
    <d v="2024-03-25T00:00:00"/>
    <x v="36"/>
    <s v="Bookkeeping"/>
    <n v="1"/>
    <x v="16"/>
    <s v="Yes"/>
    <s v="Bank recs"/>
    <x v="4"/>
    <x v="2"/>
  </r>
  <r>
    <d v="2024-03-25T00:00:00"/>
    <x v="36"/>
    <s v="Bookkeeping"/>
    <n v="2.0299999999999998"/>
    <x v="35"/>
    <s v="Yes"/>
    <m/>
    <x v="4"/>
    <x v="2"/>
  </r>
  <r>
    <d v="2024-03-25T00:00:00"/>
    <x v="36"/>
    <s v="General"/>
    <n v="0.45"/>
    <x v="11"/>
    <s v="No"/>
    <s v="Dex emails"/>
    <x v="4"/>
    <x v="2"/>
  </r>
  <r>
    <d v="2024-03-25T00:00:00"/>
    <x v="36"/>
    <s v="Management Reporting"/>
    <n v="0.3"/>
    <x v="16"/>
    <s v="Yes"/>
    <s v="AL leave provision for BELCR"/>
    <x v="4"/>
    <x v="2"/>
  </r>
  <r>
    <d v="2024-03-25T00:00:00"/>
    <x v="36"/>
    <s v="Management Reporting"/>
    <n v="0.3"/>
    <x v="16"/>
    <s v="Yes"/>
    <s v="Bellinger Asset Management - add AL and LSL liability journal"/>
    <x v="4"/>
    <x v="2"/>
  </r>
  <r>
    <d v="2024-03-25T00:00:00"/>
    <x v="36"/>
    <s v="Management Reporting"/>
    <n v="3.53"/>
    <x v="35"/>
    <s v="Yes"/>
    <m/>
    <x v="4"/>
    <x v="2"/>
  </r>
  <r>
    <d v="2024-03-25T00:00:00"/>
    <x v="37"/>
    <s v="General"/>
    <n v="3.02"/>
    <x v="11"/>
    <s v="No"/>
    <s v="Sending BIR requirements to Shirley Study FCT Cash flow Client referral update "/>
    <x v="4"/>
    <x v="2"/>
  </r>
  <r>
    <d v="2024-03-25T00:00:00"/>
    <x v="37"/>
    <s v="General"/>
    <n v="4.9800000000000004"/>
    <x v="11"/>
    <s v="No"/>
    <s v="Weekly billable reporting Holiday team arrangements Weekly billable-updating per new calcs Handover monitoring Rose Onboarding prep for new hires"/>
    <x v="4"/>
    <x v="2"/>
  </r>
  <r>
    <d v="2024-03-25T00:00:00"/>
    <x v="38"/>
    <s v="Bookkeeping"/>
    <n v="8.7200000000000006"/>
    <x v="15"/>
    <s v="Yes"/>
    <m/>
    <x v="4"/>
    <x v="2"/>
  </r>
  <r>
    <d v="2024-03-25T00:00:00"/>
    <x v="39"/>
    <s v="Bookkeeping"/>
    <n v="1.45"/>
    <x v="28"/>
    <s v="Yes"/>
    <s v="Cash clearing recon"/>
    <x v="4"/>
    <x v="2"/>
  </r>
  <r>
    <d v="2024-03-25T00:00:00"/>
    <x v="39"/>
    <s v="General"/>
    <n v="0.5"/>
    <x v="11"/>
    <s v="No"/>
    <s v="Break"/>
    <x v="4"/>
    <x v="2"/>
  </r>
  <r>
    <d v="2024-03-25T00:00:00"/>
    <x v="39"/>
    <s v="General"/>
    <n v="0.56999999999999995"/>
    <x v="11"/>
    <s v="No"/>
    <s v="Handover file update schedule "/>
    <x v="4"/>
    <x v="2"/>
  </r>
  <r>
    <d v="2024-03-25T00:00:00"/>
    <x v="39"/>
    <s v="General"/>
    <n v="0.67"/>
    <x v="11"/>
    <s v="No"/>
    <s v="Updating handover list, teams messages with Maan"/>
    <x v="4"/>
    <x v="2"/>
  </r>
  <r>
    <d v="2024-03-25T00:00:00"/>
    <x v="39"/>
    <s v="General"/>
    <n v="0.9"/>
    <x v="11"/>
    <s v="No"/>
    <s v="Introduction to Sherly to clients Updating handover list"/>
    <x v="4"/>
    <x v="2"/>
  </r>
  <r>
    <d v="2024-03-25T00:00:00"/>
    <x v="39"/>
    <s v="General"/>
    <n v="1.05"/>
    <x v="11"/>
    <s v="No"/>
    <s v="Update handover and introduce Sherly to CRI/VGS"/>
    <x v="4"/>
    <x v="2"/>
  </r>
  <r>
    <d v="2024-03-25T00:00:00"/>
    <x v="39"/>
    <s v="Meetings"/>
    <n v="1.63"/>
    <x v="11"/>
    <s v="No"/>
    <s v="Handover with Sherly- TSM The Service Manager ChronicleHQ Harmony Build Pty Ltd  Request access from BIT "/>
    <x v="4"/>
    <x v="2"/>
  </r>
  <r>
    <d v="2024-03-25T00:00:00"/>
    <x v="39"/>
    <s v="Payroll Processing"/>
    <n v="0.25"/>
    <x v="57"/>
    <s v="Yes"/>
    <s v="Payroll review, handover to Sherly"/>
    <x v="4"/>
    <x v="2"/>
  </r>
  <r>
    <d v="2024-03-25T00:00:00"/>
    <x v="39"/>
    <s v="Payroll Processing"/>
    <n v="0.48"/>
    <x v="34"/>
    <s v="Yes"/>
    <s v="Payroll inbox, call with Guia to show how to give managers access in payroll"/>
    <x v="4"/>
    <x v="2"/>
  </r>
  <r>
    <d v="2024-03-25T00:00:00"/>
    <x v="39"/>
    <s v="Payroll Processing"/>
    <n v="0.73"/>
    <x v="15"/>
    <s v="Yes"/>
    <s v="Call with Sherly - leave request and leave balances report"/>
    <x v="4"/>
    <x v="2"/>
  </r>
  <r>
    <d v="2024-03-25T00:00:00"/>
    <x v="40"/>
    <s v="Financial Statements"/>
    <n v="0.57999999999999996"/>
    <x v="117"/>
    <s v="Yes"/>
    <s v="Format financial report"/>
    <x v="4"/>
    <x v="2"/>
  </r>
  <r>
    <d v="2024-03-25T00:00:00"/>
    <x v="41"/>
    <s v="Annual Leave"/>
    <n v="4"/>
    <x v="11"/>
    <s v="No"/>
    <m/>
    <x v="4"/>
    <x v="2"/>
  </r>
  <r>
    <d v="2024-03-25T00:00:00"/>
    <x v="41"/>
    <s v="Bookkeeping"/>
    <n v="1.42"/>
    <x v="36"/>
    <s v="Yes"/>
    <m/>
    <x v="4"/>
    <x v="2"/>
  </r>
  <r>
    <d v="2024-03-25T00:00:00"/>
    <x v="41"/>
    <s v="Bookkeeping"/>
    <n v="2.67"/>
    <x v="16"/>
    <s v="Yes"/>
    <s v="Inbox mgmt AP/AR Bank rec Accounts review"/>
    <x v="4"/>
    <x v="2"/>
  </r>
  <r>
    <d v="2024-03-25T00:00:00"/>
    <x v="42"/>
    <s v="Client Manager"/>
    <n v="0.25"/>
    <x v="33"/>
    <s v="Yes"/>
    <s v="Setup a new payee, do EFT payment via OSKO. Emails to Katherine/Shalisa"/>
    <x v="4"/>
    <x v="2"/>
  </r>
  <r>
    <d v="2024-03-25T00:00:00"/>
    <x v="42"/>
    <s v="Client Manager"/>
    <n v="0.33"/>
    <x v="73"/>
    <s v="Yes"/>
    <s v="Attend to email from Xavi re sale of a supplier to 3rd party. Email Sam to get further assistance"/>
    <x v="4"/>
    <x v="2"/>
  </r>
  <r>
    <d v="2024-03-25T00:00:00"/>
    <x v="42"/>
    <s v="Client Manager"/>
    <n v="0.5"/>
    <x v="36"/>
    <s v="Yes"/>
    <s v="Attend to email from Ish re AMEX AccessLine. Investigate further re features and respond accordingly "/>
    <x v="4"/>
    <x v="2"/>
  </r>
  <r>
    <d v="2024-03-25T00:00:00"/>
    <x v="42"/>
    <s v="Client Manager"/>
    <n v="0.5"/>
    <x v="27"/>
    <s v="Yes"/>
    <s v="Run FAR from Xero for FY 2023. Compare with tax dep as per ITR. Email Sam to confirm"/>
    <x v="4"/>
    <x v="2"/>
  </r>
  <r>
    <d v="2024-03-25T00:00:00"/>
    <x v="42"/>
    <s v="General"/>
    <n v="2"/>
    <x v="11"/>
    <s v="No"/>
    <s v="Weekly invoicing including for Sarah and Nica, follow up with James, assist Gen with ATO letters, Client Referral for Tec Torch, prepare and send to Nick for review, send to Nikhil, assist Mel re invoicing and Ezidebit. Liaise with Xavi/Nick re Sharry and Food Rascal. Further confirmation re Gen's time"/>
    <x v="4"/>
    <x v="2"/>
  </r>
  <r>
    <d v="2024-03-25T00:00:00"/>
    <x v="42"/>
    <s v="Sick Leave"/>
    <n v="4"/>
    <x v="11"/>
    <s v="No"/>
    <m/>
    <x v="4"/>
    <x v="2"/>
  </r>
  <r>
    <d v="2024-03-25T00:00:00"/>
    <x v="43"/>
    <s v="Adhoc Support &amp; Advice"/>
    <n v="1"/>
    <x v="15"/>
    <s v="Yes"/>
    <s v="Client onboarding assistance"/>
    <x v="4"/>
    <x v="2"/>
  </r>
  <r>
    <d v="2024-03-25T00:00:00"/>
    <x v="43"/>
    <s v="Bookkeeping"/>
    <n v="1"/>
    <x v="15"/>
    <s v="Yes"/>
    <s v=" Cashflow actual and forecast"/>
    <x v="4"/>
    <x v="2"/>
  </r>
  <r>
    <d v="2024-03-25T00:00:00"/>
    <x v="43"/>
    <s v="Client Meeting"/>
    <n v="1.5"/>
    <x v="15"/>
    <s v="Yes"/>
    <s v="Catch up meeting with James"/>
    <x v="4"/>
    <x v="2"/>
  </r>
  <r>
    <d v="2024-03-25T00:00:00"/>
    <x v="43"/>
    <s v="General"/>
    <n v="1.5"/>
    <x v="11"/>
    <s v="No"/>
    <s v="Email to client about the staffing"/>
    <x v="4"/>
    <x v="2"/>
  </r>
  <r>
    <d v="2024-03-25T00:00:00"/>
    <x v="43"/>
    <s v="General"/>
    <n v="2"/>
    <x v="11"/>
    <s v="No"/>
    <s v="Handover with Rose"/>
    <x v="4"/>
    <x v="2"/>
  </r>
  <r>
    <d v="2024-03-25T00:00:00"/>
    <x v="43"/>
    <s v="Meetings"/>
    <n v="1"/>
    <x v="11"/>
    <s v="No"/>
    <s v="Meeting with Carly"/>
    <x v="4"/>
    <x v="2"/>
  </r>
  <r>
    <d v="2024-03-25T00:00:00"/>
    <x v="44"/>
    <s v="Bookkeeping"/>
    <n v="0.2"/>
    <x v="16"/>
    <s v="Yes"/>
    <s v="Jamie query - MBA"/>
    <x v="4"/>
    <x v="2"/>
  </r>
  <r>
    <d v="2024-03-25T00:00:00"/>
    <x v="44"/>
    <s v="Bookkeeping"/>
    <n v="0.6"/>
    <x v="16"/>
    <s v="Yes"/>
    <s v="lodge super BAM and BELCR"/>
    <x v="4"/>
    <x v="2"/>
  </r>
  <r>
    <d v="2024-03-25T00:00:00"/>
    <x v="44"/>
    <s v="Bookkeeping"/>
    <n v="1"/>
    <x v="16"/>
    <s v="Yes"/>
    <s v="Queries/review on Bk rec, AP, BELCR"/>
    <x v="4"/>
    <x v="2"/>
  </r>
  <r>
    <d v="2024-03-25T00:00:00"/>
    <x v="44"/>
    <s v="Client Admin"/>
    <n v="0.8"/>
    <x v="11"/>
    <s v="No"/>
    <s v="Finalise and send invoices Capspace and Bellinger"/>
    <x v="4"/>
    <x v="2"/>
  </r>
  <r>
    <d v="2024-03-25T00:00:00"/>
    <x v="44"/>
    <s v="Client Manager"/>
    <n v="0.2"/>
    <x v="16"/>
    <s v="Yes"/>
    <s v="liaise with Sam"/>
    <x v="4"/>
    <x v="2"/>
  </r>
  <r>
    <d v="2024-03-25T00:00:00"/>
    <x v="44"/>
    <s v="Client Manager"/>
    <n v="0.2"/>
    <x v="67"/>
    <s v="Yes"/>
    <s v="query on super refund"/>
    <x v="4"/>
    <x v="2"/>
  </r>
  <r>
    <d v="2024-03-25T00:00:00"/>
    <x v="44"/>
    <s v="Client Manager"/>
    <n v="0.6"/>
    <x v="16"/>
    <s v="Yes"/>
    <s v="emails, liaise with team"/>
    <x v="4"/>
    <x v="2"/>
  </r>
  <r>
    <d v="2024-03-25T00:00:00"/>
    <x v="44"/>
    <s v="Client Manager"/>
    <n v="0.6"/>
    <x v="6"/>
    <s v="Yes"/>
    <s v="query Tracey re phone allowance, email to SG fleet, employees contracts"/>
    <x v="4"/>
    <x v="2"/>
  </r>
  <r>
    <d v="2024-03-25T00:00:00"/>
    <x v="44"/>
    <s v="Client Manager"/>
    <n v="0.8"/>
    <x v="16"/>
    <s v="Yes"/>
    <s v="Catch up with Rachele- OMS, Payroll, time allocated to Bellinger"/>
    <x v="4"/>
    <x v="2"/>
  </r>
  <r>
    <d v="2024-03-25T00:00:00"/>
    <x v="44"/>
    <s v="Client Meeting"/>
    <n v="0.5"/>
    <x v="6"/>
    <s v="Yes"/>
    <s v="Meeting Imogen Rae re Jeremy's contract + email to HR team "/>
    <x v="4"/>
    <x v="2"/>
  </r>
  <r>
    <d v="2024-03-25T00:00:00"/>
    <x v="44"/>
    <s v="General"/>
    <n v="1.6"/>
    <x v="11"/>
    <s v="No"/>
    <s v="catch up emails and teams received while on leave, Asana"/>
    <x v="4"/>
    <x v="2"/>
  </r>
  <r>
    <d v="2024-03-25T00:00:00"/>
    <x v="44"/>
    <s v="Meetings"/>
    <n v="0.3"/>
    <x v="11"/>
    <s v="No"/>
    <s v="weekly catch up "/>
    <x v="4"/>
    <x v="2"/>
  </r>
  <r>
    <d v="2024-03-25T00:00:00"/>
    <x v="45"/>
    <s v="HR/Recuitment"/>
    <n v="2.5"/>
    <x v="11"/>
    <s v="No"/>
    <m/>
    <x v="4"/>
    <x v="2"/>
  </r>
  <r>
    <d v="2024-03-26T00:00:00"/>
    <x v="0"/>
    <s v="Bookkeeping"/>
    <n v="7.0000000000000007E-2"/>
    <x v="6"/>
    <s v="Yes"/>
    <s v="AP and Email/Inbox Management"/>
    <x v="4"/>
    <x v="3"/>
  </r>
  <r>
    <d v="2024-03-26T00:00:00"/>
    <x v="0"/>
    <s v="Bookkeeping"/>
    <n v="7.0000000000000007E-2"/>
    <x v="0"/>
    <s v="Yes"/>
    <s v="Confirm all invoices from AgriChain are in Xero"/>
    <x v="4"/>
    <x v="3"/>
  </r>
  <r>
    <d v="2024-03-26T00:00:00"/>
    <x v="0"/>
    <s v="Bookkeeping"/>
    <n v="7.0000000000000007E-2"/>
    <x v="0"/>
    <s v="Yes"/>
    <s v="Publish bills in Hubdoc"/>
    <x v="4"/>
    <x v="3"/>
  </r>
  <r>
    <d v="2024-03-26T00:00:00"/>
    <x v="0"/>
    <s v="Bookkeeping"/>
    <n v="0.15"/>
    <x v="6"/>
    <s v="Yes"/>
    <s v="Accounts Receivable"/>
    <x v="4"/>
    <x v="3"/>
  </r>
  <r>
    <d v="2024-03-26T00:00:00"/>
    <x v="0"/>
    <s v="Bookkeeping"/>
    <n v="0.18"/>
    <x v="1"/>
    <s v="Yes"/>
    <s v="Clear AP inbox and Submit bills for approval in Xero"/>
    <x v="4"/>
    <x v="3"/>
  </r>
  <r>
    <d v="2024-03-26T00:00:00"/>
    <x v="0"/>
    <s v="Bookkeeping"/>
    <n v="0.22"/>
    <x v="0"/>
    <s v="Yes"/>
    <s v="Bank Reconciliation and Email/Inbox Management"/>
    <x v="4"/>
    <x v="3"/>
  </r>
  <r>
    <d v="2024-03-26T00:00:00"/>
    <x v="0"/>
    <s v="Bookkeeping"/>
    <n v="0.22"/>
    <x v="3"/>
    <s v="Yes"/>
    <s v="Accounts Payable"/>
    <x v="4"/>
    <x v="3"/>
  </r>
  <r>
    <d v="2024-03-26T00:00:00"/>
    <x v="0"/>
    <s v="Bookkeeping"/>
    <n v="0.23"/>
    <x v="13"/>
    <s v="Yes"/>
    <s v="Bank Reconciliation"/>
    <x v="4"/>
    <x v="3"/>
  </r>
  <r>
    <d v="2024-03-26T00:00:00"/>
    <x v="0"/>
    <s v="Bookkeeping"/>
    <n v="0.23"/>
    <x v="5"/>
    <s v="Yes"/>
    <s v="AP and Email/Inbox Management"/>
    <x v="4"/>
    <x v="3"/>
  </r>
  <r>
    <d v="2024-03-26T00:00:00"/>
    <x v="0"/>
    <s v="Bookkeeping"/>
    <n v="0.23"/>
    <x v="5"/>
    <s v="Yes"/>
    <s v="Bank Reconciliation"/>
    <x v="4"/>
    <x v="3"/>
  </r>
  <r>
    <d v="2024-03-26T00:00:00"/>
    <x v="0"/>
    <s v="Bookkeeping"/>
    <n v="0.27"/>
    <x v="4"/>
    <s v="Yes"/>
    <s v="AP and Emails"/>
    <x v="4"/>
    <x v="3"/>
  </r>
  <r>
    <d v="2024-03-26T00:00:00"/>
    <x v="0"/>
    <s v="Bookkeeping"/>
    <n v="0.32"/>
    <x v="9"/>
    <s v="Yes"/>
    <s v="AP and Email/Inbox Management"/>
    <x v="4"/>
    <x v="3"/>
  </r>
  <r>
    <d v="2024-03-26T00:00:00"/>
    <x v="0"/>
    <s v="Bookkeeping"/>
    <n v="0.56999999999999995"/>
    <x v="4"/>
    <s v="Yes"/>
    <s v="Accounts Payable"/>
    <x v="4"/>
    <x v="3"/>
  </r>
  <r>
    <d v="2024-03-26T00:00:00"/>
    <x v="0"/>
    <s v="Bookkeeping"/>
    <n v="0.68"/>
    <x v="6"/>
    <s v="Yes"/>
    <s v="Accounts Payable"/>
    <x v="4"/>
    <x v="3"/>
  </r>
  <r>
    <d v="2024-03-26T00:00:00"/>
    <x v="0"/>
    <s v="Bookkeeping"/>
    <n v="0.72"/>
    <x v="5"/>
    <s v="Yes"/>
    <s v="Accounts Payable"/>
    <x v="4"/>
    <x v="3"/>
  </r>
  <r>
    <d v="2024-03-26T00:00:00"/>
    <x v="0"/>
    <s v="Bookkeeping"/>
    <n v="0.85"/>
    <x v="8"/>
    <s v="Yes"/>
    <s v="Bank Reconciliation"/>
    <x v="4"/>
    <x v="3"/>
  </r>
  <r>
    <d v="2024-03-26T00:00:00"/>
    <x v="0"/>
    <s v="Bookkeeping"/>
    <n v="1.18"/>
    <x v="9"/>
    <s v="Yes"/>
    <s v="Accounts Payable"/>
    <x v="4"/>
    <x v="3"/>
  </r>
  <r>
    <d v="2024-03-26T00:00:00"/>
    <x v="0"/>
    <s v="General"/>
    <n v="0.25"/>
    <x v="11"/>
    <s v="No"/>
    <s v="Afternoon Break"/>
    <x v="4"/>
    <x v="3"/>
  </r>
  <r>
    <d v="2024-03-26T00:00:00"/>
    <x v="0"/>
    <s v="General"/>
    <n v="0.25"/>
    <x v="11"/>
    <s v="No"/>
    <s v="Morning Break"/>
    <x v="4"/>
    <x v="3"/>
  </r>
  <r>
    <d v="2024-03-26T00:00:00"/>
    <x v="0"/>
    <s v="Meetings"/>
    <n v="0.15"/>
    <x v="11"/>
    <s v="No"/>
    <s v="Meeting with Ms. Ann"/>
    <x v="4"/>
    <x v="3"/>
  </r>
  <r>
    <d v="2024-03-26T00:00:00"/>
    <x v="0"/>
    <s v="Meetings"/>
    <n v="0.43"/>
    <x v="11"/>
    <s v="No"/>
    <s v="Meeting with Ms. Ann and Mary Ann"/>
    <x v="4"/>
    <x v="3"/>
  </r>
  <r>
    <d v="2024-03-26T00:00:00"/>
    <x v="0"/>
    <s v="Payroll Processing"/>
    <n v="0.05"/>
    <x v="13"/>
    <s v="Yes"/>
    <m/>
    <x v="4"/>
    <x v="3"/>
  </r>
  <r>
    <d v="2024-03-26T00:00:00"/>
    <x v="0"/>
    <s v="Payroll Processing"/>
    <n v="0.05"/>
    <x v="6"/>
    <s v="Yes"/>
    <m/>
    <x v="4"/>
    <x v="3"/>
  </r>
  <r>
    <d v="2024-03-26T00:00:00"/>
    <x v="0"/>
    <s v="Payroll Processing"/>
    <n v="7.0000000000000007E-2"/>
    <x v="8"/>
    <s v="Yes"/>
    <m/>
    <x v="4"/>
    <x v="3"/>
  </r>
  <r>
    <d v="2024-03-26T00:00:00"/>
    <x v="0"/>
    <s v="Payroll Processing"/>
    <n v="0.5"/>
    <x v="12"/>
    <s v="Yes"/>
    <m/>
    <x v="4"/>
    <x v="3"/>
  </r>
  <r>
    <d v="2024-03-26T00:00:00"/>
    <x v="1"/>
    <s v="P&amp;C Advisory - Group"/>
    <n v="1"/>
    <x v="14"/>
    <s v="Yes"/>
    <s v="Call with Finance Director Call re. IT performance/salary review"/>
    <x v="4"/>
    <x v="3"/>
  </r>
  <r>
    <d v="2024-03-26T00:00:00"/>
    <x v="1"/>
    <s v="P&amp;C Advisory - Nederman Mikropul"/>
    <n v="1.33"/>
    <x v="14"/>
    <s v="Yes"/>
    <s v="Recruitment - Solution Sales Manager Correspondence re. salary reviews"/>
    <x v="4"/>
    <x v="3"/>
  </r>
  <r>
    <d v="2024-03-26T00:00:00"/>
    <x v="1"/>
    <s v="P&amp;C Advisory - Nederman PT"/>
    <n v="1.67"/>
    <x v="14"/>
    <s v="Yes"/>
    <s v="Correspondence re. drug and alcohol testing Correspondence re. salary reviews Revised position description Correspondence re. performance reviews"/>
    <x v="4"/>
    <x v="3"/>
  </r>
  <r>
    <d v="2024-03-26T00:00:00"/>
    <x v="1"/>
    <s v="P&amp;C Advisory - Nordfab"/>
    <n v="2.5"/>
    <x v="14"/>
    <s v="Yes"/>
    <s v="Finance meeting Calls with GM Letter re. secondment Correspondence re. drug and alcohol testing Discussion points for manager re. people issue Pulse check survey - additional staff member"/>
    <x v="4"/>
    <x v="3"/>
  </r>
  <r>
    <d v="2024-03-26T00:00:00"/>
    <x v="2"/>
    <s v="Bookkeeping"/>
    <n v="0.15"/>
    <x v="0"/>
    <s v="No"/>
    <s v="call with Aileen"/>
    <x v="4"/>
    <x v="3"/>
  </r>
  <r>
    <d v="2024-03-26T00:00:00"/>
    <x v="2"/>
    <s v="Bookkeeping"/>
    <n v="0.18"/>
    <x v="67"/>
    <s v="Yes"/>
    <s v="check emails and set up new investors in Xero"/>
    <x v="4"/>
    <x v="3"/>
  </r>
  <r>
    <d v="2024-03-26T00:00:00"/>
    <x v="2"/>
    <s v="Bookkeeping"/>
    <n v="0.32"/>
    <x v="67"/>
    <s v="Yes"/>
    <s v="check and update super details"/>
    <x v="4"/>
    <x v="3"/>
  </r>
  <r>
    <d v="2024-03-26T00:00:00"/>
    <x v="2"/>
    <s v="Bookkeeping"/>
    <n v="0.65"/>
    <x v="67"/>
    <s v="Yes"/>
    <s v="chats/emails re missing super, check EH, etc"/>
    <x v="4"/>
    <x v="3"/>
  </r>
  <r>
    <d v="2024-03-26T00:00:00"/>
    <x v="2"/>
    <s v="Bookkeeping"/>
    <n v="0.7"/>
    <x v="67"/>
    <s v="Yes"/>
    <m/>
    <x v="4"/>
    <x v="3"/>
  </r>
  <r>
    <d v="2024-03-26T00:00:00"/>
    <x v="2"/>
    <s v="Bookkeeping"/>
    <n v="1.1000000000000001"/>
    <x v="58"/>
    <s v="Yes"/>
    <m/>
    <x v="4"/>
    <x v="3"/>
  </r>
  <r>
    <d v="2024-03-26T00:00:00"/>
    <x v="2"/>
    <s v="Bookkeeping"/>
    <n v="1.42"/>
    <x v="0"/>
    <s v="No"/>
    <s v="chats, call with Nicole, call with Mary and Aileen"/>
    <x v="4"/>
    <x v="3"/>
  </r>
  <r>
    <d v="2024-03-26T00:00:00"/>
    <x v="2"/>
    <s v="General"/>
    <n v="0.13"/>
    <x v="11"/>
    <s v="No"/>
    <s v="chats, emails, Asana, Sprout, etc"/>
    <x v="4"/>
    <x v="3"/>
  </r>
  <r>
    <d v="2024-03-26T00:00:00"/>
    <x v="2"/>
    <s v="General"/>
    <n v="0.33"/>
    <x v="11"/>
    <s v="No"/>
    <m/>
    <x v="4"/>
    <x v="3"/>
  </r>
  <r>
    <d v="2024-03-26T00:00:00"/>
    <x v="2"/>
    <s v="General"/>
    <n v="0.48"/>
    <x v="11"/>
    <s v="No"/>
    <s v="break"/>
    <x v="4"/>
    <x v="3"/>
  </r>
  <r>
    <d v="2024-03-26T00:00:00"/>
    <x v="2"/>
    <s v="General"/>
    <n v="0.82"/>
    <x v="11"/>
    <s v="No"/>
    <s v="check timesheets, Asana, etc"/>
    <x v="4"/>
    <x v="3"/>
  </r>
  <r>
    <d v="2024-03-26T00:00:00"/>
    <x v="2"/>
    <s v="General"/>
    <n v="1.28"/>
    <x v="11"/>
    <s v="No"/>
    <s v="research how to manually pay super via BEAM, check emails and concerns, etc"/>
    <x v="4"/>
    <x v="3"/>
  </r>
  <r>
    <d v="2024-03-26T00:00:00"/>
    <x v="2"/>
    <s v="Payroll Processing"/>
    <n v="0.5"/>
    <x v="58"/>
    <s v="Yes"/>
    <m/>
    <x v="4"/>
    <x v="3"/>
  </r>
  <r>
    <d v="2024-03-26T00:00:00"/>
    <x v="4"/>
    <s v="General"/>
    <n v="8"/>
    <x v="11"/>
    <s v="No"/>
    <m/>
    <x v="4"/>
    <x v="3"/>
  </r>
  <r>
    <d v="2024-03-26T00:00:00"/>
    <x v="6"/>
    <s v="Automations"/>
    <n v="8"/>
    <x v="11"/>
    <s v="No"/>
    <s v="March 26 XeroDownloadReportsAutomation - Updated Ageing Periods, Ageing By and Grouping/Summarising filters for Aged Payables Summary and Aged Receivables Summary  Alliance Report Automation Part I - added check app state for no results in Simpro Automation Sequence - debugged for encountered errors and recorded the automation"/>
    <x v="4"/>
    <x v="3"/>
  </r>
  <r>
    <d v="2024-03-26T00:00:00"/>
    <x v="8"/>
    <s v="Automations"/>
    <n v="3"/>
    <x v="11"/>
    <s v="No"/>
    <s v="Run four Alliance automations + AP automation;  Added 4 supplier to Alliance Automation Tax Invoice"/>
    <x v="4"/>
    <x v="3"/>
  </r>
  <r>
    <d v="2024-03-26T00:00:00"/>
    <x v="9"/>
    <s v="Automations"/>
    <n v="9.25"/>
    <x v="11"/>
    <s v="No"/>
    <s v="Matrix Data Table Part 2 Development"/>
    <x v="4"/>
    <x v="3"/>
  </r>
  <r>
    <d v="2024-03-26T00:00:00"/>
    <x v="10"/>
    <s v="Annual Leave"/>
    <n v="8"/>
    <x v="11"/>
    <s v="No"/>
    <s v="My kid's educational trip"/>
    <x v="4"/>
    <x v="3"/>
  </r>
  <r>
    <d v="2024-03-26T00:00:00"/>
    <x v="11"/>
    <s v="Bookkeeping"/>
    <n v="0.47"/>
    <x v="27"/>
    <s v="Yes"/>
    <s v="emails"/>
    <x v="4"/>
    <x v="3"/>
  </r>
  <r>
    <d v="2024-03-26T00:00:00"/>
    <x v="11"/>
    <s v="Bookkeeping"/>
    <n v="0.5"/>
    <x v="25"/>
    <s v="Yes"/>
    <s v="emails/ queries"/>
    <x v="4"/>
    <x v="3"/>
  </r>
  <r>
    <d v="2024-03-26T00:00:00"/>
    <x v="11"/>
    <s v="Bookkeeping"/>
    <n v="0.87"/>
    <x v="26"/>
    <s v="Yes"/>
    <s v="bank rec review"/>
    <x v="4"/>
    <x v="3"/>
  </r>
  <r>
    <d v="2024-03-26T00:00:00"/>
    <x v="11"/>
    <s v="General"/>
    <n v="0.3"/>
    <x v="11"/>
    <s v="No"/>
    <s v="teams queries"/>
    <x v="4"/>
    <x v="3"/>
  </r>
  <r>
    <d v="2024-03-26T00:00:00"/>
    <x v="11"/>
    <s v="General"/>
    <n v="0.35"/>
    <x v="11"/>
    <s v="No"/>
    <s v="emails/ inbox/ teams"/>
    <x v="4"/>
    <x v="3"/>
  </r>
  <r>
    <d v="2024-03-26T00:00:00"/>
    <x v="11"/>
    <s v="General"/>
    <n v="0.5"/>
    <x v="11"/>
    <s v="No"/>
    <s v="break"/>
    <x v="4"/>
    <x v="3"/>
  </r>
  <r>
    <d v="2024-03-26T00:00:00"/>
    <x v="11"/>
    <s v="IAS/BAS Preparation &amp; Lodgement - Oct-Dec"/>
    <n v="0.12"/>
    <x v="25"/>
    <s v="Yes"/>
    <s v="nomination of agent"/>
    <x v="4"/>
    <x v="3"/>
  </r>
  <r>
    <d v="2024-03-26T00:00:00"/>
    <x v="11"/>
    <s v="Meetings"/>
    <n v="1.07"/>
    <x v="11"/>
    <s v="No"/>
    <s v="1:1 w/ Ge"/>
    <x v="4"/>
    <x v="3"/>
  </r>
  <r>
    <d v="2024-03-26T00:00:00"/>
    <x v="11"/>
    <s v="Payroll Processing"/>
    <n v="0.45"/>
    <x v="15"/>
    <s v="Yes"/>
    <s v="inbox/ meetings calendar"/>
    <x v="4"/>
    <x v="3"/>
  </r>
  <r>
    <d v="2024-03-26T00:00:00"/>
    <x v="11"/>
    <s v="Payroll Processing"/>
    <n v="0.88"/>
    <x v="27"/>
    <s v="Yes"/>
    <s v="review"/>
    <x v="4"/>
    <x v="3"/>
  </r>
  <r>
    <d v="2024-03-26T00:00:00"/>
    <x v="11"/>
    <s v="Payroll Processing"/>
    <n v="1.2"/>
    <x v="12"/>
    <s v="Yes"/>
    <s v="check awards and review employee pays and OT rates"/>
    <x v="4"/>
    <x v="3"/>
  </r>
  <r>
    <d v="2024-03-26T00:00:00"/>
    <x v="11"/>
    <s v="Payroll Processing"/>
    <n v="1.3"/>
    <x v="29"/>
    <s v="Yes"/>
    <s v="review"/>
    <x v="4"/>
    <x v="3"/>
  </r>
  <r>
    <d v="2024-03-26T00:00:00"/>
    <x v="12"/>
    <s v="General"/>
    <n v="8.33"/>
    <x v="11"/>
    <s v="No"/>
    <s v="- Nick's Inbox management - Travel Agents for company outing - Newsletter - ATO - Poster for Aileen Birthday"/>
    <x v="4"/>
    <x v="3"/>
  </r>
  <r>
    <d v="2024-03-26T00:00:00"/>
    <x v="12"/>
    <s v="Out-of-Scope Services"/>
    <n v="1.5"/>
    <x v="102"/>
    <s v="Yes"/>
    <s v="- Rollover to April 2024 Timesheet"/>
    <x v="4"/>
    <x v="3"/>
  </r>
  <r>
    <d v="2024-03-26T00:00:00"/>
    <x v="13"/>
    <s v="Bookkeeping"/>
    <n v="0.65"/>
    <x v="71"/>
    <s v="Yes"/>
    <s v="entering of bank transactions"/>
    <x v="4"/>
    <x v="3"/>
  </r>
  <r>
    <d v="2024-03-26T00:00:00"/>
    <x v="13"/>
    <s v="Bookkeeping"/>
    <n v="0.93"/>
    <x v="72"/>
    <s v="Yes"/>
    <s v="continuation of ap invoices"/>
    <x v="4"/>
    <x v="3"/>
  </r>
  <r>
    <d v="2024-03-26T00:00:00"/>
    <x v="13"/>
    <s v="Bookkeeping"/>
    <n v="1"/>
    <x v="29"/>
    <s v="Yes"/>
    <s v="bank recon process ap invoices "/>
    <x v="4"/>
    <x v="3"/>
  </r>
  <r>
    <d v="2024-03-26T00:00:00"/>
    <x v="13"/>
    <s v="Bookkeeping"/>
    <n v="1.03"/>
    <x v="72"/>
    <s v="Yes"/>
    <s v="ap invoices "/>
    <x v="4"/>
    <x v="3"/>
  </r>
  <r>
    <d v="2024-03-26T00:00:00"/>
    <x v="13"/>
    <s v="Bookkeeping"/>
    <n v="1.1299999999999999"/>
    <x v="30"/>
    <s v="Yes"/>
    <s v="bank recon create ap report"/>
    <x v="4"/>
    <x v="3"/>
  </r>
  <r>
    <d v="2024-03-26T00:00:00"/>
    <x v="13"/>
    <s v="Bookkeeping"/>
    <n v="1.68"/>
    <x v="28"/>
    <s v="Yes"/>
    <s v="ap invoices"/>
    <x v="4"/>
    <x v="3"/>
  </r>
  <r>
    <d v="2024-03-26T00:00:00"/>
    <x v="13"/>
    <s v="General"/>
    <n v="0.5"/>
    <x v="11"/>
    <s v="No"/>
    <s v="break"/>
    <x v="4"/>
    <x v="3"/>
  </r>
  <r>
    <d v="2024-03-26T00:00:00"/>
    <x v="13"/>
    <s v="Meetings"/>
    <n v="1.07"/>
    <x v="11"/>
    <s v="No"/>
    <s v="monthly 1:1 "/>
    <x v="4"/>
    <x v="3"/>
  </r>
  <r>
    <d v="2024-03-26T00:00:00"/>
    <x v="14"/>
    <s v="Bookkeeping"/>
    <n v="0.5"/>
    <x v="73"/>
    <s v="Yes"/>
    <s v="Checking of bank recs"/>
    <x v="4"/>
    <x v="3"/>
  </r>
  <r>
    <d v="2024-03-26T00:00:00"/>
    <x v="14"/>
    <s v="Bookkeeping"/>
    <n v="0.5"/>
    <x v="25"/>
    <s v="Yes"/>
    <s v="Checking of accounts and emails"/>
    <x v="4"/>
    <x v="3"/>
  </r>
  <r>
    <d v="2024-03-26T00:00:00"/>
    <x v="14"/>
    <s v="Bookkeeping"/>
    <n v="0.68"/>
    <x v="32"/>
    <s v="No"/>
    <s v="Checking emails, responding to Neeti for the handover"/>
    <x v="4"/>
    <x v="3"/>
  </r>
  <r>
    <d v="2024-03-26T00:00:00"/>
    <x v="14"/>
    <s v="Bookkeeping"/>
    <n v="0.85"/>
    <x v="78"/>
    <s v="Yes"/>
    <s v="Reconciling payments"/>
    <x v="4"/>
    <x v="3"/>
  </r>
  <r>
    <d v="2024-03-26T00:00:00"/>
    <x v="14"/>
    <s v="Bookkeeping"/>
    <n v="0.9"/>
    <x v="78"/>
    <s v="Yes"/>
    <s v="Checking of invoice payments &amp; recording (Mosman transactions)"/>
    <x v="4"/>
    <x v="3"/>
  </r>
  <r>
    <d v="2024-03-26T00:00:00"/>
    <x v="14"/>
    <s v="Bookkeeping"/>
    <n v="0.97"/>
    <x v="78"/>
    <s v="Yes"/>
    <s v="Bank recs, recording of invoices"/>
    <x v="4"/>
    <x v="3"/>
  </r>
  <r>
    <d v="2024-03-26T00:00:00"/>
    <x v="14"/>
    <s v="Bookkeeping"/>
    <n v="0.98"/>
    <x v="25"/>
    <s v="Yes"/>
    <s v="Checking of payments for debtors clean-up "/>
    <x v="4"/>
    <x v="3"/>
  </r>
  <r>
    <d v="2024-03-26T00:00:00"/>
    <x v="14"/>
    <s v="Bookkeeping"/>
    <n v="1"/>
    <x v="73"/>
    <s v="Yes"/>
    <s v="Bank recs, recording of invoices, clearing of inbox"/>
    <x v="4"/>
    <x v="3"/>
  </r>
  <r>
    <d v="2024-03-26T00:00:00"/>
    <x v="14"/>
    <s v="General"/>
    <n v="0.15"/>
    <x v="11"/>
    <s v="No"/>
    <s v="Updating asana tasks"/>
    <x v="4"/>
    <x v="3"/>
  </r>
  <r>
    <d v="2024-03-26T00:00:00"/>
    <x v="14"/>
    <s v="Learning &amp; Development"/>
    <n v="0.52"/>
    <x v="11"/>
    <s v="No"/>
    <s v="Training in wyzed"/>
    <x v="4"/>
    <x v="3"/>
  </r>
  <r>
    <d v="2024-03-26T00:00:00"/>
    <x v="14"/>
    <s v="Payroll Processing"/>
    <n v="0.22"/>
    <x v="34"/>
    <s v="Yes"/>
    <s v="Checking inbox and replying to emails"/>
    <x v="4"/>
    <x v="3"/>
  </r>
  <r>
    <d v="2024-03-26T00:00:00"/>
    <x v="14"/>
    <s v="Payroll Processing"/>
    <n v="0.3"/>
    <x v="33"/>
    <s v="Yes"/>
    <s v="Updating accesspay file"/>
    <x v="4"/>
    <x v="3"/>
  </r>
  <r>
    <d v="2024-03-26T00:00:00"/>
    <x v="14"/>
    <s v="Payroll Processing"/>
    <n v="0.4"/>
    <x v="33"/>
    <s v="Yes"/>
    <s v="Responding to emails"/>
    <x v="4"/>
    <x v="3"/>
  </r>
  <r>
    <d v="2024-03-26T00:00:00"/>
    <x v="14"/>
    <s v="Payroll Processing"/>
    <n v="0.9"/>
    <x v="34"/>
    <s v="Yes"/>
    <s v="Payroll"/>
    <x v="4"/>
    <x v="3"/>
  </r>
  <r>
    <d v="2024-03-26T00:00:00"/>
    <x v="15"/>
    <s v="Annual Leave"/>
    <n v="8"/>
    <x v="11"/>
    <s v="No"/>
    <m/>
    <x v="4"/>
    <x v="3"/>
  </r>
  <r>
    <d v="2024-03-26T00:00:00"/>
    <x v="16"/>
    <s v="Bookkeeping"/>
    <n v="7.98"/>
    <x v="35"/>
    <s v="Yes"/>
    <m/>
    <x v="4"/>
    <x v="3"/>
  </r>
  <r>
    <d v="2024-03-26T00:00:00"/>
    <x v="18"/>
    <s v="Bookkeeping"/>
    <n v="0.17"/>
    <x v="38"/>
    <s v="Yes"/>
    <m/>
    <x v="4"/>
    <x v="3"/>
  </r>
  <r>
    <d v="2024-03-26T00:00:00"/>
    <x v="18"/>
    <s v="Bookkeeping"/>
    <n v="0.37"/>
    <x v="36"/>
    <s v="Yes"/>
    <m/>
    <x v="4"/>
    <x v="3"/>
  </r>
  <r>
    <d v="2024-03-26T00:00:00"/>
    <x v="18"/>
    <s v="Bookkeeping"/>
    <n v="0.45"/>
    <x v="39"/>
    <s v="Yes"/>
    <m/>
    <x v="4"/>
    <x v="3"/>
  </r>
  <r>
    <d v="2024-03-26T00:00:00"/>
    <x v="18"/>
    <s v="Bookkeeping"/>
    <n v="1"/>
    <x v="41"/>
    <s v="Yes"/>
    <s v="ap queries, bank recon, dext prepare items"/>
    <x v="4"/>
    <x v="3"/>
  </r>
  <r>
    <d v="2024-03-26T00:00:00"/>
    <x v="18"/>
    <s v="Bookkeeping"/>
    <n v="1.32"/>
    <x v="37"/>
    <s v="Yes"/>
    <m/>
    <x v="4"/>
    <x v="3"/>
  </r>
  <r>
    <d v="2024-03-26T00:00:00"/>
    <x v="18"/>
    <s v="Bookkeeping"/>
    <n v="1.6"/>
    <x v="40"/>
    <s v="Yes"/>
    <m/>
    <x v="4"/>
    <x v="3"/>
  </r>
  <r>
    <d v="2024-03-26T00:00:00"/>
    <x v="18"/>
    <s v="Bookkeeping"/>
    <n v="1.98"/>
    <x v="27"/>
    <s v="Yes"/>
    <s v="Upload csv, bank recon items, dext prepare"/>
    <x v="4"/>
    <x v="3"/>
  </r>
  <r>
    <d v="2024-03-26T00:00:00"/>
    <x v="18"/>
    <s v="General"/>
    <n v="0.33"/>
    <x v="11"/>
    <s v="No"/>
    <m/>
    <x v="4"/>
    <x v="3"/>
  </r>
  <r>
    <d v="2024-03-26T00:00:00"/>
    <x v="18"/>
    <s v="Meetings"/>
    <n v="0.28000000000000003"/>
    <x v="11"/>
    <s v="No"/>
    <s v="Client update (RJ, Linds, Ma Ann, Jim)"/>
    <x v="4"/>
    <x v="3"/>
  </r>
  <r>
    <d v="2024-03-26T00:00:00"/>
    <x v="18"/>
    <s v="Payroll Processing"/>
    <n v="0.5"/>
    <x v="27"/>
    <s v="Yes"/>
    <m/>
    <x v="4"/>
    <x v="3"/>
  </r>
  <r>
    <d v="2024-03-26T00:00:00"/>
    <x v="19"/>
    <s v="Automations - Surefire"/>
    <n v="8"/>
    <x v="11"/>
    <s v="No"/>
    <s v="Surefire Automation"/>
    <x v="4"/>
    <x v="3"/>
  </r>
  <r>
    <d v="2024-03-26T00:00:00"/>
    <x v="20"/>
    <s v="Automations - Skylife"/>
    <n v="7"/>
    <x v="11"/>
    <s v="No"/>
    <m/>
    <x v="4"/>
    <x v="3"/>
  </r>
  <r>
    <d v="2024-03-26T00:00:00"/>
    <x v="20"/>
    <s v="IT"/>
    <n v="1"/>
    <x v="11"/>
    <s v="No"/>
    <m/>
    <x v="4"/>
    <x v="3"/>
  </r>
  <r>
    <d v="2024-03-26T00:00:00"/>
    <x v="21"/>
    <s v="Automations"/>
    <n v="8"/>
    <x v="11"/>
    <s v="No"/>
    <s v="Run: LOC Dev: Holdsworth Update Automation"/>
    <x v="4"/>
    <x v="3"/>
  </r>
  <r>
    <d v="2024-03-26T00:00:00"/>
    <x v="22"/>
    <s v="Bookkeeping"/>
    <n v="0.12"/>
    <x v="26"/>
    <s v="Yes"/>
    <s v="Request asset and depreciation from previous accountant via email"/>
    <x v="4"/>
    <x v="3"/>
  </r>
  <r>
    <d v="2024-03-26T00:00:00"/>
    <x v="22"/>
    <s v="Bookkeeping"/>
    <n v="0.15"/>
    <x v="86"/>
    <s v="Yes"/>
    <s v="save bank statements"/>
    <x v="4"/>
    <x v="3"/>
  </r>
  <r>
    <d v="2024-03-26T00:00:00"/>
    <x v="22"/>
    <s v="Bookkeeping"/>
    <n v="0.5"/>
    <x v="42"/>
    <s v="Yes"/>
    <s v="Load payments to bank Follow up Charlie at Nine re invoices / amount owing. Email to Lucia re ASIC and form 362"/>
    <x v="4"/>
    <x v="3"/>
  </r>
  <r>
    <d v="2024-03-26T00:00:00"/>
    <x v="22"/>
    <s v="Bookkeeping"/>
    <n v="0.57999999999999996"/>
    <x v="44"/>
    <s v="Yes"/>
    <s v="Inbox - bill entry"/>
    <x v="4"/>
    <x v="3"/>
  </r>
  <r>
    <d v="2024-03-26T00:00:00"/>
    <x v="22"/>
    <s v="Bookkeeping"/>
    <n v="1.72"/>
    <x v="86"/>
    <s v="Yes"/>
    <s v="Upload documents to Xero from Digify, recoding of GST where applicable. Email to Michael with outstanding queries Balance sheet reconciliaiton"/>
    <x v="4"/>
    <x v="3"/>
  </r>
  <r>
    <d v="2024-03-26T00:00:00"/>
    <x v="22"/>
    <s v="Client Admin"/>
    <n v="0.5"/>
    <x v="11"/>
    <s v="No"/>
    <s v="Review superstream exemptions "/>
    <x v="4"/>
    <x v="3"/>
  </r>
  <r>
    <d v="2024-03-26T00:00:00"/>
    <x v="22"/>
    <s v="Client Admin"/>
    <n v="1"/>
    <x v="11"/>
    <s v="No"/>
    <s v="Call to Anna P, Matt A re tax queries follow up Call to Deb P re next steps Asana task review Emails"/>
    <x v="4"/>
    <x v="3"/>
  </r>
  <r>
    <d v="2024-03-26T00:00:00"/>
    <x v="22"/>
    <s v="General"/>
    <n v="0.75"/>
    <x v="11"/>
    <s v="No"/>
    <s v="Chat with Nick re BookeAI and AI generally"/>
    <x v="4"/>
    <x v="3"/>
  </r>
  <r>
    <d v="2024-03-26T00:00:00"/>
    <x v="22"/>
    <s v="Out-of-Scope Services"/>
    <n v="0.53"/>
    <x v="26"/>
    <s v="Yes"/>
    <s v="Bill separately - reconcilaitoin of fixed assets / depreciation schedules for tax return preparation"/>
    <x v="4"/>
    <x v="3"/>
  </r>
  <r>
    <d v="2024-03-26T00:00:00"/>
    <x v="22"/>
    <s v="Payroll Processing"/>
    <n v="0.25"/>
    <x v="34"/>
    <s v="Yes"/>
    <s v="Emails - set up for Rachele"/>
    <x v="4"/>
    <x v="3"/>
  </r>
  <r>
    <d v="2024-03-26T00:00:00"/>
    <x v="22"/>
    <s v="Payroll Processing"/>
    <n v="0.92"/>
    <x v="34"/>
    <s v="Yes"/>
    <s v="Call lease companies re terminations and info outstanding"/>
    <x v="4"/>
    <x v="3"/>
  </r>
  <r>
    <d v="2024-03-26T00:00:00"/>
    <x v="23"/>
    <s v="Annual Leave"/>
    <n v="8"/>
    <x v="11"/>
    <s v="No"/>
    <m/>
    <x v="4"/>
    <x v="3"/>
  </r>
  <r>
    <d v="2024-03-26T00:00:00"/>
    <x v="48"/>
    <s v="HR/Recuitment"/>
    <n v="1.5"/>
    <x v="11"/>
    <s v="No"/>
    <s v="Interview for Finance Manager and write up notes. Review other resumes saved by Z today Send emails to other candidates on requesting selection criteria, salary expectations and experience. "/>
    <x v="4"/>
    <x v="3"/>
  </r>
  <r>
    <d v="2024-03-26T00:00:00"/>
    <x v="48"/>
    <s v="P&amp;C Advisory"/>
    <n v="6.5"/>
    <x v="9"/>
    <s v="Yes"/>
    <s v="Teams huddle with Finance.  Teams chat with CFO.  Employee Connect fix reports on survey gap analysis for AF Brokers and download information, send to CEO.  Prepare training program on managing employees in powerpoint and questions for trainees - research material, prepare booklets.  Work on LMS curriculum for MKP."/>
    <x v="4"/>
    <x v="3"/>
  </r>
  <r>
    <d v="2024-03-26T00:00:00"/>
    <x v="24"/>
    <s v="Bookkeeping"/>
    <n v="1.18"/>
    <x v="46"/>
    <s v="Yes"/>
    <m/>
    <x v="4"/>
    <x v="3"/>
  </r>
  <r>
    <d v="2024-03-26T00:00:00"/>
    <x v="24"/>
    <s v="Bookkeeping"/>
    <n v="1.27"/>
    <x v="15"/>
    <s v="Yes"/>
    <s v="Extended to cover for AP"/>
    <x v="4"/>
    <x v="3"/>
  </r>
  <r>
    <d v="2024-03-26T00:00:00"/>
    <x v="24"/>
    <s v="Bookkeeping"/>
    <n v="1.42"/>
    <x v="54"/>
    <s v="Yes"/>
    <m/>
    <x v="4"/>
    <x v="3"/>
  </r>
  <r>
    <d v="2024-03-26T00:00:00"/>
    <x v="24"/>
    <s v="Bookkeeping"/>
    <n v="4.37"/>
    <x v="15"/>
    <s v="Yes"/>
    <m/>
    <x v="4"/>
    <x v="3"/>
  </r>
  <r>
    <d v="2024-03-26T00:00:00"/>
    <x v="24"/>
    <s v="Meetings"/>
    <n v="0.32"/>
    <x v="11"/>
    <s v="No"/>
    <s v="catch up with Nick"/>
    <x v="4"/>
    <x v="3"/>
  </r>
  <r>
    <d v="2024-03-26T00:00:00"/>
    <x v="24"/>
    <s v="Payroll Processing"/>
    <n v="0.3"/>
    <x v="30"/>
    <s v="Yes"/>
    <s v="Extended due to late confirmation"/>
    <x v="4"/>
    <x v="3"/>
  </r>
  <r>
    <d v="2024-03-26T00:00:00"/>
    <x v="24"/>
    <s v="Payroll Processing"/>
    <n v="0.88"/>
    <x v="30"/>
    <s v="Yes"/>
    <m/>
    <x v="4"/>
    <x v="3"/>
  </r>
  <r>
    <d v="2024-03-26T00:00:00"/>
    <x v="26"/>
    <s v="Adhoc Support &amp; Advice"/>
    <n v="0.25"/>
    <x v="15"/>
    <s v="No"/>
    <s v="Quick meeting about debtor's report"/>
    <x v="4"/>
    <x v="3"/>
  </r>
  <r>
    <d v="2024-03-26T00:00:00"/>
    <x v="26"/>
    <s v="Debt Collection"/>
    <n v="1.25"/>
    <x v="11"/>
    <s v="No"/>
    <m/>
    <x v="4"/>
    <x v="3"/>
  </r>
  <r>
    <d v="2024-03-26T00:00:00"/>
    <x v="26"/>
    <s v="Debt Collection"/>
    <n v="6"/>
    <x v="15"/>
    <s v="Yes"/>
    <m/>
    <x v="4"/>
    <x v="3"/>
  </r>
  <r>
    <d v="2024-03-26T00:00:00"/>
    <x v="26"/>
    <s v="General"/>
    <n v="0.5"/>
    <x v="11"/>
    <s v="No"/>
    <s v="Break"/>
    <x v="4"/>
    <x v="3"/>
  </r>
  <r>
    <d v="2024-03-26T00:00:00"/>
    <x v="28"/>
    <s v="Bookkeeping"/>
    <n v="0.3"/>
    <x v="57"/>
    <s v="Yes"/>
    <s v="Clearing Account Klarna International"/>
    <x v="4"/>
    <x v="3"/>
  </r>
  <r>
    <d v="2024-03-26T00:00:00"/>
    <x v="28"/>
    <s v="Bookkeeping"/>
    <n v="1.35"/>
    <x v="57"/>
    <s v="Yes"/>
    <s v="Clearing Account BM Domestic Klarna Afterpay Shopify Approve postscript transactions in a2x Postscript Bills raise to xero"/>
    <x v="4"/>
    <x v="3"/>
  </r>
  <r>
    <d v="2024-03-26T00:00:00"/>
    <x v="28"/>
    <s v="Bookkeeping"/>
    <n v="4.9800000000000004"/>
    <x v="57"/>
    <s v="Yes"/>
    <s v="Email Management  Bills raise to xero Bank Reconciliation BM Prepared Queries for Corporate Cards Check and approved sales in A2x Bank Reconciliation LOC Inc "/>
    <x v="4"/>
    <x v="3"/>
  </r>
  <r>
    <d v="2024-03-26T00:00:00"/>
    <x v="28"/>
    <s v="General"/>
    <n v="0.5"/>
    <x v="11"/>
    <s v="No"/>
    <s v="Break"/>
    <x v="4"/>
    <x v="3"/>
  </r>
  <r>
    <d v="2024-03-26T00:00:00"/>
    <x v="28"/>
    <s v="Meetings"/>
    <n v="0.2"/>
    <x v="11"/>
    <s v="No"/>
    <s v="Client Updates"/>
    <x v="4"/>
    <x v="3"/>
  </r>
  <r>
    <d v="2024-03-26T00:00:00"/>
    <x v="28"/>
    <s v="Meetings"/>
    <n v="0.27"/>
    <x v="11"/>
    <s v="No"/>
    <s v="Client hand over (Emma)"/>
    <x v="4"/>
    <x v="3"/>
  </r>
  <r>
    <d v="2024-03-26T00:00:00"/>
    <x v="28"/>
    <s v="Meetings"/>
    <n v="0.4"/>
    <x v="11"/>
    <s v="No"/>
    <s v="Monthly catch up with TL Ralp"/>
    <x v="4"/>
    <x v="3"/>
  </r>
  <r>
    <d v="2024-03-26T00:00:00"/>
    <x v="29"/>
    <s v="IT"/>
    <n v="9"/>
    <x v="11"/>
    <s v="No"/>
    <s v="Support and Configurations "/>
    <x v="4"/>
    <x v="3"/>
  </r>
  <r>
    <d v="2024-03-26T00:00:00"/>
    <x v="30"/>
    <s v="Bookkeeping"/>
    <n v="1.05"/>
    <x v="76"/>
    <s v="Yes"/>
    <s v="Email Management Bills Processing Bank Recon"/>
    <x v="4"/>
    <x v="3"/>
  </r>
  <r>
    <d v="2024-03-26T00:00:00"/>
    <x v="30"/>
    <s v="Bookkeeping"/>
    <n v="1.53"/>
    <x v="26"/>
    <s v="Yes"/>
    <s v="Email Management Bills Processing Bank Recon"/>
    <x v="4"/>
    <x v="3"/>
  </r>
  <r>
    <d v="2024-03-26T00:00:00"/>
    <x v="30"/>
    <s v="Bookkeeping"/>
    <n v="2.0499999999999998"/>
    <x v="58"/>
    <s v="Yes"/>
    <s v="Email Management Bills Processing Bank/Credit Card Recon"/>
    <x v="4"/>
    <x v="3"/>
  </r>
  <r>
    <d v="2024-03-26T00:00:00"/>
    <x v="30"/>
    <s v="Learning &amp; Development"/>
    <n v="2.2000000000000002"/>
    <x v="11"/>
    <s v="No"/>
    <s v="learning how to process Tasman Monthend including the journal entries and extracting files "/>
    <x v="4"/>
    <x v="3"/>
  </r>
  <r>
    <d v="2024-03-26T00:00:00"/>
    <x v="30"/>
    <s v="Meetings"/>
    <n v="0.25"/>
    <x v="11"/>
    <s v="No"/>
    <s v="meeting with Nicole re: Tasman Month End process"/>
    <x v="4"/>
    <x v="3"/>
  </r>
  <r>
    <d v="2024-03-26T00:00:00"/>
    <x v="30"/>
    <s v="Meetings"/>
    <n v="0.43"/>
    <x v="11"/>
    <s v="No"/>
    <s v="Meeting with Ann and Aileen re: Tasman Agri"/>
    <x v="4"/>
    <x v="3"/>
  </r>
  <r>
    <d v="2024-03-26T00:00:00"/>
    <x v="30"/>
    <s v="Payroll Processing"/>
    <n v="0.53"/>
    <x v="43"/>
    <s v="Yes"/>
    <s v="checking  Airwallex fund Follow up email to Bethany re; her Super details "/>
    <x v="4"/>
    <x v="3"/>
  </r>
  <r>
    <d v="2024-03-26T00:00:00"/>
    <x v="31"/>
    <s v="Annual Leave"/>
    <n v="8"/>
    <x v="11"/>
    <s v="No"/>
    <s v="BL"/>
    <x v="4"/>
    <x v="3"/>
  </r>
  <r>
    <d v="2024-03-26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3"/>
  </r>
  <r>
    <d v="2024-03-26T00:00:00"/>
    <x v="33"/>
    <s v="Bookkeeping"/>
    <n v="0.5"/>
    <x v="60"/>
    <s v="Yes"/>
    <s v="Processing supplier bills"/>
    <x v="4"/>
    <x v="3"/>
  </r>
  <r>
    <d v="2024-03-26T00:00:00"/>
    <x v="33"/>
    <s v="Bookkeeping"/>
    <n v="0.5"/>
    <x v="59"/>
    <s v="Yes"/>
    <m/>
    <x v="4"/>
    <x v="3"/>
  </r>
  <r>
    <d v="2024-03-26T00:00:00"/>
    <x v="33"/>
    <s v="Bookkeeping"/>
    <n v="1"/>
    <x v="32"/>
    <s v="Yes"/>
    <m/>
    <x v="4"/>
    <x v="3"/>
  </r>
  <r>
    <d v="2024-03-26T00:00:00"/>
    <x v="33"/>
    <s v="Bookkeeping"/>
    <n v="1.25"/>
    <x v="48"/>
    <s v="Yes"/>
    <m/>
    <x v="4"/>
    <x v="3"/>
  </r>
  <r>
    <d v="2024-03-26T00:00:00"/>
    <x v="33"/>
    <s v="Payroll Processing"/>
    <n v="0.25"/>
    <x v="95"/>
    <s v="Yes"/>
    <m/>
    <x v="4"/>
    <x v="3"/>
  </r>
  <r>
    <d v="2024-03-26T00:00:00"/>
    <x v="33"/>
    <s v="Payroll Processing"/>
    <n v="0.5"/>
    <x v="60"/>
    <s v="Yes"/>
    <s v="setting up new employee"/>
    <x v="4"/>
    <x v="3"/>
  </r>
  <r>
    <d v="2024-03-26T00:00:00"/>
    <x v="33"/>
    <s v="Payroll Processing"/>
    <n v="0.5"/>
    <x v="89"/>
    <s v="Yes"/>
    <m/>
    <x v="4"/>
    <x v="3"/>
  </r>
  <r>
    <d v="2024-03-26T00:00:00"/>
    <x v="33"/>
    <s v="Payroll Processing"/>
    <n v="1"/>
    <x v="79"/>
    <s v="Yes"/>
    <m/>
    <x v="4"/>
    <x v="3"/>
  </r>
  <r>
    <d v="2024-03-26T00:00:00"/>
    <x v="34"/>
    <s v="Client Manager"/>
    <n v="0.92"/>
    <x v="96"/>
    <s v="No"/>
    <s v="Procedure for Customer Analysis + Improvement of model"/>
    <x v="4"/>
    <x v="3"/>
  </r>
  <r>
    <d v="2024-03-26T00:00:00"/>
    <x v="34"/>
    <s v="Client Manager"/>
    <n v="1.98"/>
    <x v="0"/>
    <s v="No"/>
    <s v="Call with Ann on Asana tasks Follow up on Asana tasks Meeting with Mary Ann on month end"/>
    <x v="4"/>
    <x v="3"/>
  </r>
  <r>
    <d v="2024-03-26T00:00:00"/>
    <x v="34"/>
    <s v="General"/>
    <n v="3.83"/>
    <x v="11"/>
    <s v="No"/>
    <s v="Emails, Teams, Asana"/>
    <x v="4"/>
    <x v="3"/>
  </r>
  <r>
    <d v="2024-03-26T00:00:00"/>
    <x v="35"/>
    <s v="Bookkeeping"/>
    <n v="0.18"/>
    <x v="33"/>
    <s v="Yes"/>
    <s v="email"/>
    <x v="4"/>
    <x v="3"/>
  </r>
  <r>
    <d v="2024-03-26T00:00:00"/>
    <x v="35"/>
    <s v="Bookkeeping"/>
    <n v="0.23"/>
    <x v="62"/>
    <s v="Yes"/>
    <s v="AP"/>
    <x v="4"/>
    <x v="3"/>
  </r>
  <r>
    <d v="2024-03-26T00:00:00"/>
    <x v="35"/>
    <s v="Bookkeeping"/>
    <n v="0.32"/>
    <x v="33"/>
    <s v="Yes"/>
    <m/>
    <x v="4"/>
    <x v="3"/>
  </r>
  <r>
    <d v="2024-03-26T00:00:00"/>
    <x v="35"/>
    <s v="Bookkeeping"/>
    <n v="0.57999999999999996"/>
    <x v="62"/>
    <s v="Yes"/>
    <s v="BR"/>
    <x v="4"/>
    <x v="3"/>
  </r>
  <r>
    <d v="2024-03-26T00:00:00"/>
    <x v="35"/>
    <s v="Bookkeeping"/>
    <n v="0.73"/>
    <x v="62"/>
    <s v="Yes"/>
    <s v="files"/>
    <x v="4"/>
    <x v="3"/>
  </r>
  <r>
    <d v="2024-03-26T00:00:00"/>
    <x v="35"/>
    <s v="Bookkeeping"/>
    <n v="0.97"/>
    <x v="62"/>
    <s v="Yes"/>
    <s v="AP, BR"/>
    <x v="4"/>
    <x v="3"/>
  </r>
  <r>
    <d v="2024-03-26T00:00:00"/>
    <x v="35"/>
    <s v="Bookkeeping"/>
    <n v="0.97"/>
    <x v="33"/>
    <s v="Yes"/>
    <s v="AP"/>
    <x v="4"/>
    <x v="3"/>
  </r>
  <r>
    <d v="2024-03-26T00:00:00"/>
    <x v="35"/>
    <s v="Bookkeeping"/>
    <n v="1.17"/>
    <x v="62"/>
    <s v="Yes"/>
    <s v=", files"/>
    <x v="4"/>
    <x v="3"/>
  </r>
  <r>
    <d v="2024-03-26T00:00:00"/>
    <x v="35"/>
    <s v="Bookkeeping"/>
    <n v="1.5"/>
    <x v="33"/>
    <s v="Yes"/>
    <s v="BR"/>
    <x v="4"/>
    <x v="3"/>
  </r>
  <r>
    <d v="2024-03-26T00:00:00"/>
    <x v="35"/>
    <s v="Payroll Processing"/>
    <n v="1.42"/>
    <x v="29"/>
    <s v="Yes"/>
    <m/>
    <x v="4"/>
    <x v="3"/>
  </r>
  <r>
    <d v="2024-03-26T00:00:00"/>
    <x v="36"/>
    <s v="Bookkeeping"/>
    <n v="1.87"/>
    <x v="35"/>
    <s v="Yes"/>
    <m/>
    <x v="4"/>
    <x v="3"/>
  </r>
  <r>
    <d v="2024-03-26T00:00:00"/>
    <x v="36"/>
    <s v="Bookkeeping"/>
    <n v="1.9"/>
    <x v="16"/>
    <s v="Yes"/>
    <s v="Bank recs"/>
    <x v="4"/>
    <x v="3"/>
  </r>
  <r>
    <d v="2024-03-26T00:00:00"/>
    <x v="36"/>
    <s v="General"/>
    <n v="0.27"/>
    <x v="11"/>
    <s v="No"/>
    <s v="dex emails"/>
    <x v="4"/>
    <x v="3"/>
  </r>
  <r>
    <d v="2024-03-26T00:00:00"/>
    <x v="36"/>
    <s v="General"/>
    <n v="0.42"/>
    <x v="11"/>
    <s v="No"/>
    <m/>
    <x v="4"/>
    <x v="3"/>
  </r>
  <r>
    <d v="2024-03-26T00:00:00"/>
    <x v="36"/>
    <s v="Payroll Processing"/>
    <n v="1.22"/>
    <x v="35"/>
    <s v="Yes"/>
    <s v="checked issues with payroll and called Prashant"/>
    <x v="4"/>
    <x v="3"/>
  </r>
  <r>
    <d v="2024-03-26T00:00:00"/>
    <x v="36"/>
    <s v="Payroll Processing"/>
    <n v="1.33"/>
    <x v="35"/>
    <s v="Yes"/>
    <s v="Answering payroll concerns"/>
    <x v="4"/>
    <x v="3"/>
  </r>
  <r>
    <d v="2024-03-26T00:00:00"/>
    <x v="36"/>
    <s v="Payroll Processing"/>
    <n v="1.45"/>
    <x v="34"/>
    <s v="Yes"/>
    <m/>
    <x v="4"/>
    <x v="3"/>
  </r>
  <r>
    <d v="2024-03-26T00:00:00"/>
    <x v="37"/>
    <s v="General"/>
    <n v="0.75"/>
    <x v="11"/>
    <s v="No"/>
    <s v="Rolling forecast Salary budget creation"/>
    <x v="4"/>
    <x v="3"/>
  </r>
  <r>
    <d v="2024-03-26T00:00:00"/>
    <x v="37"/>
    <s v="General"/>
    <n v="2.82"/>
    <x v="11"/>
    <s v="No"/>
    <s v="CF update Call with Nick re FCT Wyzed-Cashflow"/>
    <x v="4"/>
    <x v="3"/>
  </r>
  <r>
    <d v="2024-03-26T00:00:00"/>
    <x v="37"/>
    <s v="General"/>
    <n v="4.45"/>
    <x v="11"/>
    <s v="No"/>
    <s v="XE payments CF updating per Nick FCT start Admin TL - leave review and approval 1:1 Maan"/>
    <x v="4"/>
    <x v="3"/>
  </r>
  <r>
    <d v="2024-03-26T00:00:00"/>
    <x v="38"/>
    <s v="Bookkeeping"/>
    <n v="2.5"/>
    <x v="15"/>
    <s v="Yes"/>
    <s v="EFT list review"/>
    <x v="4"/>
    <x v="3"/>
  </r>
  <r>
    <d v="2024-03-26T00:00:00"/>
    <x v="38"/>
    <s v="Bookkeeping"/>
    <n v="6.18"/>
    <x v="15"/>
    <s v="Yes"/>
    <m/>
    <x v="4"/>
    <x v="3"/>
  </r>
  <r>
    <d v="2024-03-26T00:00:00"/>
    <x v="39"/>
    <s v="General"/>
    <n v="0.55000000000000004"/>
    <x v="11"/>
    <s v="No"/>
    <s v="Emails and teams messages"/>
    <x v="4"/>
    <x v="3"/>
  </r>
  <r>
    <d v="2024-03-26T00:00:00"/>
    <x v="39"/>
    <s v="Payroll Processing"/>
    <n v="0.02"/>
    <x v="34"/>
    <s v="Yes"/>
    <s v="Unapproved/unallocated timesheets report with Rach Payroll inbox"/>
    <x v="4"/>
    <x v="3"/>
  </r>
  <r>
    <d v="2024-03-26T00:00:00"/>
    <x v="39"/>
    <s v="Payroll Processing"/>
    <n v="1.47"/>
    <x v="15"/>
    <s v="Yes"/>
    <s v="Setup new employee 1:1 with James"/>
    <x v="4"/>
    <x v="3"/>
  </r>
  <r>
    <d v="2024-03-26T00:00:00"/>
    <x v="39"/>
    <s v="Payroll Processing"/>
    <n v="2.2200000000000002"/>
    <x v="34"/>
    <s v="Yes"/>
    <s v="Payroll processing Shadow Rach"/>
    <x v="4"/>
    <x v="3"/>
  </r>
  <r>
    <d v="2024-03-26T00:00:00"/>
    <x v="39"/>
    <s v="Sick Leave"/>
    <n v="4"/>
    <x v="11"/>
    <s v="No"/>
    <m/>
    <x v="4"/>
    <x v="3"/>
  </r>
  <r>
    <d v="2024-03-26T00:00:00"/>
    <x v="40"/>
    <s v="Company Tax Returns"/>
    <n v="1.1200000000000001"/>
    <x v="117"/>
    <s v="Yes"/>
    <s v="Prepare PAYG instalment notices (x8) and send out fors signature Email Stephen summary of PAYG instalments, interst and penalties"/>
    <x v="4"/>
    <x v="3"/>
  </r>
  <r>
    <d v="2024-03-26T00:00:00"/>
    <x v="41"/>
    <s v="Bookkeeping"/>
    <n v="0.67"/>
    <x v="36"/>
    <s v="Yes"/>
    <m/>
    <x v="4"/>
    <x v="3"/>
  </r>
  <r>
    <d v="2024-03-26T00:00:00"/>
    <x v="41"/>
    <s v="Bookkeeping"/>
    <n v="0.88"/>
    <x v="47"/>
    <s v="Yes"/>
    <m/>
    <x v="4"/>
    <x v="3"/>
  </r>
  <r>
    <d v="2024-03-26T00:00:00"/>
    <x v="41"/>
    <s v="Bookkeeping"/>
    <n v="1.42"/>
    <x v="16"/>
    <s v="Yes"/>
    <m/>
    <x v="4"/>
    <x v="3"/>
  </r>
  <r>
    <d v="2024-03-26T00:00:00"/>
    <x v="41"/>
    <s v="Bookkeeping"/>
    <n v="2.2200000000000002"/>
    <x v="16"/>
    <s v="Yes"/>
    <s v="Inbox mgmt AP run"/>
    <x v="4"/>
    <x v="3"/>
  </r>
  <r>
    <d v="2024-03-26T00:00:00"/>
    <x v="41"/>
    <s v="Bookkeeping"/>
    <n v="2.3199999999999998"/>
    <x v="16"/>
    <s v="Yes"/>
    <s v="Inbox mgmt Import bank transactions to Xero Bank rec AP run"/>
    <x v="4"/>
    <x v="3"/>
  </r>
  <r>
    <d v="2024-03-26T00:00:00"/>
    <x v="41"/>
    <s v="General"/>
    <n v="0.5"/>
    <x v="11"/>
    <s v="No"/>
    <s v="Paid break"/>
    <x v="4"/>
    <x v="3"/>
  </r>
  <r>
    <d v="2024-03-26T00:00:00"/>
    <x v="42"/>
    <s v="Client Manager"/>
    <n v="0.25"/>
    <x v="33"/>
    <s v="Yes"/>
    <s v="Upload AccessPay payment and weekly supplier payment. Email Katherine/Shalisa."/>
    <x v="4"/>
    <x v="3"/>
  </r>
  <r>
    <d v="2024-03-26T00:00:00"/>
    <x v="42"/>
    <s v="Client Manager"/>
    <n v="0.25"/>
    <x v="82"/>
    <s v="Yes"/>
    <s v="Attend to email from Amy, phone call with David re same."/>
    <x v="4"/>
    <x v="3"/>
  </r>
  <r>
    <d v="2024-03-26T00:00:00"/>
    <x v="42"/>
    <s v="Client Manager"/>
    <n v="8.5"/>
    <x v="102"/>
    <s v="Yes"/>
    <s v="Onsite: AP processes, go through inbox, print supplier invoices, enter PO, match to PO and delivery dockets, enter in MYOB, send all invoices to in-tray. Receive payments as per remittance advice. Meeting with Catherine, Step and Richard re PO, and billings, update spreadsheet for PO12588 for Phebra. Raise invoice. Sort paperwork for EOM payments and weekly payments. . "/>
    <x v="4"/>
    <x v="3"/>
  </r>
  <r>
    <d v="2024-03-26T00:00:00"/>
    <x v="43"/>
    <s v="Adhoc Support &amp; Advice"/>
    <n v="2.5"/>
    <x v="15"/>
    <s v="Yes"/>
    <s v="Top 10 Customer report"/>
    <x v="4"/>
    <x v="3"/>
  </r>
  <r>
    <d v="2024-03-26T00:00:00"/>
    <x v="43"/>
    <s v="Bookkeeping"/>
    <n v="0.5"/>
    <x v="89"/>
    <s v="Yes"/>
    <s v="Payroll upload and Assist Neeti for emails"/>
    <x v="4"/>
    <x v="3"/>
  </r>
  <r>
    <d v="2024-03-26T00:00:00"/>
    <x v="43"/>
    <s v="Bookkeeping"/>
    <n v="0.5"/>
    <x v="95"/>
    <s v="Yes"/>
    <s v="Payroll bank upload and assisting neeti on emails"/>
    <x v="4"/>
    <x v="3"/>
  </r>
  <r>
    <d v="2024-03-26T00:00:00"/>
    <x v="43"/>
    <s v="Bookkeeping"/>
    <n v="2"/>
    <x v="15"/>
    <s v="Yes"/>
    <s v="Cashflow, AP Invoicing"/>
    <x v="4"/>
    <x v="3"/>
  </r>
  <r>
    <d v="2024-03-26T00:00:00"/>
    <x v="43"/>
    <s v="Client Meeting"/>
    <n v="0.5"/>
    <x v="15"/>
    <s v="Yes"/>
    <s v="Meeting with James"/>
    <x v="4"/>
    <x v="3"/>
  </r>
  <r>
    <d v="2024-03-26T00:00:00"/>
    <x v="43"/>
    <s v="Client Meeting"/>
    <n v="1"/>
    <x v="15"/>
    <s v="Yes"/>
    <s v="AR Catch up"/>
    <x v="4"/>
    <x v="3"/>
  </r>
  <r>
    <d v="2024-03-26T00:00:00"/>
    <x v="43"/>
    <s v="General"/>
    <n v="1"/>
    <x v="11"/>
    <s v="No"/>
    <s v="Handover training with Rose"/>
    <x v="4"/>
    <x v="3"/>
  </r>
  <r>
    <d v="2024-03-26T00:00:00"/>
    <x v="44"/>
    <s v="Bookkeeping"/>
    <n v="0.2"/>
    <x v="16"/>
    <s v="Yes"/>
    <s v="MBA invoice"/>
    <x v="4"/>
    <x v="3"/>
  </r>
  <r>
    <d v="2024-03-26T00:00:00"/>
    <x v="44"/>
    <s v="Bookkeeping"/>
    <n v="1.1000000000000001"/>
    <x v="16"/>
    <s v="Yes"/>
    <s v="BELCR monthly distributions &amp; fixed rates calc"/>
    <x v="4"/>
    <x v="3"/>
  </r>
  <r>
    <d v="2024-03-26T00:00:00"/>
    <x v="44"/>
    <s v="Bookkeeping"/>
    <n v="1.6"/>
    <x v="16"/>
    <s v="Yes"/>
    <s v="Bellinger Credit: Income tax estimate , start cashflow, review P&amp;L, change format"/>
    <x v="4"/>
    <x v="3"/>
  </r>
  <r>
    <d v="2024-03-26T00:00:00"/>
    <x v="44"/>
    <s v="Bookkeeping"/>
    <n v="1.7"/>
    <x v="16"/>
    <s v="Yes"/>
    <s v="review AP list, upload bk transactions, discuss distribution payments, bank transfers for currencies, AP emails, check queries with Sarah"/>
    <x v="4"/>
    <x v="3"/>
  </r>
  <r>
    <d v="2024-03-26T00:00:00"/>
    <x v="44"/>
    <s v="Client Manager"/>
    <n v="0.5"/>
    <x v="16"/>
    <s v="Yes"/>
    <s v="emails "/>
    <x v="4"/>
    <x v="3"/>
  </r>
  <r>
    <d v="2024-03-26T00:00:00"/>
    <x v="44"/>
    <s v="Client Manager"/>
    <n v="0.8"/>
    <x v="16"/>
    <s v="Yes"/>
    <s v="catch up with Rachele and Sarah, tasks for the week / payroll"/>
    <x v="4"/>
    <x v="3"/>
  </r>
  <r>
    <d v="2024-03-26T00:00:00"/>
    <x v="44"/>
    <s v="Client Meeting"/>
    <n v="1"/>
    <x v="16"/>
    <s v="Yes"/>
    <s v="Review of February accounts with directors "/>
    <x v="4"/>
    <x v="3"/>
  </r>
  <r>
    <d v="2024-03-26T00:00:00"/>
    <x v="44"/>
    <s v="Client Meeting"/>
    <n v="1.2"/>
    <x v="16"/>
    <s v="Yes"/>
    <s v="Catch up Stephen during day in office"/>
    <x v="4"/>
    <x v="3"/>
  </r>
  <r>
    <d v="2024-03-27T00:00:00"/>
    <x v="0"/>
    <s v="Annual Leave"/>
    <n v="8"/>
    <x v="11"/>
    <s v="No"/>
    <s v="Birthday Leave"/>
    <x v="4"/>
    <x v="4"/>
  </r>
  <r>
    <d v="2024-03-27T00:00:00"/>
    <x v="1"/>
    <s v="P&amp;C Advisory"/>
    <n v="1"/>
    <x v="34"/>
    <s v="Yes"/>
    <s v="Recruitment - Financial Accountant Remuneration reviews/correspondence"/>
    <x v="4"/>
    <x v="4"/>
  </r>
  <r>
    <d v="2024-03-27T00:00:00"/>
    <x v="1"/>
    <s v="P&amp;C Advisory - Nederman Mikropul"/>
    <n v="0.33"/>
    <x v="14"/>
    <s v="Yes"/>
    <s v="Correspondence re. salary review."/>
    <x v="4"/>
    <x v="4"/>
  </r>
  <r>
    <d v="2024-03-27T00:00:00"/>
    <x v="1"/>
    <s v="P&amp;C Advisory - Nederman PT"/>
    <n v="7"/>
    <x v="14"/>
    <s v="Yes"/>
    <s v="Draft script for disciplinary meeting Discussions with manager re. D &amp; A issue Disciplinary meeting Discussions with D &amp; A provider Correspondence with employee"/>
    <x v="4"/>
    <x v="4"/>
  </r>
  <r>
    <d v="2024-03-27T00:00:00"/>
    <x v="1"/>
    <s v="P&amp;C Advisory - Nordfab"/>
    <n v="0.5"/>
    <x v="14"/>
    <s v="Yes"/>
    <s v="Employment Agreement"/>
    <x v="4"/>
    <x v="4"/>
  </r>
  <r>
    <d v="2024-03-27T00:00:00"/>
    <x v="2"/>
    <s v="Bookkeeping"/>
    <n v="1.37"/>
    <x v="67"/>
    <s v="No"/>
    <s v="call with Sylvie"/>
    <x v="4"/>
    <x v="4"/>
  </r>
  <r>
    <d v="2024-03-27T00:00:00"/>
    <x v="2"/>
    <s v="Bookkeeping"/>
    <n v="2.52"/>
    <x v="58"/>
    <s v="Yes"/>
    <m/>
    <x v="4"/>
    <x v="4"/>
  </r>
  <r>
    <d v="2024-03-27T00:00:00"/>
    <x v="2"/>
    <s v="General"/>
    <n v="0.93"/>
    <x v="11"/>
    <s v="No"/>
    <s v="break, emails, follow ups, capacity, etc"/>
    <x v="4"/>
    <x v="4"/>
  </r>
  <r>
    <d v="2024-03-27T00:00:00"/>
    <x v="2"/>
    <s v="General"/>
    <n v="1.48"/>
    <x v="11"/>
    <s v="No"/>
    <s v="chats, emails, Asana, capacity, CDP, set OOO and invite for VL, etc"/>
    <x v="4"/>
    <x v="4"/>
  </r>
  <r>
    <d v="2024-03-27T00:00:00"/>
    <x v="2"/>
    <s v="Meetings"/>
    <n v="1.33"/>
    <x v="11"/>
    <s v="No"/>
    <s v="fortnightly seniors catchup"/>
    <x v="4"/>
    <x v="4"/>
  </r>
  <r>
    <d v="2024-03-27T00:00:00"/>
    <x v="2"/>
    <s v="Payroll Processing"/>
    <n v="0.48"/>
    <x v="33"/>
    <s v="Yes"/>
    <m/>
    <x v="4"/>
    <x v="4"/>
  </r>
  <r>
    <d v="2024-03-27T00:00:00"/>
    <x v="4"/>
    <s v="CFO Advisory"/>
    <n v="2"/>
    <x v="63"/>
    <s v="No"/>
    <s v="this 2 hours client liaison and not billable"/>
    <x v="4"/>
    <x v="4"/>
  </r>
  <r>
    <d v="2024-03-27T00:00:00"/>
    <x v="4"/>
    <s v="CFO Advisory"/>
    <n v="2"/>
    <x v="63"/>
    <s v="Yes"/>
    <m/>
    <x v="4"/>
    <x v="4"/>
  </r>
  <r>
    <d v="2024-03-27T00:00:00"/>
    <x v="4"/>
    <s v="General"/>
    <n v="4"/>
    <x v="11"/>
    <s v="No"/>
    <m/>
    <x v="4"/>
    <x v="4"/>
  </r>
  <r>
    <d v="2024-03-27T00:00:00"/>
    <x v="6"/>
    <s v="Automations"/>
    <n v="8"/>
    <x v="11"/>
    <s v="No"/>
    <s v="March 27 Alliance Report Automation - Part 1 - Adjusted the waiting time of check app state activities for time savings - Tested the bot and debugged the errors encountered  XeroDownloadReportsAutomation - updated the sequence, added terminate workflow for any errors encountered, and invoke workflow to restart the process when errors encountered - Tested the bot and debugged the errors encountered"/>
    <x v="4"/>
    <x v="4"/>
  </r>
  <r>
    <d v="2024-03-27T00:00:00"/>
    <x v="9"/>
    <s v="Automations"/>
    <n v="9.08"/>
    <x v="11"/>
    <s v="No"/>
    <s v="Matrix Data Table Part 2 Development"/>
    <x v="4"/>
    <x v="4"/>
  </r>
  <r>
    <d v="2024-03-27T00:00:00"/>
    <x v="10"/>
    <s v="Bookkeeping"/>
    <n v="0.92"/>
    <x v="85"/>
    <s v="Yes"/>
    <s v="bank recon, loading bills"/>
    <x v="4"/>
    <x v="4"/>
  </r>
  <r>
    <d v="2024-03-27T00:00:00"/>
    <x v="10"/>
    <s v="Bookkeeping"/>
    <n v="3.25"/>
    <x v="23"/>
    <s v="Yes"/>
    <s v="Emails, loading bills, creating invoices, bank recon, weekly report"/>
    <x v="4"/>
    <x v="4"/>
  </r>
  <r>
    <d v="2024-03-27T00:00:00"/>
    <x v="10"/>
    <s v="Payroll Processing"/>
    <n v="0.25"/>
    <x v="50"/>
    <s v="Yes"/>
    <s v="weekly payroll"/>
    <x v="4"/>
    <x v="4"/>
  </r>
  <r>
    <d v="2024-03-27T00:00:00"/>
    <x v="10"/>
    <s v="Payroll Processing"/>
    <n v="0.25"/>
    <x v="51"/>
    <s v="Yes"/>
    <s v="weekly payroll"/>
    <x v="4"/>
    <x v="4"/>
  </r>
  <r>
    <d v="2024-03-27T00:00:00"/>
    <x v="10"/>
    <s v="Payroll Processing"/>
    <n v="0.67"/>
    <x v="19"/>
    <s v="Yes"/>
    <s v="weekly payroll"/>
    <x v="4"/>
    <x v="4"/>
  </r>
  <r>
    <d v="2024-03-27T00:00:00"/>
    <x v="10"/>
    <s v="Payroll Processing"/>
    <n v="0.83"/>
    <x v="103"/>
    <s v="Yes"/>
    <s v="weekly payroll"/>
    <x v="4"/>
    <x v="4"/>
  </r>
  <r>
    <d v="2024-03-27T00:00:00"/>
    <x v="10"/>
    <s v="Payroll Processing"/>
    <n v="0.83"/>
    <x v="20"/>
    <s v="Yes"/>
    <s v="weekly payroll"/>
    <x v="4"/>
    <x v="4"/>
  </r>
  <r>
    <d v="2024-03-27T00:00:00"/>
    <x v="10"/>
    <s v="Payroll Processing"/>
    <n v="1"/>
    <x v="50"/>
    <s v="No"/>
    <s v="Watching hand over recordings, checking each employee details on PHG and 4 Oporto entities to ensure everything is correct"/>
    <x v="4"/>
    <x v="4"/>
  </r>
  <r>
    <d v="2024-03-27T00:00:00"/>
    <x v="11"/>
    <s v="Bookkeeping"/>
    <n v="0.23"/>
    <x v="29"/>
    <s v="Yes"/>
    <s v="inbox/ holiday reminders"/>
    <x v="4"/>
    <x v="4"/>
  </r>
  <r>
    <d v="2024-03-27T00:00:00"/>
    <x v="11"/>
    <s v="Bookkeeping"/>
    <n v="0.28000000000000003"/>
    <x v="73"/>
    <s v="Yes"/>
    <s v="dadworld"/>
    <x v="4"/>
    <x v="4"/>
  </r>
  <r>
    <d v="2024-03-27T00:00:00"/>
    <x v="11"/>
    <s v="Bookkeeping"/>
    <n v="0.33"/>
    <x v="73"/>
    <s v="Yes"/>
    <s v="meeting w/ Shalini re: sale of Dadtronica"/>
    <x v="4"/>
    <x v="4"/>
  </r>
  <r>
    <d v="2024-03-27T00:00:00"/>
    <x v="11"/>
    <s v="Bookkeeping"/>
    <n v="0.48"/>
    <x v="27"/>
    <s v="Yes"/>
    <s v="emails/ queries"/>
    <x v="4"/>
    <x v="4"/>
  </r>
  <r>
    <d v="2024-03-27T00:00:00"/>
    <x v="11"/>
    <s v="Bookkeeping"/>
    <n v="0.55000000000000004"/>
    <x v="73"/>
    <s v="Yes"/>
    <s v="adj entry dadtronica sale"/>
    <x v="4"/>
    <x v="4"/>
  </r>
  <r>
    <d v="2024-03-27T00:00:00"/>
    <x v="11"/>
    <s v="Bookkeeping"/>
    <n v="0.85"/>
    <x v="15"/>
    <s v="Yes"/>
    <s v="inbox"/>
    <x v="4"/>
    <x v="4"/>
  </r>
  <r>
    <d v="2024-03-27T00:00:00"/>
    <x v="11"/>
    <s v="General"/>
    <n v="0.5"/>
    <x v="11"/>
    <s v="No"/>
    <s v="break"/>
    <x v="4"/>
    <x v="4"/>
  </r>
  <r>
    <d v="2024-03-27T00:00:00"/>
    <x v="11"/>
    <s v="General"/>
    <n v="0.55000000000000004"/>
    <x v="11"/>
    <s v="No"/>
    <s v="emails/ teams/ Sprout/ holiday sched"/>
    <x v="4"/>
    <x v="4"/>
  </r>
  <r>
    <d v="2024-03-27T00:00:00"/>
    <x v="11"/>
    <s v="Meetings"/>
    <n v="0.13"/>
    <x v="11"/>
    <s v="No"/>
    <s v="seniors"/>
    <x v="4"/>
    <x v="4"/>
  </r>
  <r>
    <d v="2024-03-27T00:00:00"/>
    <x v="11"/>
    <s v="Meetings"/>
    <n v="1.35"/>
    <x v="11"/>
    <s v="No"/>
    <s v="seniors catch-up"/>
    <x v="4"/>
    <x v="4"/>
  </r>
  <r>
    <d v="2024-03-27T00:00:00"/>
    <x v="11"/>
    <s v="Payroll Processing"/>
    <n v="0.18"/>
    <x v="15"/>
    <s v="Yes"/>
    <s v="last pass extension"/>
    <x v="4"/>
    <x v="4"/>
  </r>
  <r>
    <d v="2024-03-27T00:00:00"/>
    <x v="11"/>
    <s v="Payroll Processing"/>
    <n v="0.18"/>
    <x v="15"/>
    <s v="Yes"/>
    <s v="last pass/ inbox"/>
    <x v="4"/>
    <x v="4"/>
  </r>
  <r>
    <d v="2024-03-27T00:00:00"/>
    <x v="11"/>
    <s v="Payroll Processing"/>
    <n v="0.25"/>
    <x v="15"/>
    <s v="Yes"/>
    <s v="inbox"/>
    <x v="4"/>
    <x v="4"/>
  </r>
  <r>
    <d v="2024-03-27T00:00:00"/>
    <x v="11"/>
    <s v="Payroll Processing"/>
    <n v="0.43"/>
    <x v="12"/>
    <s v="Yes"/>
    <s v="queries/ review"/>
    <x v="4"/>
    <x v="4"/>
  </r>
  <r>
    <d v="2024-03-27T00:00:00"/>
    <x v="11"/>
    <s v="Payroll Processing"/>
    <n v="0.55000000000000004"/>
    <x v="15"/>
    <s v="Yes"/>
    <m/>
    <x v="4"/>
    <x v="4"/>
  </r>
  <r>
    <d v="2024-03-27T00:00:00"/>
    <x v="11"/>
    <s v="Payroll Processing"/>
    <n v="1.1299999999999999"/>
    <x v="12"/>
    <s v="Yes"/>
    <s v="review"/>
    <x v="4"/>
    <x v="4"/>
  </r>
  <r>
    <d v="2024-03-27T00:00:00"/>
    <x v="12"/>
    <s v="Bookkeeping"/>
    <n v="0.17"/>
    <x v="15"/>
    <s v="Yes"/>
    <e v="#NAME?"/>
    <x v="4"/>
    <x v="4"/>
  </r>
  <r>
    <d v="2024-03-27T00:00:00"/>
    <x v="12"/>
    <s v="General"/>
    <n v="9.75"/>
    <x v="11"/>
    <s v="No"/>
    <s v="- Nick's Inbox management - ASIC - ATO - Retrieval of Equipment Report - Laptop Inventory Report "/>
    <x v="4"/>
    <x v="4"/>
  </r>
  <r>
    <d v="2024-03-27T00:00:00"/>
    <x v="13"/>
    <s v="Bookkeeping"/>
    <n v="1"/>
    <x v="28"/>
    <s v="Yes"/>
    <s v="bank transactions."/>
    <x v="4"/>
    <x v="4"/>
  </r>
  <r>
    <d v="2024-03-27T00:00:00"/>
    <x v="13"/>
    <s v="Bookkeeping"/>
    <n v="1.3"/>
    <x v="30"/>
    <s v="Yes"/>
    <s v="bank recon checking of supplier bank details emails"/>
    <x v="4"/>
    <x v="4"/>
  </r>
  <r>
    <d v="2024-03-27T00:00:00"/>
    <x v="13"/>
    <s v="Bookkeeping"/>
    <n v="1.97"/>
    <x v="29"/>
    <s v="Yes"/>
    <s v="ap payment emails bank recon"/>
    <x v="4"/>
    <x v="4"/>
  </r>
  <r>
    <d v="2024-03-27T00:00:00"/>
    <x v="13"/>
    <s v="Bookkeeping"/>
    <n v="2.37"/>
    <x v="71"/>
    <s v="Yes"/>
    <s v="cash on hand training"/>
    <x v="4"/>
    <x v="4"/>
  </r>
  <r>
    <d v="2024-03-27T00:00:00"/>
    <x v="13"/>
    <s v="Bookkeeping - AP"/>
    <n v="1.37"/>
    <x v="31"/>
    <s v="Yes"/>
    <s v="appoved ap invoices"/>
    <x v="4"/>
    <x v="4"/>
  </r>
  <r>
    <d v="2024-03-27T00:00:00"/>
    <x v="14"/>
    <s v="Bookkeeping"/>
    <n v="0.32"/>
    <x v="32"/>
    <s v="No"/>
    <s v="Answering questions (relating to hand over)"/>
    <x v="4"/>
    <x v="4"/>
  </r>
  <r>
    <d v="2024-03-27T00:00:00"/>
    <x v="14"/>
    <s v="Bookkeeping"/>
    <n v="0.92"/>
    <x v="73"/>
    <s v="Yes"/>
    <s v="Bank recs"/>
    <x v="4"/>
    <x v="4"/>
  </r>
  <r>
    <d v="2024-03-27T00:00:00"/>
    <x v="14"/>
    <s v="Bookkeeping"/>
    <n v="1.18"/>
    <x v="25"/>
    <s v="Yes"/>
    <s v="Clean up of debtors payment"/>
    <x v="4"/>
    <x v="4"/>
  </r>
  <r>
    <d v="2024-03-27T00:00:00"/>
    <x v="14"/>
    <s v="Client Meeting"/>
    <n v="0.32"/>
    <x v="73"/>
    <s v="No"/>
    <s v="Quick discussion with Shalini re Sale of a product line"/>
    <x v="4"/>
    <x v="4"/>
  </r>
  <r>
    <d v="2024-03-27T00:00:00"/>
    <x v="14"/>
    <s v="General"/>
    <n v="0.25"/>
    <x v="11"/>
    <s v="No"/>
    <s v="Checking emails, asana"/>
    <x v="4"/>
    <x v="4"/>
  </r>
  <r>
    <d v="2024-03-27T00:00:00"/>
    <x v="14"/>
    <s v="Meetings"/>
    <n v="1.67"/>
    <x v="11"/>
    <s v="No"/>
    <s v="FN Catch-up with Ann and Xavi"/>
    <x v="4"/>
    <x v="4"/>
  </r>
  <r>
    <d v="2024-03-27T00:00:00"/>
    <x v="14"/>
    <s v="Payroll Processing"/>
    <n v="0.25"/>
    <x v="33"/>
    <s v="Yes"/>
    <s v="Publishing payslips, checking payroll reports"/>
    <x v="4"/>
    <x v="4"/>
  </r>
  <r>
    <d v="2024-03-27T00:00:00"/>
    <x v="14"/>
    <s v="Payroll Processing"/>
    <n v="0.45"/>
    <x v="34"/>
    <s v="Yes"/>
    <s v="Creating asana tasks for the adhoc pay run, "/>
    <x v="4"/>
    <x v="4"/>
  </r>
  <r>
    <d v="2024-03-27T00:00:00"/>
    <x v="14"/>
    <s v="Payroll Processing"/>
    <n v="0.6"/>
    <x v="34"/>
    <s v="Yes"/>
    <s v="Publishing payslips, submitting to ATO, and clearing inbox"/>
    <x v="4"/>
    <x v="4"/>
  </r>
  <r>
    <d v="2024-03-27T00:00:00"/>
    <x v="14"/>
    <s v="Payroll Processing"/>
    <n v="2.7"/>
    <x v="33"/>
    <s v="Yes"/>
    <s v="Payroll"/>
    <x v="4"/>
    <x v="4"/>
  </r>
  <r>
    <d v="2024-03-27T00:00:00"/>
    <x v="15"/>
    <s v="Annual Leave"/>
    <n v="8"/>
    <x v="11"/>
    <s v="No"/>
    <m/>
    <x v="4"/>
    <x v="4"/>
  </r>
  <r>
    <d v="2024-03-27T00:00:00"/>
    <x v="16"/>
    <s v="Bookkeeping"/>
    <n v="1.28"/>
    <x v="35"/>
    <s v="Yes"/>
    <m/>
    <x v="4"/>
    <x v="4"/>
  </r>
  <r>
    <d v="2024-03-27T00:00:00"/>
    <x v="16"/>
    <s v="Meetings"/>
    <n v="0.6"/>
    <x v="11"/>
    <s v="No"/>
    <s v="Team RJ"/>
    <x v="4"/>
    <x v="4"/>
  </r>
  <r>
    <d v="2024-03-27T00:00:00"/>
    <x v="16"/>
    <s v="Payroll Processing"/>
    <n v="6.18"/>
    <x v="1"/>
    <s v="Yes"/>
    <m/>
    <x v="4"/>
    <x v="4"/>
  </r>
  <r>
    <d v="2024-03-27T00:00:00"/>
    <x v="18"/>
    <s v="Bookkeeping"/>
    <n v="0.5"/>
    <x v="40"/>
    <s v="Yes"/>
    <s v="Payroll Tax for March 2024"/>
    <x v="4"/>
    <x v="4"/>
  </r>
  <r>
    <d v="2024-03-27T00:00:00"/>
    <x v="18"/>
    <s v="Bookkeeping"/>
    <n v="1"/>
    <x v="35"/>
    <s v="Yes"/>
    <s v="ap bills review"/>
    <x v="4"/>
    <x v="4"/>
  </r>
  <r>
    <d v="2024-03-27T00:00:00"/>
    <x v="18"/>
    <s v="Bookkeeping"/>
    <n v="2.25"/>
    <x v="40"/>
    <s v="Yes"/>
    <s v="ap items, invoices from procore, hubdoc &amp; EH Items"/>
    <x v="4"/>
    <x v="4"/>
  </r>
  <r>
    <d v="2024-03-27T00:00:00"/>
    <x v="18"/>
    <s v="Bookkeeping"/>
    <n v="2.87"/>
    <x v="27"/>
    <s v="Yes"/>
    <m/>
    <x v="4"/>
    <x v="4"/>
  </r>
  <r>
    <d v="2024-03-27T00:00:00"/>
    <x v="18"/>
    <s v="General"/>
    <n v="0.03"/>
    <x v="11"/>
    <s v="No"/>
    <m/>
    <x v="4"/>
    <x v="4"/>
  </r>
  <r>
    <d v="2024-03-27T00:00:00"/>
    <x v="18"/>
    <s v="Meetings"/>
    <n v="0.65"/>
    <x v="11"/>
    <s v="No"/>
    <s v="Weekly team huddle"/>
    <x v="4"/>
    <x v="4"/>
  </r>
  <r>
    <d v="2024-03-27T00:00:00"/>
    <x v="18"/>
    <s v="Payroll Processing"/>
    <n v="0.7"/>
    <x v="40"/>
    <s v="Yes"/>
    <m/>
    <x v="4"/>
    <x v="4"/>
  </r>
  <r>
    <d v="2024-03-27T00:00:00"/>
    <x v="19"/>
    <s v="Automations - Surefire"/>
    <n v="8"/>
    <x v="11"/>
    <s v="No"/>
    <s v="Surefire Automation"/>
    <x v="4"/>
    <x v="4"/>
  </r>
  <r>
    <d v="2024-03-27T00:00:00"/>
    <x v="20"/>
    <s v="Automations - Skylife"/>
    <n v="8"/>
    <x v="11"/>
    <s v="No"/>
    <m/>
    <x v="4"/>
    <x v="4"/>
  </r>
  <r>
    <d v="2024-03-27T00:00:00"/>
    <x v="21"/>
    <s v="Automations"/>
    <n v="8"/>
    <x v="11"/>
    <s v="No"/>
    <s v="Run: LOC Dev: Holdsworth Update Automation"/>
    <x v="4"/>
    <x v="4"/>
  </r>
  <r>
    <d v="2024-03-27T00:00:00"/>
    <x v="22"/>
    <s v="General"/>
    <n v="0.33"/>
    <x v="11"/>
    <s v="No"/>
    <s v="Teams message with Nicole re BS rec, log Dexter process"/>
    <x v="4"/>
    <x v="4"/>
  </r>
  <r>
    <d v="2024-03-27T00:00:00"/>
    <x v="22"/>
    <s v="General"/>
    <n v="1.05"/>
    <x v="11"/>
    <s v="No"/>
    <s v="Review unpaid bills and chase clients, meeting with Sylvie and Carly"/>
    <x v="4"/>
    <x v="4"/>
  </r>
  <r>
    <d v="2024-03-27T00:00:00"/>
    <x v="22"/>
    <s v="Payroll Processing"/>
    <n v="0.25"/>
    <x v="103"/>
    <s v="Yes"/>
    <s v="Queries to Ash / Eric re super / TFNs etc."/>
    <x v="4"/>
    <x v="4"/>
  </r>
  <r>
    <d v="2024-03-27T00:00:00"/>
    <x v="22"/>
    <s v="Payroll Processing"/>
    <n v="0.55000000000000004"/>
    <x v="34"/>
    <s v="Yes"/>
    <s v="Finalise and load payruns, review salary increase sheets and send email to Ali with queries. "/>
    <x v="4"/>
    <x v="4"/>
  </r>
  <r>
    <d v="2024-03-27T00:00:00"/>
    <x v="22"/>
    <s v="Payroll Processing"/>
    <n v="1.58"/>
    <x v="103"/>
    <s v="Yes"/>
    <s v="Employee setup including tax details and super funds"/>
    <x v="4"/>
    <x v="4"/>
  </r>
  <r>
    <d v="2024-03-27T00:00:00"/>
    <x v="22"/>
    <s v="Payroll Processing"/>
    <n v="2.5499999999999998"/>
    <x v="34"/>
    <s v="Yes"/>
    <s v="Payroll review and email to client"/>
    <x v="4"/>
    <x v="4"/>
  </r>
  <r>
    <d v="2024-03-27T00:00:00"/>
    <x v="23"/>
    <s v="Annual Leave"/>
    <n v="8"/>
    <x v="11"/>
    <s v="No"/>
    <m/>
    <x v="4"/>
    <x v="4"/>
  </r>
  <r>
    <d v="2024-03-27T00:00:00"/>
    <x v="48"/>
    <s v="HR/Recuitment"/>
    <n v="2"/>
    <x v="11"/>
    <s v="No"/>
    <s v="Interview x 2 candidates for Finance Manager role and write up notes - email non suitable candidates.  Respond to SD email on Space Industry enquiry re Superannuation for contractor"/>
    <x v="4"/>
    <x v="4"/>
  </r>
  <r>
    <d v="2024-03-27T00:00:00"/>
    <x v="48"/>
    <s v="P&amp;C Advisory"/>
    <n v="6"/>
    <x v="9"/>
    <s v="Yes"/>
    <s v="Check emails and respond. Teams chat with GM AF Qld to discuss Ops employee, terminated employee and update, and changes to AF structure.  Work on LMS curriculum - continue preparing people management program, review COO comments re LMS curriculum, and add details.  Review policy on car allowance from CFO and put in MKP template for uploading to EC."/>
    <x v="4"/>
    <x v="4"/>
  </r>
  <r>
    <d v="2024-03-27T00:00:00"/>
    <x v="24"/>
    <s v="Sick Leave"/>
    <n v="8"/>
    <x v="11"/>
    <s v="No"/>
    <s v="Emergency Leave"/>
    <x v="4"/>
    <x v="4"/>
  </r>
  <r>
    <d v="2024-03-27T00:00:00"/>
    <x v="26"/>
    <s v="Adhoc Support &amp; Advice"/>
    <n v="1.5"/>
    <x v="15"/>
    <s v="No"/>
    <s v="recon"/>
    <x v="4"/>
    <x v="4"/>
  </r>
  <r>
    <d v="2024-03-27T00:00:00"/>
    <x v="26"/>
    <s v="Debt Collection"/>
    <n v="2"/>
    <x v="15"/>
    <s v="Yes"/>
    <m/>
    <x v="4"/>
    <x v="4"/>
  </r>
  <r>
    <d v="2024-03-27T00:00:00"/>
    <x v="26"/>
    <s v="Debt Collection"/>
    <n v="4"/>
    <x v="11"/>
    <s v="Yes"/>
    <m/>
    <x v="4"/>
    <x v="4"/>
  </r>
  <r>
    <d v="2024-03-27T00:00:00"/>
    <x v="26"/>
    <s v="General"/>
    <n v="0.5"/>
    <x v="11"/>
    <s v="No"/>
    <s v="break"/>
    <x v="4"/>
    <x v="4"/>
  </r>
  <r>
    <d v="2024-03-27T00:00:00"/>
    <x v="28"/>
    <s v="Bookkeeping"/>
    <n v="1.27"/>
    <x v="57"/>
    <s v="Yes"/>
    <s v="Amended the bank details of Dexler and process the payment.  Process the payment again for Meta Import Paypal currencies and reconciled Clearing Account International Klarna"/>
    <x v="4"/>
    <x v="4"/>
  </r>
  <r>
    <d v="2024-03-27T00:00:00"/>
    <x v="28"/>
    <s v="Bookkeeping"/>
    <n v="1.33"/>
    <x v="57"/>
    <s v="Yes"/>
    <s v="Payment Process to CBA"/>
    <x v="4"/>
    <x v="4"/>
  </r>
  <r>
    <d v="2024-03-27T00:00:00"/>
    <x v="28"/>
    <s v="Bookkeeping"/>
    <n v="3.98"/>
    <x v="57"/>
    <s v="Yes"/>
    <s v="Email Management Bills raise to Xero Bank reconciliation BM Make a plan date Prepared payable invoice summary report Bank Reconciliation LOC Inc   "/>
    <x v="4"/>
    <x v="4"/>
  </r>
  <r>
    <d v="2024-03-27T00:00:00"/>
    <x v="28"/>
    <s v="General"/>
    <n v="0.5"/>
    <x v="11"/>
    <s v="No"/>
    <s v="Break"/>
    <x v="4"/>
    <x v="4"/>
  </r>
  <r>
    <d v="2024-03-27T00:00:00"/>
    <x v="28"/>
    <s v="Meetings"/>
    <n v="0.68"/>
    <x v="11"/>
    <s v="No"/>
    <s v="Team Huddle "/>
    <x v="4"/>
    <x v="4"/>
  </r>
  <r>
    <d v="2024-03-27T00:00:00"/>
    <x v="28"/>
    <s v="Payroll Processing"/>
    <n v="0.23"/>
    <x v="30"/>
    <s v="No"/>
    <s v="Shadow to Ms. Linds the payroll process"/>
    <x v="4"/>
    <x v="4"/>
  </r>
  <r>
    <d v="2024-03-27T00:00:00"/>
    <x v="29"/>
    <s v="IT"/>
    <n v="9"/>
    <x v="11"/>
    <s v="No"/>
    <s v="Support &amp; Security"/>
    <x v="4"/>
    <x v="4"/>
  </r>
  <r>
    <d v="2024-03-27T00:00:00"/>
    <x v="30"/>
    <s v="Bookkeeping"/>
    <n v="0.38"/>
    <x v="26"/>
    <s v="Yes"/>
    <s v="Bank Recon"/>
    <x v="4"/>
    <x v="4"/>
  </r>
  <r>
    <d v="2024-03-27T00:00:00"/>
    <x v="30"/>
    <s v="Bookkeeping"/>
    <n v="3.38"/>
    <x v="5"/>
    <s v="No"/>
    <s v="EOFY - TGS (On Going)"/>
    <x v="4"/>
    <x v="4"/>
  </r>
  <r>
    <d v="2024-03-27T00:00:00"/>
    <x v="30"/>
    <s v="Bookkeeping"/>
    <n v="4.12"/>
    <x v="58"/>
    <s v="Yes"/>
    <s v="Email Management Bank Recon Bills Processing Invoice Processing Preparation of Cash Flow"/>
    <x v="4"/>
    <x v="4"/>
  </r>
  <r>
    <d v="2024-03-27T00:00:00"/>
    <x v="30"/>
    <s v="Meetings"/>
    <n v="0.25"/>
    <x v="11"/>
    <s v="No"/>
    <s v="meeting with Jordan re: Skylife concerns  "/>
    <x v="4"/>
    <x v="4"/>
  </r>
  <r>
    <d v="2024-03-27T00:00:00"/>
    <x v="31"/>
    <s v="Annual Leave"/>
    <n v="8"/>
    <x v="11"/>
    <s v="No"/>
    <s v="VL"/>
    <x v="4"/>
    <x v="4"/>
  </r>
  <r>
    <d v="2024-03-27T00:00:00"/>
    <x v="31"/>
    <s v="Bookkeeping"/>
    <n v="0.13"/>
    <x v="11"/>
    <s v="No"/>
    <s v="Fixing Food Rascal invoice payment application"/>
    <x v="4"/>
    <x v="4"/>
  </r>
  <r>
    <d v="2024-03-27T00:00:00"/>
    <x v="32"/>
    <s v="Web"/>
    <n v="10"/>
    <x v="11"/>
    <s v="No"/>
    <s v="📌 loading animation of insights/case studies when the arrow is clicked  ✅ check Zoho bookings  ✅ remove Jessica Sinclair from the team section  📌 Newsletter Subscribe Pop Up on Website    - rectangular   - use the font branding   - close the popup with X top right    - Interested in receive helpful monthly insights &amp; expert advice    to support the ongoing financial healh of your business?    ✅ submitted the final design to Steph of AskMarketing   ✅ submitted the first draft of the design for the newsletter pop-up   ✅ go with the blue green gradient version    ▪ Development    ✅ install Pop-up Maker Plugin      - wp plugin install popup-maker     - wp plugin activate popup-maker    🟥 create a new popup theme      - overlay         - color : #F5F5F5       - opacity : 75      - container        - padding : will be set on style sheet level       - background : will be set on style sheet       - border : none       - drop shadow : will be set on style sheet      - title       - font size       - line-heigh t      - font-family       - font style       - alignment       - text shadow      - content       - color       - font-family       - font-weight       - style      - close       - close button text : ✖       - position outsite container : no       - location : top right       - top , right        - size : padding, height, width, border-radius       - background : none , opacity 0       - font : color : white, line-height: 1, font-family : def, font-weight: normal, style : regular       - border : none       - drop shadow : opacity : 0; horizontal : 0; vertical position: 0; blur radius : 0; spread: 0;       - text-shadow : color : none ; opacity : 0%; horizontal position: 0; blur-radius : 0      ✅ embed the form        - [gravityform id=1 title=false description=false ajax=false]       -   📌 remove Rose Caliwag from website team page (April 05)  📌 integrate Zoho CRM to Gravity Forms    🟨 create a lead when there's a signup for newsletter form   🟨 create a lead when user books an appointment in Zoho Bookings  📌 assist Mich in embedding a video in the contact page    - Mich asked to embed a video in the contact us page   - it will sit beside the contact form of Zoho Bookings   - before or after the forms?   📌 add Quality Management System to the Intranet      📝 Alison followed up on adding the Quality Management System      📝 We're going to discuss if there's a need to add a section under that page or just revise   the content of the page.    🟥 add Quality Management System sub-menu under Policies and Procedures   ✅ add a section under Policies and Procedures page titled Quality Management System    📝 to be notified by Bern which documents belong to what category and subcategory    📝 copy the index page for the sub category (optional)   📝 copy the index page to designated folder   📝 download all the files related to flow   📝 edit the content of the page copied   📝 update the quick links of the parent page    📌 build a spreadsheet for calculating the pricing of a payroll service   📌 remove Paulo Trinilla, Sherwin; add Zerradiene in Application Form notif settings  📌 Check the Xero Invoices of Dexterous Group    📝 if the the banner for offering CFO services exist, replace or remove it.   📝 followed up Nick regarding the change of the design  📌 review the unsubscribed functionality   📌 improve the styling for the gravity forms especially the label  📌 setup SharePoint client pages      ▪ Chemika   ▪ Luminary   ▪ The Yacht Life   ▪ Angela McHugh  ✅ deploy the integration of Google Analytics to the site    📝 conversion event for consult lead      - current setup is that a conversion will be recorded when a thank you page was visited    📝 conversion event for newsletter subscribe      - a trigger from the Google Analytics plugin      - just need to monitor the process    🟥 investigate how to use data layer for recording conversion  📌 publish an editable pdf for the Payroll questionnaire  📌 clone the latest copy of prod to staging and local    ✅ download a backup of the prod site          - the files and assets     - export the database     ▪ Staging      ✅ create a copy of the wp-config of staging site    ✅ create a copy of the htaccess of staging site   ✅ reset the database of the staging site (verify and check)   ✅ copy the files of the prod site to staging   ✅ import the prod database to staging database   ✅ run this query to update url :       wp db query UPDATE dg_options SET option_value = 'https://staging.dexterousgroup.com.au' WHERE option_name IN ('siteurl', 'home')    ✅ copy the wp-config file of staging into the working directory of staging site   ✅ copy the htaccess of staging into the working directory of staging site    🟥 review form notifications     ▪ Local    ✅ create a copy of the wp-config of staging site    ✅ create a copy of the htaccess of staging site   ✅ copy the wp-config file of staging into the working directory of staging site   ✅ copy the files of the prod site to local   ✅ copy the htaccess of staging into the working directory of staging site   ✅ reset the database of the local site (verify and check)   ✅ import the prod database to local database   ✅ run this query to update url :       wp db query UPDATE dg_options SET option_value = 'https://cupgo.test' WHERE option_name IN ('siteurl', 'home')    🟥 review form notifications   ✅ review site settings      ▪ site health     ▪ duplicated custom fields (built-in)    ✅ update the plugins         ▪ update the Yoast SEO Plugin    ✅ turn off comment end point ?    ✅ audit comments and mark spam comments   ✅ update the 'Disallowed Comment Keys'   ✅ review configuration of WordFence (temporarily dismissed)   ✅ review config files   ✅ install node packages   ✅ update configuration of browsersync  📌 review the photos in the old drive for the meet the team section of About Page    ▪ requested by Jeric  📌 migrate Yoast SEO data from the old site to new  📌 update Dexterous Values wallpaper  📌 review the notification email for the Application Form on website   📌 Edit the analytics view for Google Analytics  📌 check integration of Zoho CRM to Zoho Bookings  📌 change the logo of bookings in Zoho   📌 Check the Xero Invoices of Dexterous Group    📝 if the the banner for offering CFO services exist, replace or remove it.   📝 followed up Nick regarding the change of the design   📝 Nick has chosen to use photo of Libby and Kate    ✅ update the invoice template for Ezidebit   ✅ update the invoice template for Standard v 1   ✅ update the invoice template for Xero Direct Debit"/>
    <x v="4"/>
    <x v="4"/>
  </r>
  <r>
    <d v="2024-03-27T00:00:00"/>
    <x v="33"/>
    <s v="Bookkeeping"/>
    <n v="0.5"/>
    <x v="60"/>
    <s v="Yes"/>
    <s v="preparing AP list"/>
    <x v="4"/>
    <x v="4"/>
  </r>
  <r>
    <d v="2024-03-27T00:00:00"/>
    <x v="33"/>
    <s v="Bookkeeping"/>
    <n v="0.5"/>
    <x v="32"/>
    <s v="Yes"/>
    <m/>
    <x v="4"/>
    <x v="4"/>
  </r>
  <r>
    <d v="2024-03-27T00:00:00"/>
    <x v="33"/>
    <s v="Bookkeeping"/>
    <n v="0.5"/>
    <x v="48"/>
    <s v="Yes"/>
    <m/>
    <x v="4"/>
    <x v="4"/>
  </r>
  <r>
    <d v="2024-03-27T00:00:00"/>
    <x v="33"/>
    <s v="Bookkeeping"/>
    <n v="0.5"/>
    <x v="59"/>
    <s v="Yes"/>
    <m/>
    <x v="4"/>
    <x v="4"/>
  </r>
  <r>
    <d v="2024-03-27T00:00:00"/>
    <x v="33"/>
    <s v="Bookkeeping"/>
    <n v="3"/>
    <x v="9"/>
    <s v="Yes"/>
    <m/>
    <x v="4"/>
    <x v="4"/>
  </r>
  <r>
    <d v="2024-03-27T00:00:00"/>
    <x v="33"/>
    <s v="Payroll Processing"/>
    <n v="0.5"/>
    <x v="32"/>
    <s v="Yes"/>
    <m/>
    <x v="4"/>
    <x v="4"/>
  </r>
  <r>
    <d v="2024-03-27T00:00:00"/>
    <x v="34"/>
    <s v="Client Manager"/>
    <n v="0.18"/>
    <x v="75"/>
    <s v="No"/>
    <s v="Emails"/>
    <x v="4"/>
    <x v="4"/>
  </r>
  <r>
    <d v="2024-03-27T00:00:00"/>
    <x v="34"/>
    <s v="Client Manager"/>
    <n v="0.82"/>
    <x v="96"/>
    <s v="No"/>
    <s v="Fathom report"/>
    <x v="4"/>
    <x v="4"/>
  </r>
  <r>
    <d v="2024-03-27T00:00:00"/>
    <x v="34"/>
    <s v="Client Manager"/>
    <n v="2.2999999999999998"/>
    <x v="0"/>
    <s v="No"/>
    <s v="Learning and using Tango to prepare procedures"/>
    <x v="4"/>
    <x v="4"/>
  </r>
  <r>
    <d v="2024-03-27T00:00:00"/>
    <x v="34"/>
    <s v="Client Meeting"/>
    <n v="0.83"/>
    <x v="75"/>
    <s v="Yes"/>
    <s v="Meeting with Scott and Jenny"/>
    <x v="4"/>
    <x v="4"/>
  </r>
  <r>
    <d v="2024-03-27T00:00:00"/>
    <x v="34"/>
    <s v="General"/>
    <n v="0.73"/>
    <x v="11"/>
    <s v="No"/>
    <s v="Emails, Teams, Asana"/>
    <x v="4"/>
    <x v="4"/>
  </r>
  <r>
    <d v="2024-03-27T00:00:00"/>
    <x v="35"/>
    <s v="Bookkeeping"/>
    <n v="0.38"/>
    <x v="62"/>
    <s v="Yes"/>
    <s v="Bill &amp; email"/>
    <x v="4"/>
    <x v="4"/>
  </r>
  <r>
    <d v="2024-03-27T00:00:00"/>
    <x v="35"/>
    <s v="Bookkeeping"/>
    <n v="0.56999999999999995"/>
    <x v="33"/>
    <s v="Yes"/>
    <s v="email,AR"/>
    <x v="4"/>
    <x v="4"/>
  </r>
  <r>
    <d v="2024-03-27T00:00:00"/>
    <x v="35"/>
    <s v="Bookkeeping"/>
    <n v="0.88"/>
    <x v="62"/>
    <s v="Yes"/>
    <s v="files &amp; drafbills"/>
    <x v="4"/>
    <x v="4"/>
  </r>
  <r>
    <d v="2024-03-27T00:00:00"/>
    <x v="35"/>
    <s v="Bookkeeping"/>
    <n v="1"/>
    <x v="33"/>
    <s v="Yes"/>
    <s v="Dec - Jan2024 GST varaiance"/>
    <x v="4"/>
    <x v="4"/>
  </r>
  <r>
    <d v="2024-03-27T00:00:00"/>
    <x v="35"/>
    <s v="Bookkeeping"/>
    <n v="1.08"/>
    <x v="62"/>
    <s v="Yes"/>
    <s v="BR"/>
    <x v="4"/>
    <x v="4"/>
  </r>
  <r>
    <d v="2024-03-27T00:00:00"/>
    <x v="35"/>
    <s v="Bookkeeping"/>
    <n v="1.17"/>
    <x v="33"/>
    <s v="Yes"/>
    <s v="Feb BS Recs "/>
    <x v="4"/>
    <x v="4"/>
  </r>
  <r>
    <d v="2024-03-27T00:00:00"/>
    <x v="35"/>
    <s v="Bookkeeping"/>
    <n v="1.55"/>
    <x v="33"/>
    <s v="Yes"/>
    <s v="email, BS recs"/>
    <x v="4"/>
    <x v="4"/>
  </r>
  <r>
    <d v="2024-03-27T00:00:00"/>
    <x v="35"/>
    <s v="Bookkeeping"/>
    <n v="1.78"/>
    <x v="62"/>
    <s v="Yes"/>
    <s v="catch up with Adriana"/>
    <x v="4"/>
    <x v="4"/>
  </r>
  <r>
    <d v="2024-03-27T00:00:00"/>
    <x v="36"/>
    <s v="Bookkeeping"/>
    <n v="0.7"/>
    <x v="35"/>
    <s v="Yes"/>
    <m/>
    <x v="4"/>
    <x v="4"/>
  </r>
  <r>
    <d v="2024-03-27T00:00:00"/>
    <x v="36"/>
    <s v="Bookkeeping"/>
    <n v="0.82"/>
    <x v="16"/>
    <s v="Yes"/>
    <s v="Bank recs"/>
    <x v="4"/>
    <x v="4"/>
  </r>
  <r>
    <d v="2024-03-27T00:00:00"/>
    <x v="36"/>
    <s v="Bookkeeping"/>
    <n v="1.63"/>
    <x v="35"/>
    <s v="Yes"/>
    <s v="With finance meeting 1 hr"/>
    <x v="4"/>
    <x v="4"/>
  </r>
  <r>
    <d v="2024-03-27T00:00:00"/>
    <x v="36"/>
    <s v="General"/>
    <n v="0.2"/>
    <x v="11"/>
    <s v="No"/>
    <s v="Dex emails"/>
    <x v="4"/>
    <x v="4"/>
  </r>
  <r>
    <d v="2024-03-27T00:00:00"/>
    <x v="36"/>
    <s v="Management Reporting"/>
    <n v="0.88"/>
    <x v="35"/>
    <s v="Yes"/>
    <m/>
    <x v="4"/>
    <x v="4"/>
  </r>
  <r>
    <d v="2024-03-27T00:00:00"/>
    <x v="36"/>
    <s v="Meetings"/>
    <n v="0.63"/>
    <x v="11"/>
    <s v="No"/>
    <s v="Team huddle"/>
    <x v="4"/>
    <x v="4"/>
  </r>
  <r>
    <d v="2024-03-27T00:00:00"/>
    <x v="36"/>
    <s v="Payroll Processing"/>
    <n v="0.37"/>
    <x v="1"/>
    <s v="Yes"/>
    <s v="payroll review"/>
    <x v="4"/>
    <x v="4"/>
  </r>
  <r>
    <d v="2024-03-27T00:00:00"/>
    <x v="36"/>
    <s v="Payroll Processing"/>
    <n v="1.42"/>
    <x v="34"/>
    <s v="Yes"/>
    <s v="Handover with Rose"/>
    <x v="4"/>
    <x v="4"/>
  </r>
  <r>
    <d v="2024-03-27T00:00:00"/>
    <x v="36"/>
    <s v="Payroll Processing"/>
    <n v="1.45"/>
    <x v="16"/>
    <s v="Yes"/>
    <s v="BELCR"/>
    <x v="4"/>
    <x v="4"/>
  </r>
  <r>
    <d v="2024-03-27T00:00:00"/>
    <x v="37"/>
    <s v="General"/>
    <n v="8.1199999999999992"/>
    <x v="11"/>
    <s v="No"/>
    <s v="Wages budget creation HR sprout payroll update as per Sprout Leave and holiday management - team PTX QLD registration AdHoc - BDO security deposit AdHoc - Aranas refund Team huddle"/>
    <x v="4"/>
    <x v="4"/>
  </r>
  <r>
    <d v="2024-03-27T00:00:00"/>
    <x v="38"/>
    <s v="Bookkeeping"/>
    <n v="7.68"/>
    <x v="15"/>
    <s v="Yes"/>
    <m/>
    <x v="4"/>
    <x v="4"/>
  </r>
  <r>
    <d v="2024-03-27T00:00:00"/>
    <x v="38"/>
    <s v="Meetings"/>
    <n v="0.63"/>
    <x v="11"/>
    <s v="No"/>
    <m/>
    <x v="4"/>
    <x v="4"/>
  </r>
  <r>
    <d v="2024-03-27T00:00:00"/>
    <x v="39"/>
    <s v="Bookkeeping"/>
    <n v="2"/>
    <x v="71"/>
    <s v="Yes"/>
    <s v="Refresh IAS reporting with Ge Refresh payroll tax processing Reconcile cash clearing Shadow Ge with the recon"/>
    <x v="4"/>
    <x v="4"/>
  </r>
  <r>
    <d v="2024-03-27T00:00:00"/>
    <x v="39"/>
    <s v="Meetings"/>
    <n v="0.88"/>
    <x v="11"/>
    <s v="No"/>
    <s v="Team huddle Introduce Sherly to clients"/>
    <x v="4"/>
    <x v="4"/>
  </r>
  <r>
    <d v="2024-03-27T00:00:00"/>
    <x v="39"/>
    <s v="Payroll Processing"/>
    <n v="1.52"/>
    <x v="34"/>
    <s v="Yes"/>
    <s v="Handover of tasks to Rac"/>
    <x v="4"/>
    <x v="4"/>
  </r>
  <r>
    <d v="2024-03-27T00:00:00"/>
    <x v="39"/>
    <s v="Sick Leave"/>
    <n v="4"/>
    <x v="11"/>
    <s v="No"/>
    <m/>
    <x v="4"/>
    <x v="4"/>
  </r>
  <r>
    <d v="2024-03-27T00:00:00"/>
    <x v="40"/>
    <s v="Financial Statements"/>
    <n v="0.42"/>
    <x v="73"/>
    <s v="Yes"/>
    <s v="Review sale contracdt and clause re earnout agreement Video call with Shaliani to run through taxation of earn out agreements and deferred revenue"/>
    <x v="4"/>
    <x v="4"/>
  </r>
  <r>
    <d v="2024-03-27T00:00:00"/>
    <x v="40"/>
    <s v="Individual Tax Returns"/>
    <n v="0.17"/>
    <x v="120"/>
    <s v="Yes"/>
    <s v="Confirm for Stephen that div 293 notices are pid for 20 and 21 for SK and RK"/>
    <x v="4"/>
    <x v="4"/>
  </r>
  <r>
    <d v="2024-03-27T00:00:00"/>
    <x v="41"/>
    <s v="Bookkeeping"/>
    <n v="0.22"/>
    <x v="36"/>
    <s v="Yes"/>
    <s v="Check bank/cc transactions"/>
    <x v="4"/>
    <x v="4"/>
  </r>
  <r>
    <d v="2024-03-27T00:00:00"/>
    <x v="41"/>
    <s v="Bookkeeping"/>
    <n v="0.27"/>
    <x v="36"/>
    <s v="Yes"/>
    <s v="AP and bank rec review"/>
    <x v="4"/>
    <x v="4"/>
  </r>
  <r>
    <d v="2024-03-27T00:00:00"/>
    <x v="41"/>
    <s v="Bookkeeping"/>
    <n v="0.27"/>
    <x v="40"/>
    <s v="Yes"/>
    <s v="AP review"/>
    <x v="4"/>
    <x v="4"/>
  </r>
  <r>
    <d v="2024-03-27T00:00:00"/>
    <x v="41"/>
    <s v="Bookkeeping"/>
    <n v="2.72"/>
    <x v="16"/>
    <s v="Yes"/>
    <s v="Inbox mgmt Upload payments for AP run and payroll"/>
    <x v="4"/>
    <x v="4"/>
  </r>
  <r>
    <d v="2024-03-27T00:00:00"/>
    <x v="41"/>
    <s v="General"/>
    <n v="0.5"/>
    <x v="11"/>
    <s v="No"/>
    <s v="Paid break"/>
    <x v="4"/>
    <x v="4"/>
  </r>
  <r>
    <d v="2024-03-27T00:00:00"/>
    <x v="41"/>
    <s v="Meetings"/>
    <n v="0.67"/>
    <x v="11"/>
    <s v="No"/>
    <s v="Team RJ huddle"/>
    <x v="4"/>
    <x v="4"/>
  </r>
  <r>
    <d v="2024-03-27T00:00:00"/>
    <x v="41"/>
    <s v="Payroll Processing"/>
    <n v="7.0000000000000007E-2"/>
    <x v="51"/>
    <s v="Yes"/>
    <s v="Payroll review"/>
    <x v="4"/>
    <x v="4"/>
  </r>
  <r>
    <d v="2024-03-27T00:00:00"/>
    <x v="41"/>
    <s v="Payroll Processing"/>
    <n v="0.12"/>
    <x v="50"/>
    <s v="Yes"/>
    <s v="Payroll review"/>
    <x v="4"/>
    <x v="4"/>
  </r>
  <r>
    <d v="2024-03-27T00:00:00"/>
    <x v="41"/>
    <s v="Payroll Processing"/>
    <n v="0.12"/>
    <x v="103"/>
    <s v="Yes"/>
    <s v="Payroll review"/>
    <x v="4"/>
    <x v="4"/>
  </r>
  <r>
    <d v="2024-03-27T00:00:00"/>
    <x v="41"/>
    <s v="Payroll Processing"/>
    <n v="0.17"/>
    <x v="20"/>
    <s v="Yes"/>
    <s v="Payroll review"/>
    <x v="4"/>
    <x v="4"/>
  </r>
  <r>
    <d v="2024-03-27T00:00:00"/>
    <x v="41"/>
    <s v="Payroll Processing"/>
    <n v="0.2"/>
    <x v="19"/>
    <s v="Yes"/>
    <s v="Payroll review"/>
    <x v="4"/>
    <x v="4"/>
  </r>
  <r>
    <d v="2024-03-27T00:00:00"/>
    <x v="41"/>
    <s v="Payroll Processing"/>
    <n v="0.56999999999999995"/>
    <x v="16"/>
    <s v="Yes"/>
    <m/>
    <x v="4"/>
    <x v="4"/>
  </r>
  <r>
    <d v="2024-03-27T00:00:00"/>
    <x v="41"/>
    <s v="Payroll Processing"/>
    <n v="2.15"/>
    <x v="63"/>
    <s v="Yes"/>
    <m/>
    <x v="4"/>
    <x v="4"/>
  </r>
  <r>
    <d v="2024-03-27T00:00:00"/>
    <x v="41"/>
    <s v="Payroll Processing - Senior"/>
    <n v="7.0000000000000007E-2"/>
    <x v="40"/>
    <s v="Yes"/>
    <s v="Payroll review"/>
    <x v="4"/>
    <x v="4"/>
  </r>
  <r>
    <d v="2024-03-27T00:00:00"/>
    <x v="42"/>
    <s v="Client Manager"/>
    <n v="1"/>
    <x v="48"/>
    <s v="Yes"/>
    <s v="Attend to emails from Zoe, update Fathom reports, provide commentary. Investigate increase in cost for freelancer and Tech Infrastructure. Send updated Fathom report to Zoe"/>
    <x v="4"/>
    <x v="4"/>
  </r>
  <r>
    <d v="2024-03-27T00:00:00"/>
    <x v="42"/>
    <s v="Client Manager"/>
    <n v="1"/>
    <x v="73"/>
    <s v="Yes"/>
    <s v="Attend to query re sale of inventory and rights, meeting with Sam to discuss same. Meting with Xavi/Irish to discuss same and the next steps"/>
    <x v="4"/>
    <x v="4"/>
  </r>
  <r>
    <d v="2024-03-27T00:00:00"/>
    <x v="42"/>
    <s v="Client Manager"/>
    <n v="1"/>
    <x v="27"/>
    <s v="Yes"/>
    <s v="Liaise with Sam re FAR, send both tax and book FAR to Gary. Answer further questions for insurance renewal, send consolidated AR to John. Update turnover estimate for FY 2023, 2024 and 202 based on head count across 3 states and send to John"/>
    <x v="4"/>
    <x v="4"/>
  </r>
  <r>
    <d v="2024-03-27T00:00:00"/>
    <x v="42"/>
    <s v="Client Manager"/>
    <n v="1"/>
    <x v="82"/>
    <s v="Yes"/>
    <s v="Phone correspondence with David re horse sales and Xero setup. Update closing stock worksheet and send to Nexia. "/>
    <x v="4"/>
    <x v="4"/>
  </r>
  <r>
    <d v="2024-03-27T00:00:00"/>
    <x v="42"/>
    <s v="Client Manager"/>
    <n v="4"/>
    <x v="102"/>
    <s v="Yes"/>
    <s v="Prepare TS summary for March 2024. Process monthly payroll. Process Alan's payroll for April 2024. Upload same in NAB and advise Catherine. Update bank rec for March 2024. Go through AP list and work out for weekly supplier payment and EOM supplier payment run. Attach supplier invoices to invoices entered in MYOB. Liaise with Catherine re sales for March in MYOB"/>
    <x v="4"/>
    <x v="4"/>
  </r>
  <r>
    <d v="2024-03-27T00:00:00"/>
    <x v="43"/>
    <s v="Adhoc Support &amp; Advice"/>
    <n v="1"/>
    <x v="15"/>
    <s v="Yes"/>
    <s v="Assisting new hire for the access"/>
    <x v="4"/>
    <x v="4"/>
  </r>
  <r>
    <d v="2024-03-27T00:00:00"/>
    <x v="43"/>
    <s v="Bookkeeping"/>
    <n v="2"/>
    <x v="15"/>
    <s v="Yes"/>
    <s v="Cashflow, Leave request and balance report, Fixing template"/>
    <x v="4"/>
    <x v="4"/>
  </r>
  <r>
    <d v="2024-03-27T00:00:00"/>
    <x v="43"/>
    <s v="Bookkeeping"/>
    <n v="3"/>
    <x v="15"/>
    <s v="Yes"/>
    <s v="AP Invoice, investigate invoice with issue"/>
    <x v="4"/>
    <x v="4"/>
  </r>
  <r>
    <d v="2024-03-27T00:00:00"/>
    <x v="43"/>
    <s v="General"/>
    <n v="2"/>
    <x v="11"/>
    <s v="No"/>
    <s v="Handover with Rose"/>
    <x v="4"/>
    <x v="4"/>
  </r>
  <r>
    <d v="2024-03-27T00:00:00"/>
    <x v="44"/>
    <s v="Bookkeeping"/>
    <n v="0.6"/>
    <x v="16"/>
    <s v="Yes"/>
    <s v="Bellinger credit"/>
    <x v="4"/>
    <x v="4"/>
  </r>
  <r>
    <d v="2024-03-27T00:00:00"/>
    <x v="44"/>
    <s v="Bookkeeping"/>
    <n v="1"/>
    <x v="67"/>
    <s v="Yes"/>
    <s v="Review Units register Rec with Ann"/>
    <x v="4"/>
    <x v="4"/>
  </r>
  <r>
    <d v="2024-03-27T00:00:00"/>
    <x v="44"/>
    <s v="Bookkeeping"/>
    <n v="1.8"/>
    <x v="16"/>
    <s v="Yes"/>
    <s v="weekly payments, review, emails, create BELCR, currency transfers, new payees"/>
    <x v="4"/>
    <x v="4"/>
  </r>
  <r>
    <d v="2024-03-27T00:00:00"/>
    <x v="44"/>
    <s v="Client Manager"/>
    <n v="0.6"/>
    <x v="6"/>
    <s v="Yes"/>
    <s v="Chase HR team, email to Imogen re Jeremy's contract"/>
    <x v="4"/>
    <x v="4"/>
  </r>
  <r>
    <d v="2024-03-27T00:00:00"/>
    <x v="44"/>
    <s v="General"/>
    <n v="0.8"/>
    <x v="11"/>
    <s v="No"/>
    <m/>
    <x v="4"/>
    <x v="4"/>
  </r>
  <r>
    <d v="2024-03-27T00:00:00"/>
    <x v="44"/>
    <s v="HR/Recuitment"/>
    <n v="1"/>
    <x v="11"/>
    <s v="No"/>
    <s v="Interview candidate CM with Nick"/>
    <x v="4"/>
    <x v="4"/>
  </r>
  <r>
    <d v="2024-03-27T00:00:00"/>
    <x v="44"/>
    <s v="Payroll Processing"/>
    <n v="0.8"/>
    <x v="16"/>
    <s v="Yes"/>
    <s v="Review payroll BELCR and BAM"/>
    <x v="4"/>
    <x v="4"/>
  </r>
  <r>
    <d v="2024-03-27T00:00:00"/>
    <x v="44"/>
    <s v="Payroll Processing"/>
    <n v="1"/>
    <x v="16"/>
    <s v="Yes"/>
    <s v="Review / discuss payroll BAM and BELCR"/>
    <x v="4"/>
    <x v="4"/>
  </r>
  <r>
    <d v="2024-03-28T00:00:00"/>
    <x v="0"/>
    <s v="Bookkeeping"/>
    <n v="0.05"/>
    <x v="9"/>
    <s v="Yes"/>
    <s v="Email/Inbox Management"/>
    <x v="4"/>
    <x v="5"/>
  </r>
  <r>
    <d v="2024-03-28T00:00:00"/>
    <x v="0"/>
    <s v="Bookkeeping"/>
    <n v="7.0000000000000007E-2"/>
    <x v="6"/>
    <s v="Yes"/>
    <s v="Email/Inbox Management"/>
    <x v="4"/>
    <x v="5"/>
  </r>
  <r>
    <d v="2024-03-28T00:00:00"/>
    <x v="0"/>
    <s v="Bookkeeping"/>
    <n v="7.0000000000000007E-2"/>
    <x v="0"/>
    <s v="Yes"/>
    <s v="Email/Inbox Management"/>
    <x v="4"/>
    <x v="5"/>
  </r>
  <r>
    <d v="2024-03-28T00:00:00"/>
    <x v="0"/>
    <s v="Bookkeeping"/>
    <n v="0.1"/>
    <x v="5"/>
    <s v="Yes"/>
    <s v="Email"/>
    <x v="4"/>
    <x v="5"/>
  </r>
  <r>
    <d v="2024-03-28T00:00:00"/>
    <x v="0"/>
    <s v="Bookkeeping"/>
    <n v="0.17"/>
    <x v="1"/>
    <s v="Yes"/>
    <s v="Clear AP inbox and Submit bills for approval in Xero"/>
    <x v="4"/>
    <x v="5"/>
  </r>
  <r>
    <d v="2024-03-28T00:00:00"/>
    <x v="0"/>
    <s v="Bookkeeping"/>
    <n v="0.22"/>
    <x v="6"/>
    <s v="Yes"/>
    <s v="Bank Reconciliation"/>
    <x v="4"/>
    <x v="5"/>
  </r>
  <r>
    <d v="2024-03-28T00:00:00"/>
    <x v="0"/>
    <s v="Bookkeeping"/>
    <n v="0.22"/>
    <x v="5"/>
    <s v="Yes"/>
    <s v="AP and Email/Inbox Management"/>
    <x v="4"/>
    <x v="5"/>
  </r>
  <r>
    <d v="2024-03-28T00:00:00"/>
    <x v="0"/>
    <s v="Bookkeeping"/>
    <n v="0.27"/>
    <x v="6"/>
    <s v="Yes"/>
    <s v="Accounts Payable"/>
    <x v="4"/>
    <x v="5"/>
  </r>
  <r>
    <d v="2024-03-28T00:00:00"/>
    <x v="0"/>
    <s v="Bookkeeping"/>
    <n v="0.28000000000000003"/>
    <x v="4"/>
    <s v="Yes"/>
    <s v="Accounts Payable"/>
    <x v="4"/>
    <x v="5"/>
  </r>
  <r>
    <d v="2024-03-28T00:00:00"/>
    <x v="0"/>
    <s v="Bookkeeping"/>
    <n v="0.28000000000000003"/>
    <x v="9"/>
    <s v="Yes"/>
    <s v="Accounts Payable"/>
    <x v="4"/>
    <x v="5"/>
  </r>
  <r>
    <d v="2024-03-28T00:00:00"/>
    <x v="0"/>
    <s v="Bookkeeping"/>
    <n v="0.3"/>
    <x v="5"/>
    <s v="Yes"/>
    <s v="Emails"/>
    <x v="4"/>
    <x v="5"/>
  </r>
  <r>
    <d v="2024-03-28T00:00:00"/>
    <x v="0"/>
    <s v="Bookkeeping"/>
    <n v="0.48"/>
    <x v="8"/>
    <s v="Yes"/>
    <s v="Bank Reconciliation"/>
    <x v="4"/>
    <x v="5"/>
  </r>
  <r>
    <d v="2024-03-28T00:00:00"/>
    <x v="0"/>
    <s v="Bookkeeping"/>
    <n v="0.56999999999999995"/>
    <x v="5"/>
    <s v="Yes"/>
    <s v="AP and Emails"/>
    <x v="4"/>
    <x v="5"/>
  </r>
  <r>
    <d v="2024-03-28T00:00:00"/>
    <x v="0"/>
    <s v="Bookkeeping"/>
    <n v="2.5"/>
    <x v="1"/>
    <s v="Yes"/>
    <s v="Process batch payment"/>
    <x v="4"/>
    <x v="5"/>
  </r>
  <r>
    <d v="2024-03-28T00:00:00"/>
    <x v="0"/>
    <s v="Payroll Processing"/>
    <n v="0.33"/>
    <x v="13"/>
    <s v="Yes"/>
    <m/>
    <x v="4"/>
    <x v="5"/>
  </r>
  <r>
    <d v="2024-03-28T00:00:00"/>
    <x v="0"/>
    <s v="Payroll Processing"/>
    <n v="2.1"/>
    <x v="12"/>
    <s v="Yes"/>
    <m/>
    <x v="4"/>
    <x v="5"/>
  </r>
  <r>
    <d v="2024-03-28T00:00:00"/>
    <x v="1"/>
    <s v="P&amp;C Advisory"/>
    <n v="4"/>
    <x v="34"/>
    <s v="Yes"/>
    <s v="Remuneration reviews Recruitment"/>
    <x v="4"/>
    <x v="5"/>
  </r>
  <r>
    <d v="2024-03-28T00:00:00"/>
    <x v="1"/>
    <s v="P&amp;C Advisory - Nederman Mikropul"/>
    <n v="0.33"/>
    <x v="14"/>
    <s v="Yes"/>
    <s v="Correspondence re. flexible working arrangements"/>
    <x v="4"/>
    <x v="5"/>
  </r>
  <r>
    <d v="2024-03-28T00:00:00"/>
    <x v="1"/>
    <s v="P&amp;C Advisory - Nederman PT"/>
    <n v="3"/>
    <x v="14"/>
    <s v="Yes"/>
    <s v="Correspondence and calls re. D &amp; A testing"/>
    <x v="4"/>
    <x v="5"/>
  </r>
  <r>
    <d v="2024-03-28T00:00:00"/>
    <x v="1"/>
    <s v="P&amp;C Advisory - Nordfab"/>
    <n v="0.5"/>
    <x v="14"/>
    <s v="Yes"/>
    <s v="Call with GM Correspondence re. Storeperson role "/>
    <x v="4"/>
    <x v="5"/>
  </r>
  <r>
    <d v="2024-03-28T00:00:00"/>
    <x v="2"/>
    <s v="Bookkeeping"/>
    <n v="0.28000000000000003"/>
    <x v="33"/>
    <s v="No"/>
    <s v="internal meeting"/>
    <x v="4"/>
    <x v="5"/>
  </r>
  <r>
    <d v="2024-03-28T00:00:00"/>
    <x v="2"/>
    <s v="Bookkeeping"/>
    <n v="2.33"/>
    <x v="67"/>
    <s v="Yes"/>
    <s v="interest payment"/>
    <x v="4"/>
    <x v="5"/>
  </r>
  <r>
    <d v="2024-03-28T00:00:00"/>
    <x v="2"/>
    <s v="General"/>
    <n v="0.65"/>
    <x v="11"/>
    <s v="No"/>
    <s v="emails, chats, Asana, sprout, etc"/>
    <x v="4"/>
    <x v="5"/>
  </r>
  <r>
    <d v="2024-03-28T00:00:00"/>
    <x v="2"/>
    <s v="General"/>
    <n v="0.92"/>
    <x v="11"/>
    <s v="No"/>
    <s v="backup plan, chats re concerns, etc"/>
    <x v="4"/>
    <x v="5"/>
  </r>
  <r>
    <d v="2024-03-28T00:00:00"/>
    <x v="2"/>
    <s v="General"/>
    <n v="1.58"/>
    <x v="11"/>
    <s v="No"/>
    <s v="review all Asana tasks dated until Monday, including all directs', follow up with directs, check and remind about timesheets, etc"/>
    <x v="4"/>
    <x v="5"/>
  </r>
  <r>
    <d v="2024-03-28T00:00:00"/>
    <x v="2"/>
    <s v="Payroll Processing"/>
    <n v="2.27"/>
    <x v="58"/>
    <s v="Yes"/>
    <m/>
    <x v="4"/>
    <x v="5"/>
  </r>
  <r>
    <d v="2024-03-28T00:00:00"/>
    <x v="4"/>
    <s v="Meetings"/>
    <n v="7.5"/>
    <x v="11"/>
    <s v="No"/>
    <m/>
    <x v="4"/>
    <x v="5"/>
  </r>
  <r>
    <d v="2024-03-28T00:00:00"/>
    <x v="6"/>
    <s v="Public Holiday - Leave"/>
    <n v="8"/>
    <x v="11"/>
    <s v="No"/>
    <s v="PHILIPPINE HOLIDAY: Maundy Thursday"/>
    <x v="4"/>
    <x v="5"/>
  </r>
  <r>
    <d v="2024-03-28T00:00:00"/>
    <x v="9"/>
    <s v="Public Holiday - Leave"/>
    <n v="9"/>
    <x v="11"/>
    <s v="No"/>
    <m/>
    <x v="4"/>
    <x v="5"/>
  </r>
  <r>
    <d v="2024-03-28T00:00:00"/>
    <x v="10"/>
    <s v="Bookkeeping"/>
    <n v="0.08"/>
    <x v="42"/>
    <s v="Yes"/>
    <s v="Bank recon to check payables has been approved and paid"/>
    <x v="4"/>
    <x v="5"/>
  </r>
  <r>
    <d v="2024-03-28T00:00:00"/>
    <x v="10"/>
    <s v="Bookkeeping"/>
    <n v="1.58"/>
    <x v="21"/>
    <s v="Yes"/>
    <s v="loading bills, bank recon"/>
    <x v="4"/>
    <x v="5"/>
  </r>
  <r>
    <d v="2024-03-28T00:00:00"/>
    <x v="10"/>
    <s v="Bookkeeping"/>
    <n v="2.25"/>
    <x v="23"/>
    <s v="Yes"/>
    <s v="Emails, loading bills, creating invoices, bank recon, weekly report"/>
    <x v="4"/>
    <x v="5"/>
  </r>
  <r>
    <d v="2024-03-28T00:00:00"/>
    <x v="10"/>
    <s v="Payroll Processing"/>
    <n v="0.17"/>
    <x v="61"/>
    <s v="No"/>
    <s v="checking emails and calculations"/>
    <x v="4"/>
    <x v="5"/>
  </r>
  <r>
    <d v="2024-03-28T00:00:00"/>
    <x v="10"/>
    <s v="Payroll Processing"/>
    <n v="0.17"/>
    <x v="23"/>
    <s v="Yes"/>
    <s v="weekly payroll"/>
    <x v="4"/>
    <x v="5"/>
  </r>
  <r>
    <d v="2024-03-28T00:00:00"/>
    <x v="10"/>
    <s v="Payroll Processing"/>
    <n v="1.25"/>
    <x v="61"/>
    <s v="Yes"/>
    <s v="Soumya Viswanathan's final pay"/>
    <x v="4"/>
    <x v="5"/>
  </r>
  <r>
    <d v="2024-03-28T00:00:00"/>
    <x v="10"/>
    <s v="Public Holiday - Leave"/>
    <n v="2.5"/>
    <x v="11"/>
    <s v="No"/>
    <s v="Phil holiday - Maundy Thursday"/>
    <x v="4"/>
    <x v="5"/>
  </r>
  <r>
    <d v="2024-03-28T00:00:00"/>
    <x v="46"/>
    <s v="CFO Advisory"/>
    <n v="0.75"/>
    <x v="3"/>
    <s v="Yes"/>
    <s v="ACNC info Check on Mar24 progress/results Follow up on outstanding actions from last week check if required bank transfers took place + re-request"/>
    <x v="4"/>
    <x v="5"/>
  </r>
  <r>
    <d v="2024-03-28T00:00:00"/>
    <x v="46"/>
    <s v="CFO001 - CFO Services"/>
    <n v="0.75"/>
    <x v="5"/>
    <s v="Yes"/>
    <s v="Email Eli re: annual budgets Check Mar24 results to date respond to emails + resend info "/>
    <x v="4"/>
    <x v="5"/>
  </r>
  <r>
    <d v="2024-03-28T00:00:00"/>
    <x v="11"/>
    <s v="Bookkeeping"/>
    <n v="0.37"/>
    <x v="25"/>
    <s v="Yes"/>
    <s v="queries"/>
    <x v="4"/>
    <x v="5"/>
  </r>
  <r>
    <d v="2024-03-28T00:00:00"/>
    <x v="11"/>
    <s v="Bookkeeping"/>
    <n v="0.37"/>
    <x v="27"/>
    <s v="Yes"/>
    <s v="emails/ inbox"/>
    <x v="4"/>
    <x v="5"/>
  </r>
  <r>
    <d v="2024-03-28T00:00:00"/>
    <x v="11"/>
    <s v="Bookkeeping - Emails"/>
    <n v="0.17"/>
    <x v="31"/>
    <s v="Yes"/>
    <m/>
    <x v="4"/>
    <x v="5"/>
  </r>
  <r>
    <d v="2024-03-28T00:00:00"/>
    <x v="11"/>
    <s v="Client Meeting"/>
    <n v="0.5"/>
    <x v="15"/>
    <s v="Yes"/>
    <s v="catch-up with James"/>
    <x v="4"/>
    <x v="5"/>
  </r>
  <r>
    <d v="2024-03-28T00:00:00"/>
    <x v="11"/>
    <s v="General"/>
    <n v="0.37"/>
    <x v="11"/>
    <s v="No"/>
    <s v="inbox/ teams/ Sprout"/>
    <x v="4"/>
    <x v="5"/>
  </r>
  <r>
    <d v="2024-03-28T00:00:00"/>
    <x v="11"/>
    <s v="General"/>
    <n v="0.45"/>
    <x v="11"/>
    <s v="No"/>
    <s v="queries/ holiday sched/ teams"/>
    <x v="4"/>
    <x v="5"/>
  </r>
  <r>
    <d v="2024-03-28T00:00:00"/>
    <x v="11"/>
    <s v="General"/>
    <n v="0.5"/>
    <x v="11"/>
    <s v="No"/>
    <s v="break"/>
    <x v="4"/>
    <x v="5"/>
  </r>
  <r>
    <d v="2024-03-28T00:00:00"/>
    <x v="11"/>
    <s v="Payroll Processing"/>
    <n v="7.0000000000000007E-2"/>
    <x v="12"/>
    <s v="Yes"/>
    <s v="review"/>
    <x v="4"/>
    <x v="5"/>
  </r>
  <r>
    <d v="2024-03-28T00:00:00"/>
    <x v="11"/>
    <s v="Payroll Processing"/>
    <n v="0.28000000000000003"/>
    <x v="29"/>
    <s v="Yes"/>
    <s v="Jules Cameron pay and set-up review"/>
    <x v="4"/>
    <x v="5"/>
  </r>
  <r>
    <d v="2024-03-28T00:00:00"/>
    <x v="11"/>
    <s v="Payroll Processing"/>
    <n v="0.67"/>
    <x v="27"/>
    <s v="Yes"/>
    <s v="ptax review"/>
    <x v="4"/>
    <x v="5"/>
  </r>
  <r>
    <d v="2024-03-28T00:00:00"/>
    <x v="11"/>
    <s v="Payroll Processing"/>
    <n v="4.2699999999999996"/>
    <x v="15"/>
    <s v="Yes"/>
    <m/>
    <x v="4"/>
    <x v="5"/>
  </r>
  <r>
    <d v="2024-03-28T00:00:00"/>
    <x v="12"/>
    <s v="Public Holiday - Leave"/>
    <n v="8"/>
    <x v="11"/>
    <s v="No"/>
    <m/>
    <x v="4"/>
    <x v="5"/>
  </r>
  <r>
    <d v="2024-03-28T00:00:00"/>
    <x v="13"/>
    <s v="Bookkeeping"/>
    <n v="0.95"/>
    <x v="29"/>
    <s v="Yes"/>
    <s v="approve ap invoices. process ap invoice from inbox"/>
    <x v="4"/>
    <x v="5"/>
  </r>
  <r>
    <d v="2024-03-28T00:00:00"/>
    <x v="13"/>
    <s v="Bookkeeping"/>
    <n v="1.02"/>
    <x v="71"/>
    <s v="Yes"/>
    <s v="bank recon inbox"/>
    <x v="4"/>
    <x v="5"/>
  </r>
  <r>
    <d v="2024-03-28T00:00:00"/>
    <x v="13"/>
    <s v="Bookkeeping"/>
    <n v="1.47"/>
    <x v="30"/>
    <s v="Yes"/>
    <s v="bank recon email"/>
    <x v="4"/>
    <x v="5"/>
  </r>
  <r>
    <d v="2024-03-28T00:00:00"/>
    <x v="13"/>
    <s v="Bookkeeping"/>
    <n v="1.82"/>
    <x v="28"/>
    <s v="Yes"/>
    <s v="bank recon"/>
    <x v="4"/>
    <x v="5"/>
  </r>
  <r>
    <d v="2024-03-28T00:00:00"/>
    <x v="13"/>
    <s v="Bookkeeping - AP"/>
    <n v="2.25"/>
    <x v="31"/>
    <s v="Yes"/>
    <s v="ap payment"/>
    <x v="4"/>
    <x v="5"/>
  </r>
  <r>
    <d v="2024-03-28T00:00:00"/>
    <x v="13"/>
    <s v="General"/>
    <n v="0.5"/>
    <x v="11"/>
    <s v="No"/>
    <s v="break"/>
    <x v="4"/>
    <x v="5"/>
  </r>
  <r>
    <d v="2024-03-28T00:00:00"/>
    <x v="14"/>
    <s v="Bookkeeping"/>
    <n v="0.32"/>
    <x v="32"/>
    <s v="No"/>
    <s v="Checking tasks and updating handover form"/>
    <x v="4"/>
    <x v="5"/>
  </r>
  <r>
    <d v="2024-03-28T00:00:00"/>
    <x v="14"/>
    <s v="Bookkeeping"/>
    <n v="0.57999999999999996"/>
    <x v="32"/>
    <s v="No"/>
    <s v="Updating handover form and checking for notes"/>
    <x v="4"/>
    <x v="5"/>
  </r>
  <r>
    <d v="2024-03-28T00:00:00"/>
    <x v="14"/>
    <s v="Bookkeeping"/>
    <n v="1"/>
    <x v="25"/>
    <s v="Yes"/>
    <s v="Recording of invoices, bank recs, checking of accounts"/>
    <x v="4"/>
    <x v="5"/>
  </r>
  <r>
    <d v="2024-03-28T00:00:00"/>
    <x v="14"/>
    <s v="Bookkeeping"/>
    <n v="2.02"/>
    <x v="25"/>
    <s v="Yes"/>
    <s v="Bank recs, recording of invoices"/>
    <x v="4"/>
    <x v="5"/>
  </r>
  <r>
    <d v="2024-03-28T00:00:00"/>
    <x v="14"/>
    <s v="Client Meeting"/>
    <n v="0.4"/>
    <x v="33"/>
    <s v="No"/>
    <s v="Weekly catch-up with the team"/>
    <x v="4"/>
    <x v="5"/>
  </r>
  <r>
    <d v="2024-03-28T00:00:00"/>
    <x v="14"/>
    <s v="Client Meeting"/>
    <n v="0.98"/>
    <x v="32"/>
    <s v="No"/>
    <s v="Handover with Neeti"/>
    <x v="4"/>
    <x v="5"/>
  </r>
  <r>
    <d v="2024-03-28T00:00:00"/>
    <x v="14"/>
    <s v="General"/>
    <n v="0.48"/>
    <x v="11"/>
    <s v="No"/>
    <s v="Checking emails, updating asana tasks"/>
    <x v="4"/>
    <x v="5"/>
  </r>
  <r>
    <d v="2024-03-28T00:00:00"/>
    <x v="14"/>
    <s v="Management Reporting"/>
    <n v="1.42"/>
    <x v="25"/>
    <s v="Yes"/>
    <s v="Cashflow update"/>
    <x v="4"/>
    <x v="5"/>
  </r>
  <r>
    <d v="2024-03-28T00:00:00"/>
    <x v="14"/>
    <s v="Meetings"/>
    <n v="0.25"/>
    <x v="11"/>
    <s v="No"/>
    <s v="Quick chat with Ef about a query"/>
    <x v="4"/>
    <x v="5"/>
  </r>
  <r>
    <d v="2024-03-28T00:00:00"/>
    <x v="14"/>
    <s v="Payroll Processing"/>
    <n v="0.28000000000000003"/>
    <x v="33"/>
    <s v="Yes"/>
    <s v="Payroll journal"/>
    <x v="4"/>
    <x v="5"/>
  </r>
  <r>
    <d v="2024-03-28T00:00:00"/>
    <x v="14"/>
    <s v="Payroll Processing"/>
    <n v="0.35"/>
    <x v="33"/>
    <s v="Yes"/>
    <s v="Timesheets and leaves for cleanup"/>
    <x v="4"/>
    <x v="5"/>
  </r>
  <r>
    <d v="2024-03-28T00:00:00"/>
    <x v="14"/>
    <s v="Payroll Processing"/>
    <n v="0.37"/>
    <x v="34"/>
    <s v="Yes"/>
    <s v="PAYG Rec, updating payroll file"/>
    <x v="4"/>
    <x v="5"/>
  </r>
  <r>
    <d v="2024-03-28T00:00:00"/>
    <x v="14"/>
    <s v="Payroll Processing"/>
    <n v="0.73"/>
    <x v="33"/>
    <s v="Yes"/>
    <s v="Checking and updating manual journals"/>
    <x v="4"/>
    <x v="5"/>
  </r>
  <r>
    <d v="2024-03-28T00:00:00"/>
    <x v="15"/>
    <s v="Public Holiday - Leave"/>
    <n v="8"/>
    <x v="11"/>
    <s v="No"/>
    <m/>
    <x v="4"/>
    <x v="5"/>
  </r>
  <r>
    <d v="2024-03-28T00:00:00"/>
    <x v="16"/>
    <s v="Bookkeeping"/>
    <n v="7.33"/>
    <x v="35"/>
    <s v="Yes"/>
    <m/>
    <x v="4"/>
    <x v="5"/>
  </r>
  <r>
    <d v="2024-03-28T00:00:00"/>
    <x v="16"/>
    <s v="Payroll Processing"/>
    <n v="0.68"/>
    <x v="74"/>
    <s v="Yes"/>
    <m/>
    <x v="4"/>
    <x v="5"/>
  </r>
  <r>
    <d v="2024-03-28T00:00:00"/>
    <x v="18"/>
    <s v="Public Holiday - Leave"/>
    <n v="8"/>
    <x v="11"/>
    <s v="No"/>
    <s v="PH Holiday"/>
    <x v="4"/>
    <x v="5"/>
  </r>
  <r>
    <d v="2024-03-28T00:00:00"/>
    <x v="19"/>
    <s v="Public Holiday - Leave"/>
    <n v="8"/>
    <x v="11"/>
    <s v="No"/>
    <m/>
    <x v="4"/>
    <x v="5"/>
  </r>
  <r>
    <d v="2024-03-28T00:00:00"/>
    <x v="20"/>
    <s v="Public Holiday - Leave"/>
    <n v="8"/>
    <x v="11"/>
    <s v="No"/>
    <m/>
    <x v="4"/>
    <x v="5"/>
  </r>
  <r>
    <d v="2024-03-28T00:00:00"/>
    <x v="21"/>
    <s v="Public Holiday - Leave"/>
    <n v="8"/>
    <x v="11"/>
    <s v="No"/>
    <s v="Maundy Thursday"/>
    <x v="4"/>
    <x v="5"/>
  </r>
  <r>
    <d v="2024-03-28T00:00:00"/>
    <x v="22"/>
    <s v="Bookkeeping"/>
    <n v="0.08"/>
    <x v="123"/>
    <s v="Yes"/>
    <s v="Review and post journal to realise bucket funds as revenue, email to Sarah."/>
    <x v="4"/>
    <x v="5"/>
  </r>
  <r>
    <d v="2024-03-28T00:00:00"/>
    <x v="22"/>
    <s v="Bookkeeping"/>
    <n v="0.12"/>
    <x v="26"/>
    <s v="Yes"/>
    <s v="Report to Bill of loan transactions"/>
    <x v="4"/>
    <x v="5"/>
  </r>
  <r>
    <d v="2024-03-28T00:00:00"/>
    <x v="22"/>
    <s v="Bookkeeping"/>
    <n v="0.37"/>
    <x v="42"/>
    <s v="Yes"/>
    <s v="Termination letter HMcCann"/>
    <x v="4"/>
    <x v="5"/>
  </r>
  <r>
    <d v="2024-03-28T00:00:00"/>
    <x v="22"/>
    <s v="Bookkeeping"/>
    <n v="0.52"/>
    <x v="23"/>
    <s v="Yes"/>
    <s v="Travel transcations update for tax"/>
    <x v="4"/>
    <x v="5"/>
  </r>
  <r>
    <d v="2024-03-28T00:00:00"/>
    <x v="22"/>
    <s v="Bookkeeping"/>
    <n v="0.82"/>
    <x v="44"/>
    <s v="Yes"/>
    <s v="Bookkeeping - send AP list  Payroll processing and creation of ABA file Super set up AL liability Request PO for Fortescue travel Email to Zoe"/>
    <x v="4"/>
    <x v="5"/>
  </r>
  <r>
    <d v="2024-03-28T00:00:00"/>
    <x v="22"/>
    <s v="Client Admin"/>
    <n v="0.42"/>
    <x v="11"/>
    <s v="No"/>
    <s v="Chats to Ali re RSVP / Prime contracts"/>
    <x v="4"/>
    <x v="5"/>
  </r>
  <r>
    <d v="2024-03-28T00:00:00"/>
    <x v="22"/>
    <s v="Client Admin"/>
    <n v="0.47"/>
    <x v="11"/>
    <s v="No"/>
    <s v="Richbox survey, tax queries RWB from Emily Wyzed - person management Ef query on Onefocus"/>
    <x v="4"/>
    <x v="5"/>
  </r>
  <r>
    <d v="2024-03-28T00:00:00"/>
    <x v="22"/>
    <s v="Client Admin"/>
    <n v="0.67"/>
    <x v="11"/>
    <s v="No"/>
    <s v="Nephew brand updates to process docuemtns and email to client."/>
    <x v="4"/>
    <x v="5"/>
  </r>
  <r>
    <d v="2024-03-28T00:00:00"/>
    <x v="22"/>
    <s v="Client Manager"/>
    <n v="0.42"/>
    <x v="44"/>
    <s v="Yes"/>
    <s v="Calls / emails with Zoe / James / Blair re tax and R&amp;D"/>
    <x v="4"/>
    <x v="5"/>
  </r>
  <r>
    <d v="2024-03-28T00:00:00"/>
    <x v="22"/>
    <s v="Client Manager"/>
    <n v="0.48"/>
    <x v="42"/>
    <s v="Yes"/>
    <s v="Emails - ASIC response, email to Alex Ma re final payslip / payment "/>
    <x v="4"/>
    <x v="5"/>
  </r>
  <r>
    <d v="2024-03-28T00:00:00"/>
    <x v="22"/>
    <s v="Client Meeting"/>
    <n v="7.0000000000000007E-2"/>
    <x v="90"/>
    <s v="Yes"/>
    <s v="Catch up with Tyson"/>
    <x v="4"/>
    <x v="5"/>
  </r>
  <r>
    <d v="2024-03-28T00:00:00"/>
    <x v="22"/>
    <s v="General"/>
    <n v="0.02"/>
    <x v="11"/>
    <s v="No"/>
    <s v="Asana and email prior to logging off"/>
    <x v="4"/>
    <x v="5"/>
  </r>
  <r>
    <d v="2024-03-28T00:00:00"/>
    <x v="22"/>
    <s v="General"/>
    <n v="0.25"/>
    <x v="11"/>
    <s v="No"/>
    <s v="REview Asana"/>
    <x v="4"/>
    <x v="5"/>
  </r>
  <r>
    <d v="2024-03-28T00:00:00"/>
    <x v="22"/>
    <s v="General"/>
    <n v="0.38"/>
    <x v="11"/>
    <s v="No"/>
    <s v="Wyzed training, downloads folder, Asana takss, emails"/>
    <x v="4"/>
    <x v="5"/>
  </r>
  <r>
    <d v="2024-03-28T00:00:00"/>
    <x v="22"/>
    <s v="General"/>
    <n v="0.5"/>
    <x v="11"/>
    <s v="No"/>
    <m/>
    <x v="4"/>
    <x v="5"/>
  </r>
  <r>
    <d v="2024-03-28T00:00:00"/>
    <x v="22"/>
    <s v="Out-of-Scope Services"/>
    <n v="0.35"/>
    <x v="26"/>
    <s v="Yes"/>
    <s v="Journal for sale of Audi - FY23 financial year.  Call with Bill re documents Email re Airwallex account (Upstage)"/>
    <x v="4"/>
    <x v="5"/>
  </r>
  <r>
    <d v="2024-03-28T00:00:00"/>
    <x v="22"/>
    <s v="Payroll Processing"/>
    <n v="0.47"/>
    <x v="34"/>
    <s v="Yes"/>
    <s v="Oncost journals"/>
    <x v="4"/>
    <x v="5"/>
  </r>
  <r>
    <d v="2024-03-28T00:00:00"/>
    <x v="22"/>
    <s v="Payroll Processing"/>
    <n v="0.75"/>
    <x v="34"/>
    <s v="Yes"/>
    <s v="Call with Ali  re salary reviews Check email Update live file for Angelique's move to PBC"/>
    <x v="4"/>
    <x v="5"/>
  </r>
  <r>
    <d v="2024-03-28T00:00:00"/>
    <x v="23"/>
    <s v="Public Holiday - Leave"/>
    <n v="8"/>
    <x v="11"/>
    <s v="No"/>
    <m/>
    <x v="4"/>
    <x v="5"/>
  </r>
  <r>
    <d v="2024-03-28T00:00:00"/>
    <x v="48"/>
    <s v="HR/Recuitment"/>
    <n v="2"/>
    <x v="11"/>
    <s v="No"/>
    <s v="Finance Manager recruitment - send unsuccessful letters to applicants, contact more applicants via email, obtain referees for potential candidate and liaise via phone with referee, and send emails."/>
    <x v="4"/>
    <x v="5"/>
  </r>
  <r>
    <d v="2024-03-28T00:00:00"/>
    <x v="48"/>
    <s v="P&amp;C Advisory"/>
    <n v="0.17"/>
    <x v="9"/>
    <s v="Yes"/>
    <s v="Download reports from EC and send to Executive on AT Gap Analysis - send report in a.m. and one in p.m."/>
    <x v="4"/>
    <x v="5"/>
  </r>
  <r>
    <d v="2024-03-28T00:00:00"/>
    <x v="24"/>
    <s v="Bookkeeping"/>
    <n v="0.33"/>
    <x v="55"/>
    <s v="Yes"/>
    <m/>
    <x v="4"/>
    <x v="5"/>
  </r>
  <r>
    <d v="2024-03-28T00:00:00"/>
    <x v="24"/>
    <s v="Bookkeeping"/>
    <n v="0.53"/>
    <x v="46"/>
    <s v="Yes"/>
    <m/>
    <x v="4"/>
    <x v="5"/>
  </r>
  <r>
    <d v="2024-03-28T00:00:00"/>
    <x v="24"/>
    <s v="Bookkeeping"/>
    <n v="0.6"/>
    <x v="55"/>
    <s v="Yes"/>
    <s v="Assisted with Daniel's queries and BAS emails"/>
    <x v="4"/>
    <x v="5"/>
  </r>
  <r>
    <d v="2024-03-28T00:00:00"/>
    <x v="24"/>
    <s v="Bookkeeping"/>
    <n v="6.55"/>
    <x v="15"/>
    <s v="Yes"/>
    <m/>
    <x v="4"/>
    <x v="5"/>
  </r>
  <r>
    <d v="2024-03-28T00:00:00"/>
    <x v="24"/>
    <s v="Payroll Processing"/>
    <n v="2.0299999999999998"/>
    <x v="46"/>
    <s v="Yes"/>
    <m/>
    <x v="4"/>
    <x v="5"/>
  </r>
  <r>
    <d v="2024-03-28T00:00:00"/>
    <x v="26"/>
    <s v="Adhoc Support &amp; Advice"/>
    <n v="1.5"/>
    <x v="15"/>
    <s v="No"/>
    <s v="Recon"/>
    <x v="4"/>
    <x v="5"/>
  </r>
  <r>
    <d v="2024-03-28T00:00:00"/>
    <x v="26"/>
    <s v="Debt Collection"/>
    <n v="2"/>
    <x v="11"/>
    <s v="No"/>
    <m/>
    <x v="4"/>
    <x v="5"/>
  </r>
  <r>
    <d v="2024-03-28T00:00:00"/>
    <x v="26"/>
    <s v="Debt Collection"/>
    <n v="4"/>
    <x v="15"/>
    <s v="Yes"/>
    <m/>
    <x v="4"/>
    <x v="5"/>
  </r>
  <r>
    <d v="2024-03-28T00:00:00"/>
    <x v="26"/>
    <s v="General"/>
    <n v="0.5"/>
    <x v="11"/>
    <s v="No"/>
    <s v="Break"/>
    <x v="4"/>
    <x v="5"/>
  </r>
  <r>
    <d v="2024-03-28T00:00:00"/>
    <x v="28"/>
    <s v="Public Holiday - Leave"/>
    <n v="8"/>
    <x v="11"/>
    <s v="No"/>
    <m/>
    <x v="4"/>
    <x v="5"/>
  </r>
  <r>
    <d v="2024-03-28T00:00:00"/>
    <x v="29"/>
    <s v="Public Holiday - Leave"/>
    <n v="8"/>
    <x v="11"/>
    <s v="No"/>
    <s v="Maundy Thursday"/>
    <x v="4"/>
    <x v="5"/>
  </r>
  <r>
    <d v="2024-03-28T00:00:00"/>
    <x v="30"/>
    <s v="Bookkeeping"/>
    <n v="0.72"/>
    <x v="0"/>
    <s v="Yes"/>
    <s v="Reviewing General Exemption List Sent Message to Nicole for queries"/>
    <x v="4"/>
    <x v="5"/>
  </r>
  <r>
    <d v="2024-03-28T00:00:00"/>
    <x v="30"/>
    <s v="Bookkeeping"/>
    <n v="1.05"/>
    <x v="0"/>
    <s v="Yes"/>
    <s v="Checked and Fixed General Exception List "/>
    <x v="4"/>
    <x v="5"/>
  </r>
  <r>
    <d v="2024-03-28T00:00:00"/>
    <x v="30"/>
    <s v="Bookkeeping"/>
    <n v="1.73"/>
    <x v="58"/>
    <s v="Yes"/>
    <s v="Email Management Bills Processing Preparation of Batch Payment"/>
    <x v="4"/>
    <x v="5"/>
  </r>
  <r>
    <d v="2024-03-28T00:00:00"/>
    <x v="30"/>
    <s v="Client Admin"/>
    <n v="0.63"/>
    <x v="11"/>
    <s v="No"/>
    <s v="Email Management Asana Task Clean up"/>
    <x v="4"/>
    <x v="5"/>
  </r>
  <r>
    <d v="2024-03-28T00:00:00"/>
    <x v="30"/>
    <s v="Public Holiday - Leave"/>
    <n v="4"/>
    <x v="11"/>
    <s v="No"/>
    <m/>
    <x v="4"/>
    <x v="5"/>
  </r>
  <r>
    <d v="2024-03-28T00:00:00"/>
    <x v="31"/>
    <s v="Public Holiday - Leave"/>
    <n v="8"/>
    <x v="11"/>
    <s v="No"/>
    <s v="PH Holiday"/>
    <x v="4"/>
    <x v="5"/>
  </r>
  <r>
    <d v="2024-03-28T00:00:00"/>
    <x v="32"/>
    <s v="Public Holiday - Leave"/>
    <n v="9"/>
    <x v="11"/>
    <s v="No"/>
    <m/>
    <x v="4"/>
    <x v="5"/>
  </r>
  <r>
    <d v="2024-03-28T00:00:00"/>
    <x v="33"/>
    <s v="Bookkeeping"/>
    <n v="0.5"/>
    <x v="32"/>
    <s v="Yes"/>
    <m/>
    <x v="4"/>
    <x v="5"/>
  </r>
  <r>
    <d v="2024-03-28T00:00:00"/>
    <x v="33"/>
    <s v="Bookkeeping"/>
    <n v="0.5"/>
    <x v="48"/>
    <s v="Yes"/>
    <m/>
    <x v="4"/>
    <x v="5"/>
  </r>
  <r>
    <d v="2024-03-28T00:00:00"/>
    <x v="33"/>
    <s v="Bookkeeping"/>
    <n v="0.5"/>
    <x v="59"/>
    <s v="Yes"/>
    <m/>
    <x v="4"/>
    <x v="5"/>
  </r>
  <r>
    <d v="2024-03-28T00:00:00"/>
    <x v="33"/>
    <s v="Bookkeeping"/>
    <n v="3"/>
    <x v="9"/>
    <s v="Yes"/>
    <m/>
    <x v="4"/>
    <x v="5"/>
  </r>
  <r>
    <d v="2024-03-28T00:00:00"/>
    <x v="33"/>
    <s v="Meetings"/>
    <n v="1"/>
    <x v="11"/>
    <s v="No"/>
    <s v="CC handover meeting with Irish"/>
    <x v="4"/>
    <x v="5"/>
  </r>
  <r>
    <d v="2024-03-28T00:00:00"/>
    <x v="34"/>
    <s v="Client Manager"/>
    <n v="0.42"/>
    <x v="0"/>
    <s v="Yes"/>
    <s v="YTD Balance update request YTD P&amp;L request"/>
    <x v="4"/>
    <x v="5"/>
  </r>
  <r>
    <d v="2024-03-28T00:00:00"/>
    <x v="34"/>
    <s v="Client Manager"/>
    <n v="0.92"/>
    <x v="61"/>
    <s v="Yes"/>
    <s v="Termination review and assigned to Ef Termination review and email"/>
    <x v="4"/>
    <x v="5"/>
  </r>
  <r>
    <d v="2024-03-28T00:00:00"/>
    <x v="34"/>
    <s v="Client Manager"/>
    <n v="1.25"/>
    <x v="96"/>
    <s v="No"/>
    <s v="Emails Problem with excel file"/>
    <x v="4"/>
    <x v="5"/>
  </r>
  <r>
    <d v="2024-03-28T00:00:00"/>
    <x v="34"/>
    <s v="Client Manager"/>
    <n v="2.0299999999999998"/>
    <x v="0"/>
    <s v="No"/>
    <s v="Asana tasks Learning and using Tango to prepare procedures month end prep"/>
    <x v="4"/>
    <x v="5"/>
  </r>
  <r>
    <d v="2024-03-28T00:00:00"/>
    <x v="34"/>
    <s v="General"/>
    <n v="1.5"/>
    <x v="11"/>
    <s v="No"/>
    <s v="Emails, Teams, Asana"/>
    <x v="4"/>
    <x v="5"/>
  </r>
  <r>
    <d v="2024-03-28T00:00:00"/>
    <x v="35"/>
    <s v="Public Holiday - Leave"/>
    <n v="8"/>
    <x v="11"/>
    <s v="No"/>
    <s v="PH Holiday"/>
    <x v="4"/>
    <x v="5"/>
  </r>
  <r>
    <d v="2024-03-28T00:00:00"/>
    <x v="36"/>
    <s v="Bookkeeping"/>
    <n v="0.22"/>
    <x v="35"/>
    <s v="Yes"/>
    <s v="Called Jeric"/>
    <x v="4"/>
    <x v="5"/>
  </r>
  <r>
    <d v="2024-03-28T00:00:00"/>
    <x v="36"/>
    <s v="Bookkeeping"/>
    <n v="0.72"/>
    <x v="16"/>
    <s v="Yes"/>
    <s v="Bank rcs"/>
    <x v="4"/>
    <x v="5"/>
  </r>
  <r>
    <d v="2024-03-28T00:00:00"/>
    <x v="36"/>
    <s v="Bookkeeping"/>
    <n v="1.95"/>
    <x v="16"/>
    <s v="Yes"/>
    <s v="Catchup with Sylvie and Sarah, and did some bank recs with Sarah"/>
    <x v="4"/>
    <x v="5"/>
  </r>
  <r>
    <d v="2024-03-28T00:00:00"/>
    <x v="36"/>
    <s v="Bookkeeping"/>
    <n v="2.52"/>
    <x v="35"/>
    <s v="Yes"/>
    <m/>
    <x v="4"/>
    <x v="5"/>
  </r>
  <r>
    <d v="2024-03-28T00:00:00"/>
    <x v="36"/>
    <s v="General"/>
    <n v="0.3"/>
    <x v="11"/>
    <s v="No"/>
    <s v="Dex emails"/>
    <x v="4"/>
    <x v="5"/>
  </r>
  <r>
    <d v="2024-03-28T00:00:00"/>
    <x v="36"/>
    <s v="Payroll Processing"/>
    <n v="0.42"/>
    <x v="34"/>
    <s v="Yes"/>
    <s v="Adhocs payroll journal "/>
    <x v="4"/>
    <x v="5"/>
  </r>
  <r>
    <d v="2024-03-28T00:00:00"/>
    <x v="36"/>
    <s v="Payroll Processing"/>
    <n v="1.45"/>
    <x v="35"/>
    <s v="Yes"/>
    <m/>
    <x v="4"/>
    <x v="5"/>
  </r>
  <r>
    <d v="2024-03-28T00:00:00"/>
    <x v="36"/>
    <s v="Payroll Processing"/>
    <n v="1.55"/>
    <x v="34"/>
    <s v="Yes"/>
    <s v="payroll journals"/>
    <x v="4"/>
    <x v="5"/>
  </r>
  <r>
    <d v="2024-03-28T00:00:00"/>
    <x v="37"/>
    <s v="Public Holiday - Leave"/>
    <n v="8"/>
    <x v="11"/>
    <s v="No"/>
    <s v="Maundy Thursday"/>
    <x v="4"/>
    <x v="5"/>
  </r>
  <r>
    <d v="2024-03-28T00:00:00"/>
    <x v="38"/>
    <s v="Bookkeeping"/>
    <n v="8.75"/>
    <x v="15"/>
    <s v="Yes"/>
    <m/>
    <x v="4"/>
    <x v="5"/>
  </r>
  <r>
    <d v="2024-03-28T00:00:00"/>
    <x v="39"/>
    <s v="Bookkeeping"/>
    <n v="0.38"/>
    <x v="28"/>
    <s v="Yes"/>
    <s v="Call with Ge re queries"/>
    <x v="4"/>
    <x v="5"/>
  </r>
  <r>
    <d v="2024-03-28T00:00:00"/>
    <x v="39"/>
    <s v="Client Manager"/>
    <n v="0.97"/>
    <x v="116"/>
    <s v="Yes"/>
    <s v="Handover to Sherly"/>
    <x v="4"/>
    <x v="5"/>
  </r>
  <r>
    <d v="2024-03-28T00:00:00"/>
    <x v="39"/>
    <s v="General"/>
    <n v="0.5"/>
    <x v="11"/>
    <s v="No"/>
    <s v="Break"/>
    <x v="4"/>
    <x v="5"/>
  </r>
  <r>
    <d v="2024-03-28T00:00:00"/>
    <x v="39"/>
    <s v="Meetings"/>
    <n v="1.58"/>
    <x v="11"/>
    <s v="No"/>
    <s v="Handover with Sherly - the rest of the review clients Call with Gerardo re bank recon variance on payroll report"/>
    <x v="4"/>
    <x v="5"/>
  </r>
  <r>
    <d v="2024-03-28T00:00:00"/>
    <x v="39"/>
    <s v="Payroll Processing"/>
    <n v="0.7"/>
    <x v="15"/>
    <s v="Yes"/>
    <s v="Payroll overview for sherly"/>
    <x v="4"/>
    <x v="5"/>
  </r>
  <r>
    <d v="2024-03-28T00:00:00"/>
    <x v="39"/>
    <s v="Payroll Processing"/>
    <n v="1.7"/>
    <x v="34"/>
    <s v="Yes"/>
    <s v="Shadow Rach with tasks"/>
    <x v="4"/>
    <x v="5"/>
  </r>
  <r>
    <d v="2024-03-28T00:00:00"/>
    <x v="39"/>
    <s v="Payroll Processing"/>
    <n v="2.23"/>
    <x v="15"/>
    <s v="Yes"/>
    <s v="Payroll processing and peer review"/>
    <x v="4"/>
    <x v="5"/>
  </r>
  <r>
    <d v="2024-03-28T00:00:00"/>
    <x v="40"/>
    <s v="Out-of-Scope Services"/>
    <n v="0.13"/>
    <x v="99"/>
    <s v="Yes"/>
    <s v="Submit lodgement deferral application Prepare dividend and franking credit figures for Sylvie to prepare dividend statements"/>
    <x v="4"/>
    <x v="5"/>
  </r>
  <r>
    <d v="2024-03-28T00:00:00"/>
    <x v="41"/>
    <s v="Bookkeeping"/>
    <n v="1"/>
    <x v="36"/>
    <s v="Yes"/>
    <s v="Inbox mgmt Bank rec Call Amex and Invisalign"/>
    <x v="4"/>
    <x v="5"/>
  </r>
  <r>
    <d v="2024-03-28T00:00:00"/>
    <x v="41"/>
    <s v="Bookkeeping"/>
    <n v="1"/>
    <x v="47"/>
    <s v="Yes"/>
    <s v="Inobx mgmt Import CC transactions Bank rec Attend to client queries"/>
    <x v="4"/>
    <x v="5"/>
  </r>
  <r>
    <d v="2024-03-28T00:00:00"/>
    <x v="41"/>
    <s v="Bookkeeping"/>
    <n v="2.2999999999999998"/>
    <x v="16"/>
    <s v="Yes"/>
    <m/>
    <x v="4"/>
    <x v="5"/>
  </r>
  <r>
    <d v="2024-03-28T00:00:00"/>
    <x v="41"/>
    <s v="Client Meeting"/>
    <n v="1.37"/>
    <x v="16"/>
    <s v="Yes"/>
    <s v="Catch up with Sylvie and Rachele"/>
    <x v="4"/>
    <x v="5"/>
  </r>
  <r>
    <d v="2024-03-28T00:00:00"/>
    <x v="41"/>
    <s v="General"/>
    <n v="0.4"/>
    <x v="11"/>
    <s v="No"/>
    <s v="Paid break"/>
    <x v="4"/>
    <x v="5"/>
  </r>
  <r>
    <d v="2024-03-28T00:00:00"/>
    <x v="41"/>
    <s v="Payroll Processing"/>
    <n v="2.0299999999999998"/>
    <x v="63"/>
    <s v="Yes"/>
    <s v="Export reports and ABA file Gross wage and AL balance reconciliaiton Send out payslips STP reconciliation and filing."/>
    <x v="4"/>
    <x v="5"/>
  </r>
  <r>
    <d v="2024-03-28T00:00:00"/>
    <x v="42"/>
    <s v="Client Manager"/>
    <n v="0.5"/>
    <x v="33"/>
    <s v="Yes"/>
    <s v="SRAC weekly meeting"/>
    <x v="4"/>
    <x v="5"/>
  </r>
  <r>
    <d v="2024-03-28T00:00:00"/>
    <x v="42"/>
    <s v="Client Manager"/>
    <n v="1"/>
    <x v="48"/>
    <s v="Yes"/>
    <s v="Upload payments and email Zoe. Update Fathom again as more invoices received. Send report to Zoe"/>
    <x v="4"/>
    <x v="5"/>
  </r>
  <r>
    <d v="2024-03-28T00:00:00"/>
    <x v="42"/>
    <s v="Client Manager"/>
    <n v="1"/>
    <x v="36"/>
    <s v="Yes"/>
    <s v="Phone call with Camille from BOQ re OD facility application. Send queries to Ish and Sarah. Request for FS and tax return for Ish &amp; Michael Pty Ltd from Nexia. Send some info to Camille"/>
    <x v="4"/>
    <x v="5"/>
  </r>
  <r>
    <d v="2024-03-28T00:00:00"/>
    <x v="42"/>
    <s v="Client Manager"/>
    <n v="4"/>
    <x v="102"/>
    <s v="Yes"/>
    <s v="Weekly and EOM supplier payment run. Update bank rec for trading and VISA. Send queries to Alan/Catherine. IT issues with John. Enter supplier invoices, process receipts etc"/>
    <x v="4"/>
    <x v="5"/>
  </r>
  <r>
    <d v="2024-03-28T00:00:00"/>
    <x v="42"/>
    <s v="General"/>
    <n v="1"/>
    <x v="11"/>
    <s v="No"/>
    <s v="Email James re overdue invoices, RJ question, onboarding task, catch-up with Carly re new client etc"/>
    <x v="4"/>
    <x v="5"/>
  </r>
  <r>
    <d v="2024-03-28T00:00:00"/>
    <x v="43"/>
    <s v="Bookkeeping"/>
    <n v="0.5"/>
    <x v="39"/>
    <s v="Yes"/>
    <s v="payroll review and bank upload"/>
    <x v="4"/>
    <x v="5"/>
  </r>
  <r>
    <d v="2024-03-28T00:00:00"/>
    <x v="43"/>
    <s v="Bookkeeping"/>
    <n v="0.5"/>
    <x v="46"/>
    <s v="Yes"/>
    <s v="Payroll review and Bank upload"/>
    <x v="4"/>
    <x v="5"/>
  </r>
  <r>
    <d v="2024-03-28T00:00:00"/>
    <x v="43"/>
    <s v="Bookkeeping"/>
    <n v="1"/>
    <x v="15"/>
    <s v="No"/>
    <s v="Handover training payroll"/>
    <x v="4"/>
    <x v="5"/>
  </r>
  <r>
    <d v="2024-03-28T00:00:00"/>
    <x v="43"/>
    <s v="Bookkeeping"/>
    <n v="5"/>
    <x v="15"/>
    <s v="Yes"/>
    <s v="Cashflow , AP Invoicing, Investigate Invoices with Issue, Prepares BS Recon for March"/>
    <x v="4"/>
    <x v="5"/>
  </r>
  <r>
    <d v="2024-03-28T00:00:00"/>
    <x v="43"/>
    <s v="General"/>
    <n v="1"/>
    <x v="11"/>
    <s v="No"/>
    <s v="Handover Training Rose "/>
    <x v="4"/>
    <x v="5"/>
  </r>
  <r>
    <d v="2024-03-28T00:00:00"/>
    <x v="44"/>
    <s v="Bookkeeping"/>
    <n v="0.8"/>
    <x v="67"/>
    <s v="Yes"/>
    <s v="Review interest payment batches, upload payments, liaise with Tim and Ann"/>
    <x v="4"/>
    <x v="5"/>
  </r>
  <r>
    <d v="2024-03-28T00:00:00"/>
    <x v="44"/>
    <s v="Bookkeeping"/>
    <n v="1.5"/>
    <x v="16"/>
    <s v="Yes"/>
    <s v="Bellinger Credit cash flow"/>
    <x v="4"/>
    <x v="5"/>
  </r>
  <r>
    <d v="2024-03-28T00:00:00"/>
    <x v="44"/>
    <s v="Client Manager"/>
    <n v="0.1"/>
    <x v="6"/>
    <s v="Yes"/>
    <s v="F/up email novated lease"/>
    <x v="4"/>
    <x v="5"/>
  </r>
  <r>
    <d v="2024-03-28T00:00:00"/>
    <x v="44"/>
    <s v="Client Manager"/>
    <n v="0.4"/>
    <x v="16"/>
    <s v="Yes"/>
    <s v="f/up cancellation OMS subscription"/>
    <x v="4"/>
    <x v="5"/>
  </r>
  <r>
    <d v="2024-03-28T00:00:00"/>
    <x v="44"/>
    <s v="Client Manager"/>
    <n v="0.4"/>
    <x v="6"/>
    <s v="Yes"/>
    <s v="details and links re employee/contractors- email to Imogen Rea"/>
    <x v="4"/>
    <x v="5"/>
  </r>
  <r>
    <d v="2024-03-28T00:00:00"/>
    <x v="44"/>
    <s v="Client Manager"/>
    <n v="0.7"/>
    <x v="16"/>
    <s v="Yes"/>
    <s v="Emails, liaise with team"/>
    <x v="4"/>
    <x v="5"/>
  </r>
  <r>
    <d v="2024-03-28T00:00:00"/>
    <x v="44"/>
    <s v="Client Manager"/>
    <n v="1.7"/>
    <x v="16"/>
    <s v="Yes"/>
    <s v="Catch up Sarah and Rachele"/>
    <x v="4"/>
    <x v="5"/>
  </r>
  <r>
    <d v="2024-03-28T00:00:00"/>
    <x v="44"/>
    <s v="General"/>
    <n v="0.8"/>
    <x v="11"/>
    <s v="No"/>
    <s v="Timesheet, Asana, emails and Teams"/>
    <x v="4"/>
    <x v="5"/>
  </r>
  <r>
    <d v="2024-03-28T00:00:00"/>
    <x v="44"/>
    <s v="Meetings"/>
    <n v="0.3"/>
    <x v="11"/>
    <s v="No"/>
    <s v="Call Nick re Starleaton"/>
    <x v="4"/>
    <x v="5"/>
  </r>
  <r>
    <d v="2024-03-28T00:00:00"/>
    <x v="44"/>
    <s v="Out-of-Scope Services"/>
    <n v="1.8"/>
    <x v="16"/>
    <s v="Yes"/>
    <s v="Prepare dividend statements - liaise with Sam - check ASIC/ share issue to Greg / change of name"/>
    <x v="4"/>
    <x v="5"/>
  </r>
  <r>
    <d v="2024-03-29T00:00:00"/>
    <x v="0"/>
    <s v="Public Holiday - Leave"/>
    <n v="8"/>
    <x v="11"/>
    <s v="No"/>
    <s v="AU &amp; PH Holiday - Good Friday"/>
    <x v="4"/>
    <x v="0"/>
  </r>
  <r>
    <d v="2024-03-29T00:00:00"/>
    <x v="1"/>
    <s v="P&amp;C Advisory - Nederman PT"/>
    <n v="1.25"/>
    <x v="14"/>
    <s v="Yes"/>
    <s v="Correspondence with Group HR and PT re. D &amp; A testing"/>
    <x v="4"/>
    <x v="0"/>
  </r>
  <r>
    <d v="2024-03-29T00:00:00"/>
    <x v="2"/>
    <s v="Public Holiday - Leave"/>
    <n v="8"/>
    <x v="11"/>
    <s v="No"/>
    <m/>
    <x v="4"/>
    <x v="0"/>
  </r>
  <r>
    <d v="2024-03-29T00:00:00"/>
    <x v="4"/>
    <s v="Public Holiday - Leave"/>
    <n v="7.5"/>
    <x v="11"/>
    <s v="No"/>
    <m/>
    <x v="4"/>
    <x v="0"/>
  </r>
  <r>
    <d v="2024-03-29T00:00:00"/>
    <x v="6"/>
    <s v="Public Holiday - Leave"/>
    <n v="8"/>
    <x v="11"/>
    <s v="No"/>
    <s v="PHILIPPINE HOLIDAY:  Good Friday"/>
    <x v="4"/>
    <x v="0"/>
  </r>
  <r>
    <d v="2024-03-29T00:00:00"/>
    <x v="9"/>
    <s v="Public Holiday - Leave"/>
    <n v="9"/>
    <x v="11"/>
    <s v="No"/>
    <m/>
    <x v="4"/>
    <x v="0"/>
  </r>
  <r>
    <d v="2024-03-29T00:00:00"/>
    <x v="10"/>
    <s v="Public Holiday - Leave"/>
    <n v="8"/>
    <x v="11"/>
    <s v="No"/>
    <s v="Au and Phil Holiday - Good Friday"/>
    <x v="4"/>
    <x v="0"/>
  </r>
  <r>
    <d v="2024-03-29T00:00:00"/>
    <x v="11"/>
    <s v="Public Holiday - Leave"/>
    <n v="8"/>
    <x v="11"/>
    <s v="No"/>
    <m/>
    <x v="4"/>
    <x v="0"/>
  </r>
  <r>
    <d v="2024-03-29T00:00:00"/>
    <x v="12"/>
    <s v="Public Holiday - Leave"/>
    <n v="8"/>
    <x v="11"/>
    <s v="No"/>
    <m/>
    <x v="4"/>
    <x v="0"/>
  </r>
  <r>
    <d v="2024-03-29T00:00:00"/>
    <x v="13"/>
    <s v="Annual Leave"/>
    <n v="8"/>
    <x v="11"/>
    <s v="No"/>
    <m/>
    <x v="4"/>
    <x v="0"/>
  </r>
  <r>
    <d v="2024-03-29T00:00:00"/>
    <x v="14"/>
    <s v="Public Holiday - Leave"/>
    <n v="8"/>
    <x v="11"/>
    <s v="No"/>
    <m/>
    <x v="4"/>
    <x v="0"/>
  </r>
  <r>
    <d v="2024-03-29T00:00:00"/>
    <x v="15"/>
    <s v="Public Holiday - Leave"/>
    <n v="8"/>
    <x v="11"/>
    <s v="No"/>
    <m/>
    <x v="4"/>
    <x v="0"/>
  </r>
  <r>
    <d v="2024-03-29T00:00:00"/>
    <x v="16"/>
    <s v="Public Holiday - Leave"/>
    <n v="8"/>
    <x v="11"/>
    <s v="No"/>
    <m/>
    <x v="4"/>
    <x v="0"/>
  </r>
  <r>
    <d v="2024-03-29T00:00:00"/>
    <x v="18"/>
    <s v="Public Holiday - Leave"/>
    <n v="8"/>
    <x v="11"/>
    <s v="No"/>
    <s v="PH Holiday"/>
    <x v="4"/>
    <x v="0"/>
  </r>
  <r>
    <d v="2024-03-29T00:00:00"/>
    <x v="19"/>
    <s v="Public Holiday - Leave"/>
    <n v="8"/>
    <x v="11"/>
    <s v="No"/>
    <m/>
    <x v="4"/>
    <x v="0"/>
  </r>
  <r>
    <d v="2024-03-29T00:00:00"/>
    <x v="20"/>
    <s v="Public Holiday - Leave"/>
    <n v="8"/>
    <x v="11"/>
    <s v="No"/>
    <m/>
    <x v="4"/>
    <x v="0"/>
  </r>
  <r>
    <d v="2024-03-29T00:00:00"/>
    <x v="21"/>
    <s v="Public Holiday - Leave"/>
    <n v="8"/>
    <x v="11"/>
    <s v="No"/>
    <s v="Good Friday"/>
    <x v="4"/>
    <x v="0"/>
  </r>
  <r>
    <d v="2024-03-29T00:00:00"/>
    <x v="23"/>
    <s v="Public Holiday - Leave"/>
    <n v="8"/>
    <x v="11"/>
    <s v="No"/>
    <m/>
    <x v="4"/>
    <x v="0"/>
  </r>
  <r>
    <d v="2024-03-29T00:00:00"/>
    <x v="24"/>
    <s v="Public Holiday - Leave"/>
    <n v="8"/>
    <x v="11"/>
    <s v="No"/>
    <m/>
    <x v="4"/>
    <x v="0"/>
  </r>
  <r>
    <d v="2024-03-29T00:00:00"/>
    <x v="26"/>
    <s v="Public Holiday - Leave"/>
    <n v="8"/>
    <x v="11"/>
    <s v="No"/>
    <m/>
    <x v="4"/>
    <x v="0"/>
  </r>
  <r>
    <d v="2024-03-29T00:00:00"/>
    <x v="28"/>
    <s v="Public Holiday - Leave"/>
    <n v="8"/>
    <x v="11"/>
    <s v="No"/>
    <m/>
    <x v="4"/>
    <x v="0"/>
  </r>
  <r>
    <d v="2024-03-29T00:00:00"/>
    <x v="29"/>
    <s v="Public Holiday - Leave"/>
    <n v="8"/>
    <x v="11"/>
    <s v="No"/>
    <s v="Good Friday"/>
    <x v="4"/>
    <x v="0"/>
  </r>
  <r>
    <d v="2024-03-29T00:00:00"/>
    <x v="30"/>
    <s v="Public Holiday - Leave"/>
    <n v="8"/>
    <x v="11"/>
    <s v="No"/>
    <m/>
    <x v="4"/>
    <x v="0"/>
  </r>
  <r>
    <d v="2024-03-29T00:00:00"/>
    <x v="31"/>
    <s v="Public Holiday - Leave"/>
    <n v="8"/>
    <x v="11"/>
    <s v="No"/>
    <s v="PH Holiday"/>
    <x v="4"/>
    <x v="0"/>
  </r>
  <r>
    <d v="2024-03-29T00:00:00"/>
    <x v="32"/>
    <s v="Public Holiday - Leave"/>
    <n v="9"/>
    <x v="11"/>
    <s v="No"/>
    <m/>
    <x v="4"/>
    <x v="0"/>
  </r>
  <r>
    <d v="2024-03-29T00:00:00"/>
    <x v="33"/>
    <s v="Public Holiday - Leave"/>
    <n v="5"/>
    <x v="11"/>
    <s v="No"/>
    <m/>
    <x v="4"/>
    <x v="0"/>
  </r>
  <r>
    <d v="2024-03-29T00:00:00"/>
    <x v="35"/>
    <s v="Public Holiday - Leave"/>
    <n v="8"/>
    <x v="11"/>
    <s v="No"/>
    <s v="PH Holiday"/>
    <x v="4"/>
    <x v="0"/>
  </r>
  <r>
    <d v="2024-03-29T00:00:00"/>
    <x v="36"/>
    <s v="Public Holiday - Leave"/>
    <n v="8"/>
    <x v="11"/>
    <s v="No"/>
    <m/>
    <x v="4"/>
    <x v="0"/>
  </r>
  <r>
    <d v="2024-03-29T00:00:00"/>
    <x v="37"/>
    <s v="Public Holiday - Leave"/>
    <n v="8"/>
    <x v="11"/>
    <s v="No"/>
    <s v="Good Friday"/>
    <x v="4"/>
    <x v="0"/>
  </r>
  <r>
    <d v="2024-03-29T00:00:00"/>
    <x v="38"/>
    <s v="Public Holiday - Leave"/>
    <n v="8"/>
    <x v="11"/>
    <s v="No"/>
    <m/>
    <x v="4"/>
    <x v="0"/>
  </r>
  <r>
    <d v="2024-03-29T00:00:00"/>
    <x v="39"/>
    <s v="Public Holiday - Leave"/>
    <n v="8"/>
    <x v="11"/>
    <s v="No"/>
    <m/>
    <x v="4"/>
    <x v="0"/>
  </r>
  <r>
    <d v="2024-03-29T00:00:00"/>
    <x v="41"/>
    <s v="Public Holiday - Leave"/>
    <n v="8"/>
    <x v="11"/>
    <s v="No"/>
    <m/>
    <x v="4"/>
    <x v="0"/>
  </r>
  <r>
    <d v="2024-03-29T00:00:00"/>
    <x v="42"/>
    <s v="Public Holiday - Leave"/>
    <n v="7.6"/>
    <x v="11"/>
    <s v="No"/>
    <m/>
    <x v="4"/>
    <x v="0"/>
  </r>
  <r>
    <d v="2024-03-29T00:00:00"/>
    <x v="43"/>
    <s v="Public Holiday - Leave"/>
    <n v="8"/>
    <x v="11"/>
    <s v="No"/>
    <m/>
    <x v="4"/>
    <x v="0"/>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r>
    <m/>
    <x v="49"/>
    <m/>
    <m/>
    <x v="124"/>
    <m/>
    <m/>
    <x v="5"/>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5DCB5-90C3-498D-A7D3-CB22DA5B53F2}" name="PivotTable1" cacheId="6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30" firstHeaderRow="1" firstDataRow="2" firstDataCol="1"/>
  <pivotFields count="9">
    <pivotField showAll="0"/>
    <pivotField showAll="0">
      <items count="51">
        <item x="0"/>
        <item x="1"/>
        <item x="2"/>
        <item x="3"/>
        <item x="4"/>
        <item x="5"/>
        <item x="6"/>
        <item x="7"/>
        <item x="8"/>
        <item x="9"/>
        <item x="10"/>
        <item x="46"/>
        <item x="47"/>
        <item x="11"/>
        <item x="12"/>
        <item x="13"/>
        <item x="14"/>
        <item x="15"/>
        <item x="16"/>
        <item x="17"/>
        <item x="18"/>
        <item x="19"/>
        <item x="20"/>
        <item x="21"/>
        <item x="22"/>
        <item x="23"/>
        <item x="48"/>
        <item x="24"/>
        <item x="25"/>
        <item x="26"/>
        <item x="27"/>
        <item x="28"/>
        <item x="29"/>
        <item x="30"/>
        <item x="31"/>
        <item x="32"/>
        <item x="33"/>
        <item x="34"/>
        <item x="35"/>
        <item x="36"/>
        <item x="37"/>
        <item x="38"/>
        <item x="39"/>
        <item x="40"/>
        <item x="41"/>
        <item x="42"/>
        <item x="43"/>
        <item x="44"/>
        <item x="45"/>
        <item x="49"/>
        <item t="default"/>
      </items>
    </pivotField>
    <pivotField showAll="0"/>
    <pivotField dataField="1" showAll="0"/>
    <pivotField axis="axisRow" showAll="0">
      <items count="126">
        <item x="84"/>
        <item x="109"/>
        <item x="70"/>
        <item x="87"/>
        <item x="88"/>
        <item x="29"/>
        <item x="15"/>
        <item x="81"/>
        <item x="83"/>
        <item x="91"/>
        <item x="60"/>
        <item x="16"/>
        <item x="99"/>
        <item x="57"/>
        <item x="43"/>
        <item x="114"/>
        <item x="17"/>
        <item x="4"/>
        <item x="67"/>
        <item x="89"/>
        <item x="75"/>
        <item x="102"/>
        <item x="79"/>
        <item x="80"/>
        <item x="28"/>
        <item x="32"/>
        <item x="111"/>
        <item x="48"/>
        <item x="56"/>
        <item x="11"/>
        <item x="94"/>
        <item x="58"/>
        <item x="7"/>
        <item x="106"/>
        <item x="73"/>
        <item x="30"/>
        <item x="107"/>
        <item x="92"/>
        <item x="116"/>
        <item x="41"/>
        <item x="31"/>
        <item x="117"/>
        <item x="25"/>
        <item x="39"/>
        <item x="35"/>
        <item x="65"/>
        <item x="77"/>
        <item x="36"/>
        <item x="68"/>
        <item x="112"/>
        <item x="118"/>
        <item x="119"/>
        <item x="120"/>
        <item x="2"/>
        <item x="27"/>
        <item x="113"/>
        <item x="44"/>
        <item x="62"/>
        <item x="63"/>
        <item x="10"/>
        <item x="123"/>
        <item x="9"/>
        <item x="104"/>
        <item x="98"/>
        <item x="14"/>
        <item x="12"/>
        <item x="61"/>
        <item x="59"/>
        <item x="52"/>
        <item x="22"/>
        <item x="49"/>
        <item x="50"/>
        <item x="103"/>
        <item x="19"/>
        <item x="20"/>
        <item x="51"/>
        <item x="34"/>
        <item x="86"/>
        <item x="64"/>
        <item x="47"/>
        <item x="26"/>
        <item x="23"/>
        <item x="100"/>
        <item x="42"/>
        <item x="93"/>
        <item x="115"/>
        <item x="37"/>
        <item x="13"/>
        <item x="6"/>
        <item x="40"/>
        <item x="90"/>
        <item x="85"/>
        <item x="71"/>
        <item x="66"/>
        <item x="97"/>
        <item x="55"/>
        <item x="96"/>
        <item x="54"/>
        <item x="33"/>
        <item x="0"/>
        <item x="69"/>
        <item x="121"/>
        <item x="5"/>
        <item x="108"/>
        <item x="122"/>
        <item x="82"/>
        <item x="24"/>
        <item x="53"/>
        <item x="110"/>
        <item x="45"/>
        <item x="3"/>
        <item x="18"/>
        <item x="38"/>
        <item x="105"/>
        <item x="101"/>
        <item x="46"/>
        <item x="74"/>
        <item x="8"/>
        <item x="1"/>
        <item x="76"/>
        <item x="95"/>
        <item x="78"/>
        <item x="21"/>
        <item x="72"/>
        <item x="124"/>
        <item t="default"/>
      </items>
    </pivotField>
    <pivotField showAll="0"/>
    <pivotField showAll="0"/>
    <pivotField axis="axisCol" showAll="0">
      <items count="7">
        <item x="0"/>
        <item x="1"/>
        <item x="2"/>
        <item x="3"/>
        <item x="4"/>
        <item x="5"/>
        <item t="default"/>
      </items>
    </pivotField>
    <pivotField showAll="0">
      <items count="9">
        <item x="2"/>
        <item x="3"/>
        <item x="4"/>
        <item x="5"/>
        <item x="0"/>
        <item x="1"/>
        <item x="6"/>
        <item x="7"/>
        <item t="default"/>
      </items>
    </pivotField>
  </pivotFields>
  <rowFields count="1">
    <field x="4"/>
  </rowFields>
  <rowItems count="1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7"/>
  </colFields>
  <colItems count="7">
    <i>
      <x/>
    </i>
    <i>
      <x v="1"/>
    </i>
    <i>
      <x v="2"/>
    </i>
    <i>
      <x v="3"/>
    </i>
    <i>
      <x v="4"/>
    </i>
    <i>
      <x v="5"/>
    </i>
    <i t="grand">
      <x/>
    </i>
  </colItems>
  <dataFields count="1">
    <dataField name="Sum of [Time] Time (Totalled)" fld="3" baseField="0" baseItem="0"/>
  </dataFields>
  <pivotTableStyleInfo name="PivotStyleMedium9" showRowHeaders="1" showColHeaders="1" showRowStripes="0" showColStripes="0" showLastColumn="1"/>
  <filters count="1">
    <filter fld="1" type="captionEqual" evalOrder="-1" id="3535" stringValue1="Lindsay Casero">
      <autoFilter ref="A1">
        <filterColumn colId="0">
          <filters>
            <filter val="Lindsay Caser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78E06-C465-4A66-A437-645D5EEDAB32}">
  <sheetPr codeName="Sheet8"/>
  <dimension ref="A1:R150"/>
  <sheetViews>
    <sheetView tabSelected="1" topLeftCell="A19" workbookViewId="0">
      <selection activeCell="G37" sqref="G37"/>
    </sheetView>
  </sheetViews>
  <sheetFormatPr defaultRowHeight="14.4" x14ac:dyDescent="0.3"/>
  <cols>
    <col min="1" max="1" width="43.6640625" customWidth="1"/>
    <col min="2" max="2" width="27" style="23" customWidth="1"/>
    <col min="3" max="6" width="8.88671875" style="16"/>
    <col min="8" max="8" width="47.77734375" customWidth="1"/>
    <col min="9" max="9" width="24.5546875" customWidth="1"/>
    <col min="11" max="11" width="36.109375" customWidth="1"/>
    <col min="12" max="12" width="31.5546875" customWidth="1"/>
    <col min="13" max="13" width="12.44140625" customWidth="1"/>
    <col min="14" max="14" width="15.33203125" customWidth="1"/>
    <col min="17" max="17" width="17.33203125" customWidth="1"/>
    <col min="18" max="18" width="169.33203125" customWidth="1"/>
  </cols>
  <sheetData>
    <row r="1" spans="1:18" ht="55.95" customHeight="1" thickBot="1" x14ac:dyDescent="0.35">
      <c r="A1" s="32" t="s">
        <v>0</v>
      </c>
      <c r="B1" s="36" t="s">
        <v>1</v>
      </c>
      <c r="C1" s="33" t="s">
        <v>2</v>
      </c>
      <c r="D1" s="33" t="s">
        <v>3</v>
      </c>
      <c r="E1" s="33" t="s">
        <v>4</v>
      </c>
      <c r="F1" s="33" t="s">
        <v>5</v>
      </c>
      <c r="G1" s="34"/>
      <c r="H1" s="34" t="s">
        <v>6</v>
      </c>
      <c r="I1" s="35" t="s">
        <v>7</v>
      </c>
      <c r="K1" s="32" t="s">
        <v>0</v>
      </c>
      <c r="L1" s="36" t="s">
        <v>8</v>
      </c>
      <c r="M1" s="33" t="s">
        <v>2</v>
      </c>
      <c r="N1" s="33" t="s">
        <v>3</v>
      </c>
      <c r="O1" s="33" t="s">
        <v>4</v>
      </c>
      <c r="P1" s="33" t="s">
        <v>5</v>
      </c>
      <c r="Q1" s="34" t="s">
        <v>9</v>
      </c>
      <c r="R1" s="35" t="s">
        <v>6</v>
      </c>
    </row>
    <row r="2" spans="1:18" x14ac:dyDescent="0.3">
      <c r="A2" t="s">
        <v>697</v>
      </c>
      <c r="B2" s="23">
        <v>0</v>
      </c>
      <c r="C2" s="21">
        <v>0</v>
      </c>
      <c r="D2" s="21">
        <v>0</v>
      </c>
      <c r="E2" s="21">
        <v>0</v>
      </c>
      <c r="F2" s="21">
        <v>0</v>
      </c>
      <c r="I2" s="50">
        <f t="shared" ref="I2:I33" si="0">B2-L2</f>
        <v>-0.52</v>
      </c>
      <c r="K2" t="s">
        <v>697</v>
      </c>
      <c r="L2">
        <v>0.52</v>
      </c>
      <c r="M2">
        <v>0</v>
      </c>
      <c r="N2">
        <v>0.05</v>
      </c>
      <c r="O2">
        <v>0</v>
      </c>
      <c r="P2">
        <v>0.3</v>
      </c>
      <c r="Q2">
        <v>0.17</v>
      </c>
      <c r="R2" t="s">
        <v>294</v>
      </c>
    </row>
    <row r="3" spans="1:18" x14ac:dyDescent="0.3">
      <c r="A3" t="s">
        <v>1605</v>
      </c>
      <c r="B3" s="23">
        <v>0</v>
      </c>
      <c r="C3" s="21">
        <v>0</v>
      </c>
      <c r="D3" s="21">
        <v>0</v>
      </c>
      <c r="E3" s="21">
        <v>0</v>
      </c>
      <c r="F3" s="21">
        <v>0</v>
      </c>
      <c r="I3" s="50">
        <f t="shared" si="0"/>
        <v>-3.16</v>
      </c>
      <c r="K3" t="s">
        <v>1605</v>
      </c>
      <c r="L3">
        <v>3.16</v>
      </c>
      <c r="M3">
        <v>0</v>
      </c>
      <c r="N3">
        <v>0</v>
      </c>
      <c r="O3">
        <v>3.16</v>
      </c>
      <c r="P3">
        <v>0</v>
      </c>
      <c r="Q3">
        <v>0</v>
      </c>
      <c r="R3" t="s">
        <v>3070</v>
      </c>
    </row>
    <row r="4" spans="1:18" x14ac:dyDescent="0.3">
      <c r="A4" t="s">
        <v>409</v>
      </c>
      <c r="B4" s="23">
        <v>0</v>
      </c>
      <c r="C4" s="21">
        <v>0</v>
      </c>
      <c r="D4" s="21">
        <v>0</v>
      </c>
      <c r="E4" s="21">
        <v>0</v>
      </c>
      <c r="F4" s="21">
        <v>0</v>
      </c>
      <c r="I4" s="50">
        <f t="shared" si="0"/>
        <v>-3</v>
      </c>
      <c r="K4" t="s">
        <v>409</v>
      </c>
      <c r="L4">
        <v>3</v>
      </c>
      <c r="M4">
        <v>0</v>
      </c>
      <c r="N4">
        <v>1.5</v>
      </c>
      <c r="O4">
        <v>1.5</v>
      </c>
      <c r="P4">
        <v>0</v>
      </c>
      <c r="Q4">
        <v>0</v>
      </c>
      <c r="R4" t="s">
        <v>407</v>
      </c>
    </row>
    <row r="5" spans="1:18" x14ac:dyDescent="0.3">
      <c r="A5" t="s">
        <v>3064</v>
      </c>
      <c r="B5" s="23">
        <v>10</v>
      </c>
      <c r="C5" s="21">
        <v>2.5</v>
      </c>
      <c r="D5" s="21">
        <v>2.5</v>
      </c>
      <c r="E5" s="21">
        <v>2.5</v>
      </c>
      <c r="F5" s="21">
        <v>2.5</v>
      </c>
      <c r="H5" t="s">
        <v>113</v>
      </c>
      <c r="I5" s="50">
        <f t="shared" si="0"/>
        <v>10</v>
      </c>
      <c r="K5" t="s">
        <v>3064</v>
      </c>
      <c r="L5">
        <v>0</v>
      </c>
      <c r="M5">
        <v>0</v>
      </c>
      <c r="N5">
        <v>0</v>
      </c>
      <c r="O5">
        <v>0</v>
      </c>
      <c r="P5">
        <v>0</v>
      </c>
      <c r="Q5">
        <v>0</v>
      </c>
    </row>
    <row r="6" spans="1:18" x14ac:dyDescent="0.3">
      <c r="A6" t="s">
        <v>3060</v>
      </c>
      <c r="B6" s="23">
        <v>48</v>
      </c>
      <c r="C6" s="21">
        <v>12</v>
      </c>
      <c r="D6" s="21">
        <v>12</v>
      </c>
      <c r="E6" s="21">
        <v>12</v>
      </c>
      <c r="F6" s="21">
        <v>12</v>
      </c>
      <c r="H6" t="s">
        <v>150</v>
      </c>
      <c r="I6" s="50">
        <f t="shared" si="0"/>
        <v>48</v>
      </c>
      <c r="K6" t="s">
        <v>3060</v>
      </c>
      <c r="L6">
        <v>0</v>
      </c>
      <c r="M6">
        <v>0</v>
      </c>
      <c r="N6">
        <v>0</v>
      </c>
      <c r="O6">
        <v>0</v>
      </c>
      <c r="P6">
        <v>0</v>
      </c>
      <c r="Q6">
        <v>0</v>
      </c>
    </row>
    <row r="7" spans="1:18" x14ac:dyDescent="0.3">
      <c r="A7" t="s">
        <v>821</v>
      </c>
      <c r="B7" s="23">
        <v>0</v>
      </c>
      <c r="C7" s="21">
        <v>0</v>
      </c>
      <c r="D7" s="21">
        <v>0</v>
      </c>
      <c r="E7" s="21">
        <v>0</v>
      </c>
      <c r="F7" s="21">
        <v>0</v>
      </c>
      <c r="I7" s="50">
        <f t="shared" si="0"/>
        <v>-0.34</v>
      </c>
      <c r="K7" t="s">
        <v>821</v>
      </c>
      <c r="L7">
        <v>0.34</v>
      </c>
      <c r="M7">
        <v>0</v>
      </c>
      <c r="N7">
        <v>0.17</v>
      </c>
      <c r="O7">
        <v>0.17</v>
      </c>
      <c r="P7">
        <v>0</v>
      </c>
      <c r="Q7">
        <v>0</v>
      </c>
      <c r="R7" t="s">
        <v>3070</v>
      </c>
    </row>
    <row r="8" spans="1:18" x14ac:dyDescent="0.3">
      <c r="A8" t="s">
        <v>828</v>
      </c>
      <c r="B8" s="23">
        <v>0</v>
      </c>
      <c r="C8" s="21">
        <v>0</v>
      </c>
      <c r="D8" s="21">
        <v>0</v>
      </c>
      <c r="E8" s="21">
        <v>0</v>
      </c>
      <c r="F8" s="21">
        <v>0</v>
      </c>
      <c r="I8" s="50">
        <f t="shared" si="0"/>
        <v>-0.32000000000000006</v>
      </c>
      <c r="K8" t="s">
        <v>828</v>
      </c>
      <c r="L8">
        <v>0.32000000000000006</v>
      </c>
      <c r="M8">
        <v>0</v>
      </c>
      <c r="N8">
        <v>0.15000000000000002</v>
      </c>
      <c r="O8">
        <v>0.17</v>
      </c>
      <c r="P8">
        <v>0</v>
      </c>
      <c r="Q8">
        <v>0</v>
      </c>
      <c r="R8" t="s">
        <v>3070</v>
      </c>
    </row>
    <row r="9" spans="1:18" x14ac:dyDescent="0.3">
      <c r="A9" t="s">
        <v>137</v>
      </c>
      <c r="B9" s="23">
        <v>46</v>
      </c>
      <c r="C9" s="21">
        <v>11.5</v>
      </c>
      <c r="D9" s="21">
        <v>11.5</v>
      </c>
      <c r="E9" s="21">
        <v>11.5</v>
      </c>
      <c r="F9" s="21">
        <v>11.5</v>
      </c>
      <c r="H9" t="s">
        <v>4024</v>
      </c>
      <c r="I9" s="50">
        <f t="shared" si="0"/>
        <v>13.39</v>
      </c>
      <c r="K9" t="s">
        <v>137</v>
      </c>
      <c r="L9">
        <v>32.61</v>
      </c>
      <c r="M9">
        <v>0.7</v>
      </c>
      <c r="N9">
        <v>6.62</v>
      </c>
      <c r="O9">
        <v>10.33</v>
      </c>
      <c r="P9">
        <v>6.26</v>
      </c>
      <c r="Q9">
        <v>8.6999999999999993</v>
      </c>
      <c r="R9" t="s">
        <v>3071</v>
      </c>
    </row>
    <row r="10" spans="1:18" x14ac:dyDescent="0.3">
      <c r="A10" t="s">
        <v>81</v>
      </c>
      <c r="B10" s="23">
        <v>272</v>
      </c>
      <c r="C10" s="21">
        <v>68</v>
      </c>
      <c r="D10" s="21">
        <v>68</v>
      </c>
      <c r="E10" s="21">
        <v>68</v>
      </c>
      <c r="F10" s="21">
        <v>68</v>
      </c>
      <c r="H10" t="s">
        <v>4019</v>
      </c>
      <c r="I10" s="50">
        <f t="shared" si="0"/>
        <v>-461.52</v>
      </c>
      <c r="K10" t="s">
        <v>81</v>
      </c>
      <c r="L10">
        <v>733.52</v>
      </c>
      <c r="M10">
        <v>25.75</v>
      </c>
      <c r="N10">
        <v>187.16</v>
      </c>
      <c r="O10">
        <v>228.56</v>
      </c>
      <c r="P10">
        <v>184.53</v>
      </c>
      <c r="Q10">
        <v>107.52000000000001</v>
      </c>
      <c r="R10" t="s">
        <v>3072</v>
      </c>
    </row>
    <row r="11" spans="1:18" x14ac:dyDescent="0.3">
      <c r="A11" t="s">
        <v>3058</v>
      </c>
      <c r="B11" s="23">
        <v>228</v>
      </c>
      <c r="C11" s="21">
        <v>57</v>
      </c>
      <c r="D11" s="21">
        <v>57</v>
      </c>
      <c r="E11" s="21">
        <v>57</v>
      </c>
      <c r="F11" s="21">
        <v>57</v>
      </c>
      <c r="H11" t="s">
        <v>3801</v>
      </c>
      <c r="I11" s="50">
        <f t="shared" si="0"/>
        <v>228</v>
      </c>
      <c r="K11" t="s">
        <v>3058</v>
      </c>
      <c r="L11">
        <v>0</v>
      </c>
      <c r="M11">
        <v>0</v>
      </c>
      <c r="N11">
        <v>0</v>
      </c>
      <c r="O11">
        <v>0</v>
      </c>
      <c r="P11">
        <v>0</v>
      </c>
      <c r="Q11">
        <v>0</v>
      </c>
    </row>
    <row r="12" spans="1:18" x14ac:dyDescent="0.3">
      <c r="A12" t="s">
        <v>657</v>
      </c>
      <c r="B12" s="23">
        <v>0</v>
      </c>
      <c r="C12" s="21">
        <v>0</v>
      </c>
      <c r="D12" s="21">
        <v>0</v>
      </c>
      <c r="E12" s="21">
        <v>0</v>
      </c>
      <c r="F12" s="21">
        <v>0</v>
      </c>
      <c r="I12" s="50">
        <f t="shared" si="0"/>
        <v>-3.63</v>
      </c>
      <c r="K12" t="s">
        <v>657</v>
      </c>
      <c r="L12">
        <v>3.63</v>
      </c>
      <c r="M12">
        <v>0</v>
      </c>
      <c r="N12">
        <v>1.08</v>
      </c>
      <c r="O12">
        <v>1.73</v>
      </c>
      <c r="P12">
        <v>0.82000000000000006</v>
      </c>
      <c r="Q12">
        <v>0</v>
      </c>
      <c r="R12" t="s">
        <v>193</v>
      </c>
    </row>
    <row r="13" spans="1:18" x14ac:dyDescent="0.3">
      <c r="A13" t="s">
        <v>666</v>
      </c>
      <c r="B13" s="23">
        <v>0</v>
      </c>
      <c r="C13" s="21">
        <v>0</v>
      </c>
      <c r="D13" s="21">
        <v>0</v>
      </c>
      <c r="E13" s="21">
        <v>0</v>
      </c>
      <c r="F13" s="21">
        <v>0</v>
      </c>
      <c r="I13" s="50">
        <f t="shared" si="0"/>
        <v>-0.5</v>
      </c>
      <c r="K13" t="s">
        <v>666</v>
      </c>
      <c r="L13">
        <v>0.5</v>
      </c>
      <c r="M13">
        <v>0</v>
      </c>
      <c r="N13">
        <v>0.15</v>
      </c>
      <c r="O13">
        <v>0.35</v>
      </c>
      <c r="P13">
        <v>0</v>
      </c>
      <c r="Q13">
        <v>0</v>
      </c>
      <c r="R13" t="s">
        <v>3070</v>
      </c>
    </row>
    <row r="14" spans="1:18" x14ac:dyDescent="0.3">
      <c r="A14" t="s">
        <v>966</v>
      </c>
      <c r="B14" s="23">
        <v>4.32</v>
      </c>
      <c r="C14" s="21">
        <v>1.08</v>
      </c>
      <c r="D14" s="21">
        <v>1.08</v>
      </c>
      <c r="E14" s="21">
        <v>1.08</v>
      </c>
      <c r="F14" s="21">
        <v>1.08</v>
      </c>
      <c r="H14" t="s">
        <v>4027</v>
      </c>
      <c r="I14" s="50">
        <f t="shared" si="0"/>
        <v>4.24</v>
      </c>
      <c r="K14" t="s">
        <v>966</v>
      </c>
      <c r="L14">
        <v>0.08</v>
      </c>
      <c r="M14">
        <v>0</v>
      </c>
      <c r="N14">
        <v>0.08</v>
      </c>
      <c r="O14">
        <v>0</v>
      </c>
      <c r="P14">
        <v>0</v>
      </c>
      <c r="Q14">
        <v>0</v>
      </c>
      <c r="R14" t="s">
        <v>212</v>
      </c>
    </row>
    <row r="15" spans="1:18" x14ac:dyDescent="0.3">
      <c r="A15" t="s">
        <v>291</v>
      </c>
      <c r="B15" s="23">
        <v>13.999999999999996</v>
      </c>
      <c r="C15" s="21">
        <v>3.5</v>
      </c>
      <c r="D15" s="21">
        <v>3.5</v>
      </c>
      <c r="E15" s="21">
        <v>3.5</v>
      </c>
      <c r="F15" s="21">
        <v>3.5</v>
      </c>
      <c r="H15" t="s">
        <v>4028</v>
      </c>
      <c r="I15" s="50">
        <f t="shared" si="0"/>
        <v>-0.69000000000000306</v>
      </c>
      <c r="K15" t="s">
        <v>291</v>
      </c>
      <c r="L15">
        <v>14.69</v>
      </c>
      <c r="M15">
        <v>1</v>
      </c>
      <c r="N15">
        <v>5</v>
      </c>
      <c r="O15">
        <v>4.22</v>
      </c>
      <c r="P15">
        <v>2.75</v>
      </c>
      <c r="Q15">
        <v>1.72</v>
      </c>
      <c r="R15" t="s">
        <v>3073</v>
      </c>
    </row>
    <row r="16" spans="1:18" x14ac:dyDescent="0.3">
      <c r="A16" t="s">
        <v>91</v>
      </c>
      <c r="B16" s="23">
        <v>175.99999999999997</v>
      </c>
      <c r="C16" s="21">
        <v>44</v>
      </c>
      <c r="D16" s="21">
        <v>44</v>
      </c>
      <c r="E16" s="21">
        <v>44</v>
      </c>
      <c r="F16" s="21">
        <v>44</v>
      </c>
      <c r="H16" t="s">
        <v>3802</v>
      </c>
      <c r="I16" s="50">
        <f t="shared" si="0"/>
        <v>-8.1599999999999966</v>
      </c>
      <c r="K16" t="s">
        <v>91</v>
      </c>
      <c r="L16">
        <v>184.15999999999997</v>
      </c>
      <c r="M16">
        <v>13.43</v>
      </c>
      <c r="N16">
        <v>51.83</v>
      </c>
      <c r="O16">
        <v>49.259999999999991</v>
      </c>
      <c r="P16">
        <v>22.979999999999997</v>
      </c>
      <c r="Q16">
        <v>46.66</v>
      </c>
      <c r="R16" t="s">
        <v>3074</v>
      </c>
    </row>
    <row r="17" spans="1:18" x14ac:dyDescent="0.3">
      <c r="A17" t="s">
        <v>1170</v>
      </c>
      <c r="B17" s="23">
        <v>0</v>
      </c>
      <c r="C17" s="21">
        <v>0</v>
      </c>
      <c r="D17" s="21">
        <v>0</v>
      </c>
      <c r="E17" s="21">
        <v>0</v>
      </c>
      <c r="F17" s="21">
        <v>0</v>
      </c>
      <c r="I17" s="50">
        <f t="shared" si="0"/>
        <v>-4.12</v>
      </c>
      <c r="K17" t="s">
        <v>1170</v>
      </c>
      <c r="L17">
        <v>4.12</v>
      </c>
      <c r="M17">
        <v>0</v>
      </c>
      <c r="N17">
        <v>0.23</v>
      </c>
      <c r="O17">
        <v>3.7600000000000002</v>
      </c>
      <c r="P17">
        <v>0</v>
      </c>
      <c r="Q17">
        <v>0.13</v>
      </c>
      <c r="R17" t="s">
        <v>3075</v>
      </c>
    </row>
    <row r="18" spans="1:18" x14ac:dyDescent="0.3">
      <c r="A18" t="s">
        <v>263</v>
      </c>
      <c r="B18" s="23">
        <v>130</v>
      </c>
      <c r="C18" s="21">
        <v>32.5</v>
      </c>
      <c r="D18" s="21">
        <v>32.5</v>
      </c>
      <c r="E18" s="21">
        <v>32.5</v>
      </c>
      <c r="F18" s="21">
        <v>32.5</v>
      </c>
      <c r="H18" t="s">
        <v>262</v>
      </c>
      <c r="I18" s="50">
        <f t="shared" si="0"/>
        <v>2.0000000000010232E-2</v>
      </c>
      <c r="K18" t="s">
        <v>263</v>
      </c>
      <c r="L18">
        <v>129.97999999999999</v>
      </c>
      <c r="M18">
        <v>6.81</v>
      </c>
      <c r="N18">
        <v>35.61999999999999</v>
      </c>
      <c r="O18">
        <v>36.94</v>
      </c>
      <c r="P18">
        <v>29.590000000000003</v>
      </c>
      <c r="Q18">
        <v>21.02</v>
      </c>
      <c r="R18" t="s">
        <v>3076</v>
      </c>
    </row>
    <row r="19" spans="1:18" x14ac:dyDescent="0.3">
      <c r="A19" t="s">
        <v>203</v>
      </c>
      <c r="B19" s="23">
        <v>4</v>
      </c>
      <c r="C19" s="21">
        <v>1</v>
      </c>
      <c r="D19" s="21">
        <v>1</v>
      </c>
      <c r="E19" s="21">
        <v>1</v>
      </c>
      <c r="F19" s="21">
        <v>1</v>
      </c>
      <c r="H19" t="s">
        <v>269</v>
      </c>
      <c r="I19" s="50">
        <f t="shared" si="0"/>
        <v>-2.6099999999999994</v>
      </c>
      <c r="K19" t="s">
        <v>203</v>
      </c>
      <c r="L19">
        <v>6.6099999999999994</v>
      </c>
      <c r="M19">
        <v>0.17</v>
      </c>
      <c r="N19">
        <v>3.5599999999999996</v>
      </c>
      <c r="O19">
        <v>0.75</v>
      </c>
      <c r="P19">
        <v>1.4</v>
      </c>
      <c r="Q19">
        <v>0.73</v>
      </c>
      <c r="R19" t="s">
        <v>3077</v>
      </c>
    </row>
    <row r="20" spans="1:18" x14ac:dyDescent="0.3">
      <c r="A20" t="s">
        <v>1761</v>
      </c>
      <c r="B20" s="23">
        <v>0</v>
      </c>
      <c r="C20" s="21">
        <v>0</v>
      </c>
      <c r="D20" s="21">
        <v>0</v>
      </c>
      <c r="E20" s="21">
        <v>0</v>
      </c>
      <c r="F20" s="21">
        <v>0</v>
      </c>
      <c r="I20" s="50">
        <f t="shared" si="0"/>
        <v>-0.42000000000000004</v>
      </c>
      <c r="K20" t="s">
        <v>1761</v>
      </c>
      <c r="L20">
        <v>0.42000000000000004</v>
      </c>
      <c r="M20">
        <v>0</v>
      </c>
      <c r="N20">
        <v>0</v>
      </c>
      <c r="O20">
        <v>0.25</v>
      </c>
      <c r="P20">
        <v>0.17</v>
      </c>
      <c r="Q20">
        <v>0</v>
      </c>
      <c r="R20" t="s">
        <v>212</v>
      </c>
    </row>
    <row r="21" spans="1:18" x14ac:dyDescent="0.3">
      <c r="A21" t="s">
        <v>95</v>
      </c>
      <c r="B21" s="23">
        <v>0</v>
      </c>
      <c r="C21" s="21">
        <v>0</v>
      </c>
      <c r="D21" s="21">
        <v>0</v>
      </c>
      <c r="E21" s="21">
        <v>0</v>
      </c>
      <c r="F21" s="21">
        <v>0</v>
      </c>
      <c r="I21" s="50">
        <f t="shared" si="0"/>
        <v>-0.02</v>
      </c>
      <c r="K21" t="s">
        <v>95</v>
      </c>
      <c r="L21">
        <v>0.02</v>
      </c>
      <c r="M21">
        <v>0.02</v>
      </c>
      <c r="N21">
        <v>0</v>
      </c>
      <c r="O21">
        <v>0</v>
      </c>
      <c r="P21">
        <v>0</v>
      </c>
      <c r="Q21">
        <v>0</v>
      </c>
      <c r="R21" t="s">
        <v>93</v>
      </c>
    </row>
    <row r="22" spans="1:18" x14ac:dyDescent="0.3">
      <c r="A22" t="s">
        <v>40</v>
      </c>
      <c r="B22" s="23">
        <v>0</v>
      </c>
      <c r="C22" s="21">
        <v>0</v>
      </c>
      <c r="D22" s="21">
        <v>0</v>
      </c>
      <c r="E22" s="21">
        <v>0</v>
      </c>
      <c r="F22" s="21">
        <v>0</v>
      </c>
      <c r="I22" s="50">
        <f t="shared" si="0"/>
        <v>-8.24</v>
      </c>
      <c r="K22" t="s">
        <v>40</v>
      </c>
      <c r="L22">
        <v>8.24</v>
      </c>
      <c r="M22">
        <v>0.15</v>
      </c>
      <c r="N22">
        <v>2.4099999999999997</v>
      </c>
      <c r="O22">
        <v>1.9500000000000002</v>
      </c>
      <c r="P22">
        <v>1.75</v>
      </c>
      <c r="Q22">
        <v>1.9799999999999998</v>
      </c>
      <c r="R22" t="s">
        <v>3078</v>
      </c>
    </row>
    <row r="23" spans="1:18" x14ac:dyDescent="0.3">
      <c r="A23" t="s">
        <v>358</v>
      </c>
      <c r="B23" s="23">
        <v>34</v>
      </c>
      <c r="C23" s="21">
        <v>15</v>
      </c>
      <c r="D23" s="21">
        <v>10</v>
      </c>
      <c r="E23" s="21">
        <v>3</v>
      </c>
      <c r="F23" s="21">
        <v>6</v>
      </c>
      <c r="H23" t="s">
        <v>4016</v>
      </c>
      <c r="I23" s="50">
        <f t="shared" si="0"/>
        <v>-3.7700000000000031</v>
      </c>
      <c r="K23" t="s">
        <v>358</v>
      </c>
      <c r="L23">
        <v>37.770000000000003</v>
      </c>
      <c r="M23">
        <v>0.2</v>
      </c>
      <c r="N23">
        <v>12.34</v>
      </c>
      <c r="O23">
        <v>12.99</v>
      </c>
      <c r="P23">
        <v>1.57</v>
      </c>
      <c r="Q23">
        <v>10.670000000000002</v>
      </c>
      <c r="R23" t="s">
        <v>3079</v>
      </c>
    </row>
    <row r="24" spans="1:18" x14ac:dyDescent="0.3">
      <c r="A24" t="s">
        <v>848</v>
      </c>
      <c r="B24" s="23">
        <v>2</v>
      </c>
      <c r="C24" s="21">
        <v>0.5</v>
      </c>
      <c r="D24" s="21">
        <v>0.5</v>
      </c>
      <c r="E24" s="21">
        <v>0.5</v>
      </c>
      <c r="F24" s="21">
        <v>0.5</v>
      </c>
      <c r="H24" t="s">
        <v>289</v>
      </c>
      <c r="I24" s="50">
        <f t="shared" si="0"/>
        <v>-3.0700000000000003</v>
      </c>
      <c r="K24" t="s">
        <v>848</v>
      </c>
      <c r="L24">
        <v>5.07</v>
      </c>
      <c r="M24">
        <v>0</v>
      </c>
      <c r="N24">
        <v>1.31</v>
      </c>
      <c r="O24">
        <v>2.58</v>
      </c>
      <c r="P24">
        <v>0.18</v>
      </c>
      <c r="Q24">
        <v>1</v>
      </c>
      <c r="R24" t="s">
        <v>3080</v>
      </c>
    </row>
    <row r="25" spans="1:18" x14ac:dyDescent="0.3">
      <c r="A25" t="s">
        <v>445</v>
      </c>
      <c r="B25" s="23">
        <v>16</v>
      </c>
      <c r="C25" s="21">
        <v>4</v>
      </c>
      <c r="D25" s="21">
        <v>4</v>
      </c>
      <c r="E25" s="21">
        <v>4</v>
      </c>
      <c r="F25" s="21">
        <v>4</v>
      </c>
      <c r="H25" t="s">
        <v>169</v>
      </c>
      <c r="I25" s="50">
        <f t="shared" si="0"/>
        <v>-14.120000000000001</v>
      </c>
      <c r="K25" t="s">
        <v>445</v>
      </c>
      <c r="L25">
        <v>30.12</v>
      </c>
      <c r="M25">
        <v>0</v>
      </c>
      <c r="N25">
        <v>6.9</v>
      </c>
      <c r="O25">
        <v>11.629999999999999</v>
      </c>
      <c r="P25">
        <v>6.53</v>
      </c>
      <c r="Q25">
        <v>5.0599999999999996</v>
      </c>
      <c r="R25" t="s">
        <v>3081</v>
      </c>
    </row>
    <row r="26" spans="1:18" x14ac:dyDescent="0.3">
      <c r="A26" t="s">
        <v>1216</v>
      </c>
      <c r="B26" s="23">
        <v>0</v>
      </c>
      <c r="C26" s="21">
        <v>0</v>
      </c>
      <c r="D26" s="21">
        <v>0</v>
      </c>
      <c r="E26" s="21">
        <v>0</v>
      </c>
      <c r="F26" s="21">
        <v>0</v>
      </c>
      <c r="I26" s="50">
        <f t="shared" si="0"/>
        <v>-56.78</v>
      </c>
      <c r="K26" t="s">
        <v>1216</v>
      </c>
      <c r="L26">
        <v>56.78</v>
      </c>
      <c r="M26">
        <v>0</v>
      </c>
      <c r="N26">
        <v>7.5</v>
      </c>
      <c r="O26">
        <v>19.23</v>
      </c>
      <c r="P26">
        <v>12.05</v>
      </c>
      <c r="Q26">
        <v>18</v>
      </c>
      <c r="R26" t="s">
        <v>3082</v>
      </c>
    </row>
    <row r="27" spans="1:18" x14ac:dyDescent="0.3">
      <c r="A27" t="s">
        <v>524</v>
      </c>
      <c r="B27" s="23">
        <v>4.0000000000000009</v>
      </c>
      <c r="C27" s="21">
        <v>1</v>
      </c>
      <c r="D27" s="21">
        <v>1</v>
      </c>
      <c r="E27" s="21">
        <v>1</v>
      </c>
      <c r="F27" s="21">
        <v>1</v>
      </c>
      <c r="H27" t="s">
        <v>289</v>
      </c>
      <c r="I27" s="50">
        <f t="shared" si="0"/>
        <v>-3.169999999999999</v>
      </c>
      <c r="K27" t="s">
        <v>524</v>
      </c>
      <c r="L27">
        <v>7.17</v>
      </c>
      <c r="M27">
        <v>0</v>
      </c>
      <c r="N27">
        <v>0.65</v>
      </c>
      <c r="O27">
        <v>1.5</v>
      </c>
      <c r="P27">
        <v>4.0199999999999996</v>
      </c>
      <c r="Q27">
        <v>1</v>
      </c>
      <c r="R27" t="s">
        <v>3083</v>
      </c>
    </row>
    <row r="28" spans="1:18" x14ac:dyDescent="0.3">
      <c r="A28" t="s">
        <v>582</v>
      </c>
      <c r="B28" s="23">
        <v>2</v>
      </c>
      <c r="C28" s="21">
        <v>1</v>
      </c>
      <c r="D28" s="21">
        <v>0</v>
      </c>
      <c r="E28" s="21">
        <v>1</v>
      </c>
      <c r="F28" s="21">
        <v>0</v>
      </c>
      <c r="H28" t="s">
        <v>28</v>
      </c>
      <c r="I28" s="50">
        <f t="shared" si="0"/>
        <v>0.94</v>
      </c>
      <c r="K28" t="s">
        <v>582</v>
      </c>
      <c r="L28">
        <v>1.06</v>
      </c>
      <c r="M28">
        <v>0</v>
      </c>
      <c r="N28">
        <v>0.42</v>
      </c>
      <c r="O28">
        <v>0</v>
      </c>
      <c r="P28">
        <v>0.64</v>
      </c>
      <c r="Q28">
        <v>0</v>
      </c>
      <c r="R28" t="s">
        <v>3084</v>
      </c>
    </row>
    <row r="29" spans="1:18" x14ac:dyDescent="0.3">
      <c r="A29" t="s">
        <v>135</v>
      </c>
      <c r="B29" s="23">
        <v>20</v>
      </c>
      <c r="C29" s="21">
        <v>5</v>
      </c>
      <c r="D29" s="21">
        <v>5</v>
      </c>
      <c r="E29" s="21">
        <v>5</v>
      </c>
      <c r="F29" s="21">
        <v>5</v>
      </c>
      <c r="H29" t="s">
        <v>134</v>
      </c>
      <c r="I29" s="50">
        <f t="shared" si="0"/>
        <v>-10.719999999999999</v>
      </c>
      <c r="K29" t="s">
        <v>135</v>
      </c>
      <c r="L29">
        <v>30.72</v>
      </c>
      <c r="M29">
        <v>0.48</v>
      </c>
      <c r="N29">
        <v>10.069999999999999</v>
      </c>
      <c r="O29">
        <v>7.39</v>
      </c>
      <c r="P29">
        <v>6.45</v>
      </c>
      <c r="Q29">
        <v>6.33</v>
      </c>
      <c r="R29" t="s">
        <v>3085</v>
      </c>
    </row>
    <row r="30" spans="1:18" x14ac:dyDescent="0.3">
      <c r="A30" t="s">
        <v>151</v>
      </c>
      <c r="B30" s="23">
        <v>14.999999999999996</v>
      </c>
      <c r="C30" s="21">
        <v>3.75</v>
      </c>
      <c r="D30" s="21">
        <v>3.75</v>
      </c>
      <c r="E30" s="21">
        <v>3.75</v>
      </c>
      <c r="F30" s="21">
        <v>3.75</v>
      </c>
      <c r="H30" t="s">
        <v>4029</v>
      </c>
      <c r="I30" s="50">
        <f t="shared" si="0"/>
        <v>-17.560000000000006</v>
      </c>
      <c r="K30" t="s">
        <v>151</v>
      </c>
      <c r="L30">
        <v>32.56</v>
      </c>
      <c r="M30">
        <v>1.8399999999999999</v>
      </c>
      <c r="N30">
        <v>8.26</v>
      </c>
      <c r="O30">
        <v>5.2700000000000005</v>
      </c>
      <c r="P30">
        <v>9.9300000000000015</v>
      </c>
      <c r="Q30">
        <v>7.26</v>
      </c>
      <c r="R30" t="s">
        <v>3086</v>
      </c>
    </row>
    <row r="31" spans="1:18" x14ac:dyDescent="0.3">
      <c r="A31" t="s">
        <v>1754</v>
      </c>
      <c r="B31" s="23">
        <v>0</v>
      </c>
      <c r="C31" s="21">
        <v>0</v>
      </c>
      <c r="D31" s="21">
        <v>0</v>
      </c>
      <c r="E31" s="21">
        <v>0</v>
      </c>
      <c r="F31" s="21">
        <v>0</v>
      </c>
      <c r="I31" s="50">
        <f t="shared" si="0"/>
        <v>-4.6300000000000008</v>
      </c>
      <c r="K31" t="s">
        <v>1754</v>
      </c>
      <c r="L31">
        <v>4.6300000000000008</v>
      </c>
      <c r="M31">
        <v>0</v>
      </c>
      <c r="N31">
        <v>0</v>
      </c>
      <c r="O31">
        <v>0.15</v>
      </c>
      <c r="P31">
        <v>4.4800000000000004</v>
      </c>
      <c r="Q31">
        <v>0</v>
      </c>
      <c r="R31" t="s">
        <v>3070</v>
      </c>
    </row>
    <row r="32" spans="1:18" x14ac:dyDescent="0.3">
      <c r="A32" t="s">
        <v>226</v>
      </c>
      <c r="B32" s="23">
        <v>10</v>
      </c>
      <c r="C32" s="21">
        <v>2.5</v>
      </c>
      <c r="D32" s="21">
        <v>2.5</v>
      </c>
      <c r="E32" s="21">
        <v>2.5</v>
      </c>
      <c r="F32" s="21">
        <v>2.5</v>
      </c>
      <c r="H32" t="s">
        <v>289</v>
      </c>
      <c r="I32" s="50">
        <f t="shared" si="0"/>
        <v>-9.6999999999999993</v>
      </c>
      <c r="K32" t="s">
        <v>226</v>
      </c>
      <c r="L32">
        <v>19.7</v>
      </c>
      <c r="M32">
        <v>2.2999999999999998</v>
      </c>
      <c r="N32">
        <v>6.3</v>
      </c>
      <c r="O32">
        <v>3.75</v>
      </c>
      <c r="P32">
        <v>3.1</v>
      </c>
      <c r="Q32">
        <v>4.25</v>
      </c>
      <c r="R32" t="s">
        <v>3087</v>
      </c>
    </row>
    <row r="33" spans="1:18" x14ac:dyDescent="0.3">
      <c r="A33" t="s">
        <v>254</v>
      </c>
      <c r="B33" s="23">
        <v>0</v>
      </c>
      <c r="C33" s="21">
        <v>0</v>
      </c>
      <c r="D33" s="21">
        <v>0</v>
      </c>
      <c r="E33" s="21">
        <v>0</v>
      </c>
      <c r="F33" s="21">
        <v>0</v>
      </c>
      <c r="I33" s="50">
        <f t="shared" si="0"/>
        <v>-51.489999999999995</v>
      </c>
      <c r="K33" t="s">
        <v>254</v>
      </c>
      <c r="L33">
        <v>51.489999999999995</v>
      </c>
      <c r="M33">
        <v>11.07</v>
      </c>
      <c r="N33">
        <v>17.52</v>
      </c>
      <c r="O33">
        <v>8.9600000000000009</v>
      </c>
      <c r="P33">
        <v>13.390000000000002</v>
      </c>
      <c r="Q33">
        <v>0.55000000000000004</v>
      </c>
      <c r="R33" t="s">
        <v>3088</v>
      </c>
    </row>
    <row r="34" spans="1:18" x14ac:dyDescent="0.3">
      <c r="A34" t="s">
        <v>54</v>
      </c>
      <c r="B34" s="23">
        <v>519</v>
      </c>
      <c r="C34" s="21">
        <v>121.5</v>
      </c>
      <c r="D34" s="21">
        <v>126.5</v>
      </c>
      <c r="E34" s="21">
        <v>136.5</v>
      </c>
      <c r="F34" s="21">
        <v>132.5</v>
      </c>
      <c r="H34" t="s">
        <v>4025</v>
      </c>
      <c r="I34" s="50">
        <f t="shared" ref="I34:I65" si="1">B34-L34</f>
        <v>-3097.04</v>
      </c>
      <c r="K34" t="s">
        <v>54</v>
      </c>
      <c r="L34">
        <v>3616.04</v>
      </c>
      <c r="M34">
        <v>197.55999999999989</v>
      </c>
      <c r="N34">
        <v>858.24000000000012</v>
      </c>
      <c r="O34">
        <v>815.96000000000015</v>
      </c>
      <c r="P34">
        <v>842.20999999999981</v>
      </c>
      <c r="Q34">
        <v>902.06999999999982</v>
      </c>
      <c r="R34" t="s">
        <v>3089</v>
      </c>
    </row>
    <row r="35" spans="1:18" x14ac:dyDescent="0.3">
      <c r="A35" t="s">
        <v>3059</v>
      </c>
      <c r="B35" s="23">
        <v>18</v>
      </c>
      <c r="C35" s="21">
        <v>4.5</v>
      </c>
      <c r="D35" s="21">
        <v>4.5</v>
      </c>
      <c r="E35" s="21">
        <v>4.5</v>
      </c>
      <c r="F35" s="21">
        <v>4.5</v>
      </c>
      <c r="H35" t="s">
        <v>150</v>
      </c>
      <c r="I35" s="50">
        <f t="shared" si="1"/>
        <v>18</v>
      </c>
      <c r="K35" t="s">
        <v>3059</v>
      </c>
      <c r="L35">
        <v>0</v>
      </c>
      <c r="M35">
        <v>0</v>
      </c>
      <c r="N35">
        <v>0</v>
      </c>
      <c r="O35">
        <v>0</v>
      </c>
      <c r="P35">
        <v>0</v>
      </c>
      <c r="Q35">
        <v>0</v>
      </c>
    </row>
    <row r="36" spans="1:18" x14ac:dyDescent="0.3">
      <c r="A36" t="s">
        <v>1011</v>
      </c>
      <c r="B36" s="23">
        <v>0</v>
      </c>
      <c r="C36" s="21">
        <v>0</v>
      </c>
      <c r="D36" s="21">
        <v>0</v>
      </c>
      <c r="E36" s="21">
        <v>0</v>
      </c>
      <c r="F36" s="21">
        <v>0</v>
      </c>
      <c r="I36" s="50">
        <f t="shared" si="1"/>
        <v>-5.3800000000000008</v>
      </c>
      <c r="K36" t="s">
        <v>1011</v>
      </c>
      <c r="L36">
        <v>5.3800000000000008</v>
      </c>
      <c r="M36">
        <v>0</v>
      </c>
      <c r="N36">
        <v>0.73</v>
      </c>
      <c r="O36">
        <v>0</v>
      </c>
      <c r="P36">
        <v>4.6500000000000004</v>
      </c>
      <c r="Q36">
        <v>0</v>
      </c>
      <c r="R36" t="s">
        <v>278</v>
      </c>
    </row>
    <row r="37" spans="1:18" x14ac:dyDescent="0.3">
      <c r="A37" t="s">
        <v>271</v>
      </c>
      <c r="B37" s="23">
        <v>78</v>
      </c>
      <c r="C37" s="21">
        <v>19.5</v>
      </c>
      <c r="D37" s="21">
        <v>19.5</v>
      </c>
      <c r="E37" s="21">
        <v>19.5</v>
      </c>
      <c r="F37" s="21">
        <v>19.5</v>
      </c>
      <c r="H37" t="s">
        <v>4030</v>
      </c>
      <c r="I37" s="50">
        <f t="shared" si="1"/>
        <v>-5.1899999999999977</v>
      </c>
      <c r="K37" t="s">
        <v>271</v>
      </c>
      <c r="L37">
        <v>83.19</v>
      </c>
      <c r="M37">
        <v>3.1799999999999997</v>
      </c>
      <c r="N37">
        <v>23.509999999999998</v>
      </c>
      <c r="O37">
        <v>13.46</v>
      </c>
      <c r="P37">
        <v>26.220000000000002</v>
      </c>
      <c r="Q37">
        <v>16.82</v>
      </c>
      <c r="R37" t="s">
        <v>3090</v>
      </c>
    </row>
    <row r="38" spans="1:18" x14ac:dyDescent="0.3">
      <c r="A38" t="s">
        <v>45</v>
      </c>
      <c r="B38" s="23">
        <v>3</v>
      </c>
      <c r="C38" s="21">
        <v>0.75</v>
      </c>
      <c r="D38" s="21">
        <v>0.75</v>
      </c>
      <c r="E38" s="21">
        <v>0.25</v>
      </c>
      <c r="F38" s="21">
        <v>1.25</v>
      </c>
      <c r="H38" t="s">
        <v>3102</v>
      </c>
      <c r="I38" s="50">
        <f t="shared" si="1"/>
        <v>1.49</v>
      </c>
      <c r="K38" t="s">
        <v>45</v>
      </c>
      <c r="L38">
        <v>1.51</v>
      </c>
      <c r="M38">
        <v>0.32</v>
      </c>
      <c r="N38">
        <v>0.46</v>
      </c>
      <c r="O38">
        <v>0.08</v>
      </c>
      <c r="P38">
        <v>0.65</v>
      </c>
      <c r="Q38">
        <v>0</v>
      </c>
      <c r="R38" t="s">
        <v>28</v>
      </c>
    </row>
    <row r="39" spans="1:18" x14ac:dyDescent="0.3">
      <c r="A39" t="s">
        <v>1409</v>
      </c>
      <c r="B39" s="23">
        <v>0</v>
      </c>
      <c r="C39" s="21">
        <v>0</v>
      </c>
      <c r="D39" s="21">
        <v>0</v>
      </c>
      <c r="E39" s="21">
        <v>0</v>
      </c>
      <c r="F39" s="21">
        <v>0</v>
      </c>
      <c r="I39" s="50">
        <f t="shared" si="1"/>
        <v>-1.9</v>
      </c>
      <c r="K39" t="s">
        <v>1409</v>
      </c>
      <c r="L39">
        <v>1.9</v>
      </c>
      <c r="M39">
        <v>0</v>
      </c>
      <c r="N39">
        <v>0</v>
      </c>
      <c r="O39">
        <v>0.66999999999999993</v>
      </c>
      <c r="P39">
        <v>1.23</v>
      </c>
      <c r="Q39">
        <v>0</v>
      </c>
      <c r="R39" t="s">
        <v>113</v>
      </c>
    </row>
    <row r="40" spans="1:18" x14ac:dyDescent="0.3">
      <c r="A40" t="s">
        <v>437</v>
      </c>
      <c r="B40" s="23">
        <v>29</v>
      </c>
      <c r="C40" s="21">
        <v>7.25</v>
      </c>
      <c r="D40" s="21">
        <v>7.25</v>
      </c>
      <c r="E40" s="21">
        <v>7.25</v>
      </c>
      <c r="F40" s="21">
        <v>7.25</v>
      </c>
      <c r="H40" t="s">
        <v>4031</v>
      </c>
      <c r="I40" s="50">
        <f t="shared" si="1"/>
        <v>-25.110000000000007</v>
      </c>
      <c r="K40" t="s">
        <v>437</v>
      </c>
      <c r="L40">
        <v>54.110000000000007</v>
      </c>
      <c r="M40">
        <v>0</v>
      </c>
      <c r="N40">
        <v>13.270000000000001</v>
      </c>
      <c r="O40">
        <v>13.879999999999999</v>
      </c>
      <c r="P40">
        <v>18.580000000000002</v>
      </c>
      <c r="Q40">
        <v>8.3800000000000008</v>
      </c>
      <c r="R40" t="s">
        <v>3091</v>
      </c>
    </row>
    <row r="41" spans="1:18" x14ac:dyDescent="0.3">
      <c r="A41" t="s">
        <v>139</v>
      </c>
      <c r="B41" s="23">
        <v>20</v>
      </c>
      <c r="C41" s="21">
        <v>5</v>
      </c>
      <c r="D41" s="21">
        <v>5</v>
      </c>
      <c r="E41" s="21">
        <v>5</v>
      </c>
      <c r="F41" s="21">
        <v>5</v>
      </c>
      <c r="H41" t="s">
        <v>134</v>
      </c>
      <c r="I41" s="50">
        <f t="shared" si="1"/>
        <v>-18.930000000000007</v>
      </c>
      <c r="K41" t="s">
        <v>139</v>
      </c>
      <c r="L41">
        <v>38.930000000000007</v>
      </c>
      <c r="M41">
        <v>1.88</v>
      </c>
      <c r="N41">
        <v>8.2800000000000011</v>
      </c>
      <c r="O41">
        <v>10.070000000000002</v>
      </c>
      <c r="P41">
        <v>13.389999999999999</v>
      </c>
      <c r="Q41">
        <v>5.3100000000000005</v>
      </c>
      <c r="R41" t="s">
        <v>3092</v>
      </c>
    </row>
    <row r="42" spans="1:18" x14ac:dyDescent="0.3">
      <c r="A42" t="s">
        <v>1457</v>
      </c>
      <c r="B42" s="23">
        <v>0</v>
      </c>
      <c r="C42" s="21">
        <v>0</v>
      </c>
      <c r="D42" s="21">
        <v>0</v>
      </c>
      <c r="E42" s="21">
        <v>0</v>
      </c>
      <c r="F42" s="21">
        <v>0</v>
      </c>
      <c r="I42" s="50">
        <f t="shared" si="1"/>
        <v>-0.05</v>
      </c>
      <c r="K42" t="s">
        <v>1457</v>
      </c>
      <c r="L42">
        <v>0.05</v>
      </c>
      <c r="M42">
        <v>0</v>
      </c>
      <c r="N42">
        <v>0</v>
      </c>
      <c r="O42">
        <v>0.05</v>
      </c>
      <c r="P42">
        <v>0</v>
      </c>
      <c r="Q42">
        <v>0</v>
      </c>
      <c r="R42" t="s">
        <v>212</v>
      </c>
    </row>
    <row r="43" spans="1:18" x14ac:dyDescent="0.3">
      <c r="A43" t="s">
        <v>967</v>
      </c>
      <c r="B43" s="23">
        <v>0</v>
      </c>
      <c r="C43" s="21">
        <v>0</v>
      </c>
      <c r="D43" s="21">
        <v>0</v>
      </c>
      <c r="E43" s="21">
        <v>0</v>
      </c>
      <c r="F43" s="21">
        <v>0</v>
      </c>
      <c r="I43" s="50">
        <f t="shared" si="1"/>
        <v>-3.39</v>
      </c>
      <c r="K43" t="s">
        <v>967</v>
      </c>
      <c r="L43">
        <v>3.39</v>
      </c>
      <c r="M43">
        <v>0</v>
      </c>
      <c r="N43">
        <v>0.08</v>
      </c>
      <c r="O43">
        <v>1.98</v>
      </c>
      <c r="P43">
        <v>1.33</v>
      </c>
      <c r="Q43">
        <v>0</v>
      </c>
      <c r="R43" t="s">
        <v>3093</v>
      </c>
    </row>
    <row r="44" spans="1:18" x14ac:dyDescent="0.3">
      <c r="A44" t="s">
        <v>1808</v>
      </c>
      <c r="B44" s="23">
        <v>0</v>
      </c>
      <c r="C44" s="21">
        <v>0</v>
      </c>
      <c r="D44" s="21">
        <v>0</v>
      </c>
      <c r="E44" s="21">
        <v>0</v>
      </c>
      <c r="F44" s="21">
        <v>0</v>
      </c>
      <c r="I44" s="50">
        <f t="shared" si="1"/>
        <v>-1.45</v>
      </c>
      <c r="K44" t="s">
        <v>1808</v>
      </c>
      <c r="L44">
        <v>1.45</v>
      </c>
      <c r="M44">
        <v>0</v>
      </c>
      <c r="N44">
        <v>0</v>
      </c>
      <c r="O44">
        <v>0.48</v>
      </c>
      <c r="P44">
        <v>0</v>
      </c>
      <c r="Q44">
        <v>0.97</v>
      </c>
      <c r="R44" t="s">
        <v>3094</v>
      </c>
    </row>
    <row r="45" spans="1:18" x14ac:dyDescent="0.3">
      <c r="A45" t="s">
        <v>185</v>
      </c>
      <c r="B45" s="23">
        <v>23</v>
      </c>
      <c r="C45" s="21">
        <v>7</v>
      </c>
      <c r="D45" s="21">
        <v>5</v>
      </c>
      <c r="E45" s="21">
        <v>5</v>
      </c>
      <c r="F45" s="21">
        <v>6</v>
      </c>
      <c r="H45" t="s">
        <v>3804</v>
      </c>
      <c r="I45" s="50">
        <f t="shared" si="1"/>
        <v>8.6199999999999992</v>
      </c>
      <c r="K45" t="s">
        <v>185</v>
      </c>
      <c r="L45">
        <v>14.38</v>
      </c>
      <c r="M45">
        <v>1.83</v>
      </c>
      <c r="N45">
        <v>4.37</v>
      </c>
      <c r="O45">
        <v>3.6000000000000005</v>
      </c>
      <c r="P45">
        <v>2.66</v>
      </c>
      <c r="Q45">
        <v>1.92</v>
      </c>
      <c r="R45" t="s">
        <v>3095</v>
      </c>
    </row>
    <row r="46" spans="1:18" x14ac:dyDescent="0.3">
      <c r="A46" t="s">
        <v>143</v>
      </c>
      <c r="B46" s="23">
        <v>38</v>
      </c>
      <c r="C46" s="21">
        <v>9.5</v>
      </c>
      <c r="D46" s="21">
        <v>9.5</v>
      </c>
      <c r="E46" s="21">
        <v>9.5</v>
      </c>
      <c r="F46" s="21">
        <v>9.5</v>
      </c>
      <c r="H46" t="s">
        <v>4024</v>
      </c>
      <c r="I46" s="50">
        <f t="shared" si="1"/>
        <v>-0.95000000000000284</v>
      </c>
      <c r="K46" t="s">
        <v>143</v>
      </c>
      <c r="L46">
        <v>38.950000000000003</v>
      </c>
      <c r="M46">
        <v>2.0300000000000002</v>
      </c>
      <c r="N46">
        <v>14.58</v>
      </c>
      <c r="O46">
        <v>8.5</v>
      </c>
      <c r="P46">
        <v>5.5</v>
      </c>
      <c r="Q46">
        <v>8.34</v>
      </c>
      <c r="R46" t="s">
        <v>3071</v>
      </c>
    </row>
    <row r="47" spans="1:18" x14ac:dyDescent="0.3">
      <c r="A47" t="s">
        <v>1856</v>
      </c>
      <c r="B47" s="23">
        <v>0</v>
      </c>
      <c r="C47" s="21">
        <v>0</v>
      </c>
      <c r="D47" s="21">
        <v>0</v>
      </c>
      <c r="E47" s="21">
        <v>0</v>
      </c>
      <c r="F47" s="21">
        <v>0</v>
      </c>
      <c r="I47" s="50">
        <f t="shared" si="1"/>
        <v>-3.6100000000000003</v>
      </c>
      <c r="K47" t="s">
        <v>1856</v>
      </c>
      <c r="L47">
        <v>3.6100000000000003</v>
      </c>
      <c r="M47">
        <v>0</v>
      </c>
      <c r="N47">
        <v>0</v>
      </c>
      <c r="O47">
        <v>0.02</v>
      </c>
      <c r="P47">
        <v>0</v>
      </c>
      <c r="Q47">
        <v>3.5900000000000003</v>
      </c>
      <c r="R47" t="s">
        <v>3096</v>
      </c>
    </row>
    <row r="48" spans="1:18" x14ac:dyDescent="0.3">
      <c r="A48" t="s">
        <v>114</v>
      </c>
      <c r="B48" s="23">
        <v>0</v>
      </c>
      <c r="C48" s="21">
        <v>0</v>
      </c>
      <c r="D48" s="21">
        <v>0</v>
      </c>
      <c r="E48" s="21">
        <v>0</v>
      </c>
      <c r="F48" s="21">
        <v>0</v>
      </c>
      <c r="I48" s="50">
        <f t="shared" si="1"/>
        <v>-45.27</v>
      </c>
      <c r="K48" t="s">
        <v>114</v>
      </c>
      <c r="L48">
        <v>45.27</v>
      </c>
      <c r="M48">
        <v>2.36</v>
      </c>
      <c r="N48">
        <v>11.3</v>
      </c>
      <c r="O48">
        <v>16.759999999999998</v>
      </c>
      <c r="P48">
        <v>5.47</v>
      </c>
      <c r="Q48">
        <v>9.3800000000000008</v>
      </c>
      <c r="R48" t="s">
        <v>3097</v>
      </c>
    </row>
    <row r="49" spans="1:18" x14ac:dyDescent="0.3">
      <c r="A49" t="s">
        <v>179</v>
      </c>
      <c r="B49" s="23">
        <v>10</v>
      </c>
      <c r="C49" s="21">
        <v>2.5</v>
      </c>
      <c r="D49" s="21">
        <v>2.5</v>
      </c>
      <c r="E49" s="21">
        <v>2.5</v>
      </c>
      <c r="F49" s="21">
        <v>2.5</v>
      </c>
      <c r="H49" t="s">
        <v>175</v>
      </c>
      <c r="I49" s="50">
        <f t="shared" si="1"/>
        <v>-4.84</v>
      </c>
      <c r="K49" t="s">
        <v>179</v>
      </c>
      <c r="L49">
        <v>14.84</v>
      </c>
      <c r="M49">
        <v>0.33</v>
      </c>
      <c r="N49">
        <v>2.23</v>
      </c>
      <c r="O49">
        <v>3.9600000000000004</v>
      </c>
      <c r="P49">
        <v>6.34</v>
      </c>
      <c r="Q49">
        <v>1.98</v>
      </c>
      <c r="R49" t="s">
        <v>3098</v>
      </c>
    </row>
    <row r="50" spans="1:18" x14ac:dyDescent="0.3">
      <c r="A50" t="s">
        <v>170</v>
      </c>
      <c r="B50" s="23">
        <v>196.0000000000002</v>
      </c>
      <c r="C50" s="21">
        <v>48.499999999999986</v>
      </c>
      <c r="D50" s="21">
        <v>49.499999999999986</v>
      </c>
      <c r="E50" s="21">
        <v>48.499999999999986</v>
      </c>
      <c r="F50" s="21">
        <v>49.499999999999986</v>
      </c>
      <c r="H50" t="s">
        <v>3805</v>
      </c>
      <c r="I50" s="50">
        <f t="shared" si="1"/>
        <v>-31.539999999999822</v>
      </c>
      <c r="K50" t="s">
        <v>170</v>
      </c>
      <c r="L50">
        <v>227.54000000000002</v>
      </c>
      <c r="M50">
        <v>9.629999999999999</v>
      </c>
      <c r="N50">
        <v>72.989999999999995</v>
      </c>
      <c r="O50">
        <v>49.45</v>
      </c>
      <c r="P50">
        <v>57.650000000000013</v>
      </c>
      <c r="Q50">
        <v>37.820000000000007</v>
      </c>
      <c r="R50" t="s">
        <v>3099</v>
      </c>
    </row>
    <row r="51" spans="1:18" x14ac:dyDescent="0.3">
      <c r="A51" t="s">
        <v>346</v>
      </c>
      <c r="B51" s="23">
        <v>0</v>
      </c>
      <c r="C51" s="21">
        <v>0</v>
      </c>
      <c r="D51" s="21">
        <v>0</v>
      </c>
      <c r="E51" s="21">
        <v>0</v>
      </c>
      <c r="F51" s="21">
        <v>0</v>
      </c>
      <c r="I51" s="50">
        <f t="shared" si="1"/>
        <v>-0.63</v>
      </c>
      <c r="K51" t="s">
        <v>346</v>
      </c>
      <c r="L51">
        <v>0.63</v>
      </c>
      <c r="M51">
        <v>0.33</v>
      </c>
      <c r="N51">
        <v>0</v>
      </c>
      <c r="O51">
        <v>0.3</v>
      </c>
      <c r="P51">
        <v>0</v>
      </c>
      <c r="Q51">
        <v>0</v>
      </c>
      <c r="R51" t="s">
        <v>3070</v>
      </c>
    </row>
    <row r="52" spans="1:18" x14ac:dyDescent="0.3">
      <c r="A52" t="s">
        <v>472</v>
      </c>
      <c r="B52" s="23">
        <v>12</v>
      </c>
      <c r="C52" s="21">
        <v>3</v>
      </c>
      <c r="D52" s="21">
        <v>3</v>
      </c>
      <c r="E52" s="21">
        <v>3</v>
      </c>
      <c r="F52" s="21">
        <v>3</v>
      </c>
      <c r="H52" t="s">
        <v>301</v>
      </c>
      <c r="I52" s="50">
        <f t="shared" si="1"/>
        <v>11.75</v>
      </c>
      <c r="K52" t="s">
        <v>472</v>
      </c>
      <c r="L52">
        <v>0.25</v>
      </c>
      <c r="M52">
        <v>0</v>
      </c>
      <c r="N52">
        <v>0.25</v>
      </c>
      <c r="O52">
        <v>0</v>
      </c>
      <c r="P52">
        <v>0</v>
      </c>
      <c r="Q52">
        <v>0</v>
      </c>
      <c r="R52" t="s">
        <v>193</v>
      </c>
    </row>
    <row r="53" spans="1:18" x14ac:dyDescent="0.3">
      <c r="A53" t="s">
        <v>176</v>
      </c>
      <c r="B53" s="23">
        <v>24.500000000000014</v>
      </c>
      <c r="C53" s="21">
        <v>5.9999999999999991</v>
      </c>
      <c r="D53" s="21">
        <v>5.9999999999999991</v>
      </c>
      <c r="E53" s="21">
        <v>5.9999999999999991</v>
      </c>
      <c r="F53" s="21">
        <v>6.4999999999999991</v>
      </c>
      <c r="H53" t="s">
        <v>3806</v>
      </c>
      <c r="I53" s="50">
        <f t="shared" si="1"/>
        <v>-5.9999999999999822</v>
      </c>
      <c r="K53" t="s">
        <v>176</v>
      </c>
      <c r="L53">
        <v>30.499999999999996</v>
      </c>
      <c r="M53">
        <v>1.67</v>
      </c>
      <c r="N53">
        <v>7.96</v>
      </c>
      <c r="O53">
        <v>6.84</v>
      </c>
      <c r="P53">
        <v>8.08</v>
      </c>
      <c r="Q53">
        <v>5.95</v>
      </c>
      <c r="R53" t="s">
        <v>3100</v>
      </c>
    </row>
    <row r="54" spans="1:18" x14ac:dyDescent="0.3">
      <c r="A54" t="s">
        <v>371</v>
      </c>
      <c r="B54" s="23">
        <v>0</v>
      </c>
      <c r="C54" s="21">
        <v>0</v>
      </c>
      <c r="D54" s="21">
        <v>0</v>
      </c>
      <c r="E54" s="21">
        <v>0</v>
      </c>
      <c r="F54" s="21">
        <v>0</v>
      </c>
      <c r="I54" s="50">
        <f t="shared" si="1"/>
        <v>-1.8699999999999999</v>
      </c>
      <c r="K54" t="s">
        <v>371</v>
      </c>
      <c r="L54">
        <v>1.8699999999999999</v>
      </c>
      <c r="M54">
        <v>0.4</v>
      </c>
      <c r="N54">
        <v>1.27</v>
      </c>
      <c r="O54">
        <v>0.2</v>
      </c>
      <c r="P54">
        <v>0</v>
      </c>
      <c r="Q54">
        <v>0</v>
      </c>
      <c r="R54" t="s">
        <v>3101</v>
      </c>
    </row>
    <row r="55" spans="1:18" x14ac:dyDescent="0.3">
      <c r="A55" t="s">
        <v>1756</v>
      </c>
      <c r="B55" s="23">
        <v>0</v>
      </c>
      <c r="C55" s="21">
        <v>0</v>
      </c>
      <c r="D55" s="21">
        <v>0</v>
      </c>
      <c r="E55" s="21">
        <v>0</v>
      </c>
      <c r="F55" s="21">
        <v>0</v>
      </c>
      <c r="I55" s="50">
        <f t="shared" si="1"/>
        <v>-0.35</v>
      </c>
      <c r="K55" t="s">
        <v>1756</v>
      </c>
      <c r="L55">
        <v>0.35</v>
      </c>
      <c r="M55">
        <v>0</v>
      </c>
      <c r="N55">
        <v>0</v>
      </c>
      <c r="O55">
        <v>0.15</v>
      </c>
      <c r="P55">
        <v>0.2</v>
      </c>
      <c r="Q55">
        <v>0</v>
      </c>
      <c r="R55" t="s">
        <v>212</v>
      </c>
    </row>
    <row r="56" spans="1:18" x14ac:dyDescent="0.3">
      <c r="A56" t="s">
        <v>1857</v>
      </c>
      <c r="B56" s="23">
        <v>0</v>
      </c>
      <c r="C56" s="21">
        <v>0</v>
      </c>
      <c r="D56" s="21">
        <v>0</v>
      </c>
      <c r="E56" s="21">
        <v>0</v>
      </c>
      <c r="F56" s="21">
        <v>0</v>
      </c>
      <c r="I56" s="50">
        <f t="shared" si="1"/>
        <v>-2.1199999999999997</v>
      </c>
      <c r="K56" t="s">
        <v>1857</v>
      </c>
      <c r="L56">
        <v>2.1199999999999997</v>
      </c>
      <c r="M56">
        <v>0</v>
      </c>
      <c r="N56">
        <v>0</v>
      </c>
      <c r="O56">
        <v>0.02</v>
      </c>
      <c r="P56">
        <v>0</v>
      </c>
      <c r="Q56">
        <v>2.0999999999999996</v>
      </c>
      <c r="R56" t="s">
        <v>3096</v>
      </c>
    </row>
    <row r="57" spans="1:18" x14ac:dyDescent="0.3">
      <c r="A57" t="s">
        <v>1858</v>
      </c>
      <c r="B57" s="23">
        <v>0</v>
      </c>
      <c r="C57" s="21">
        <v>0</v>
      </c>
      <c r="D57" s="21">
        <v>0</v>
      </c>
      <c r="E57" s="21">
        <v>0</v>
      </c>
      <c r="F57" s="21">
        <v>0</v>
      </c>
      <c r="I57" s="50">
        <f t="shared" si="1"/>
        <v>-0.02</v>
      </c>
      <c r="K57" t="s">
        <v>1858</v>
      </c>
      <c r="L57">
        <v>0.02</v>
      </c>
      <c r="M57">
        <v>0</v>
      </c>
      <c r="N57">
        <v>0</v>
      </c>
      <c r="O57">
        <v>0.02</v>
      </c>
      <c r="P57">
        <v>0</v>
      </c>
      <c r="Q57">
        <v>0</v>
      </c>
      <c r="R57" t="s">
        <v>93</v>
      </c>
    </row>
    <row r="58" spans="1:18" x14ac:dyDescent="0.3">
      <c r="A58" t="s">
        <v>1859</v>
      </c>
      <c r="B58" s="23">
        <v>0</v>
      </c>
      <c r="C58" s="21">
        <v>0</v>
      </c>
      <c r="D58" s="21">
        <v>0</v>
      </c>
      <c r="E58" s="21">
        <v>0</v>
      </c>
      <c r="F58" s="21">
        <v>0</v>
      </c>
      <c r="I58" s="50">
        <f t="shared" si="1"/>
        <v>-5.6899999999999995</v>
      </c>
      <c r="K58" t="s">
        <v>1859</v>
      </c>
      <c r="L58">
        <v>5.6899999999999995</v>
      </c>
      <c r="M58">
        <v>0</v>
      </c>
      <c r="N58">
        <v>0</v>
      </c>
      <c r="O58">
        <v>0.02</v>
      </c>
      <c r="P58">
        <v>5.5</v>
      </c>
      <c r="Q58">
        <v>0.17</v>
      </c>
      <c r="R58" t="s">
        <v>3096</v>
      </c>
    </row>
    <row r="59" spans="1:18" x14ac:dyDescent="0.3">
      <c r="A59" t="s">
        <v>37</v>
      </c>
      <c r="B59" s="23">
        <v>5</v>
      </c>
      <c r="C59" s="21">
        <v>3.5</v>
      </c>
      <c r="D59" s="21">
        <v>0.5</v>
      </c>
      <c r="E59" s="21">
        <v>0.5</v>
      </c>
      <c r="F59" s="21">
        <v>0.5</v>
      </c>
      <c r="H59" t="s">
        <v>3102</v>
      </c>
      <c r="I59" s="50">
        <f t="shared" si="1"/>
        <v>2.94</v>
      </c>
      <c r="K59" t="s">
        <v>37</v>
      </c>
      <c r="L59">
        <v>2.06</v>
      </c>
      <c r="M59">
        <v>0.95000000000000007</v>
      </c>
      <c r="N59">
        <v>0.17</v>
      </c>
      <c r="O59">
        <v>0.22</v>
      </c>
      <c r="P59">
        <v>0</v>
      </c>
      <c r="Q59">
        <v>0.72</v>
      </c>
      <c r="R59" t="s">
        <v>3102</v>
      </c>
    </row>
    <row r="60" spans="1:18" x14ac:dyDescent="0.3">
      <c r="A60" t="s">
        <v>127</v>
      </c>
      <c r="B60" s="23">
        <v>63</v>
      </c>
      <c r="C60" s="21">
        <v>16</v>
      </c>
      <c r="D60" s="21">
        <v>15</v>
      </c>
      <c r="E60" s="21">
        <v>15.5</v>
      </c>
      <c r="F60" s="21">
        <v>16.5</v>
      </c>
      <c r="H60" t="s">
        <v>3803</v>
      </c>
      <c r="I60" s="50">
        <f t="shared" si="1"/>
        <v>-2.519999999999996</v>
      </c>
      <c r="K60" t="s">
        <v>127</v>
      </c>
      <c r="L60">
        <v>65.52</v>
      </c>
      <c r="M60">
        <v>4.41</v>
      </c>
      <c r="N60">
        <v>16.05</v>
      </c>
      <c r="O60">
        <v>16.54</v>
      </c>
      <c r="P60">
        <v>16.07</v>
      </c>
      <c r="Q60">
        <v>12.45</v>
      </c>
      <c r="R60" t="s">
        <v>3095</v>
      </c>
    </row>
    <row r="61" spans="1:18" x14ac:dyDescent="0.3">
      <c r="A61" t="s">
        <v>1759</v>
      </c>
      <c r="B61" s="23">
        <v>0</v>
      </c>
      <c r="C61" s="21">
        <v>0</v>
      </c>
      <c r="D61" s="21">
        <v>0</v>
      </c>
      <c r="E61" s="21">
        <v>0</v>
      </c>
      <c r="F61" s="21">
        <v>0</v>
      </c>
      <c r="I61" s="50">
        <f t="shared" si="1"/>
        <v>-0.23</v>
      </c>
      <c r="K61" t="s">
        <v>1759</v>
      </c>
      <c r="L61">
        <v>0.23</v>
      </c>
      <c r="M61">
        <v>0</v>
      </c>
      <c r="N61">
        <v>0</v>
      </c>
      <c r="O61">
        <v>0.23</v>
      </c>
      <c r="P61">
        <v>0</v>
      </c>
      <c r="Q61">
        <v>0</v>
      </c>
      <c r="R61" t="s">
        <v>212</v>
      </c>
    </row>
    <row r="62" spans="1:18" x14ac:dyDescent="0.3">
      <c r="A62" t="s">
        <v>205</v>
      </c>
      <c r="B62" s="23">
        <v>0</v>
      </c>
      <c r="C62" s="21">
        <v>0</v>
      </c>
      <c r="D62" s="21">
        <v>0</v>
      </c>
      <c r="E62" s="21">
        <v>0</v>
      </c>
      <c r="F62" s="21">
        <v>0</v>
      </c>
      <c r="I62" s="50">
        <f t="shared" si="1"/>
        <v>-13.440000000000001</v>
      </c>
      <c r="K62" t="s">
        <v>205</v>
      </c>
      <c r="L62">
        <v>13.440000000000001</v>
      </c>
      <c r="M62">
        <v>0.57999999999999996</v>
      </c>
      <c r="N62">
        <v>1.45</v>
      </c>
      <c r="O62">
        <v>5.64</v>
      </c>
      <c r="P62">
        <v>3.95</v>
      </c>
      <c r="Q62">
        <v>1.8199999999999998</v>
      </c>
      <c r="R62" t="s">
        <v>3103</v>
      </c>
    </row>
    <row r="63" spans="1:18" x14ac:dyDescent="0.3">
      <c r="A63" t="s">
        <v>304</v>
      </c>
      <c r="B63" s="23">
        <v>40</v>
      </c>
      <c r="C63" s="21">
        <v>10</v>
      </c>
      <c r="D63" s="21">
        <v>10</v>
      </c>
      <c r="E63" s="21">
        <v>10</v>
      </c>
      <c r="F63" s="21">
        <v>10</v>
      </c>
      <c r="H63" t="s">
        <v>301</v>
      </c>
      <c r="I63" s="50">
        <f t="shared" si="1"/>
        <v>-19.569999999999993</v>
      </c>
      <c r="K63" t="s">
        <v>304</v>
      </c>
      <c r="L63">
        <v>59.569999999999993</v>
      </c>
      <c r="M63">
        <v>2.27</v>
      </c>
      <c r="N63">
        <v>15.15</v>
      </c>
      <c r="O63">
        <v>11.43</v>
      </c>
      <c r="P63">
        <v>22.919999999999998</v>
      </c>
      <c r="Q63">
        <v>7.8</v>
      </c>
      <c r="R63" t="s">
        <v>3104</v>
      </c>
    </row>
    <row r="64" spans="1:18" x14ac:dyDescent="0.3">
      <c r="A64" t="s">
        <v>334</v>
      </c>
      <c r="B64" s="23">
        <v>27.999999999999986</v>
      </c>
      <c r="C64" s="21">
        <v>7.0000000000000009</v>
      </c>
      <c r="D64" s="21">
        <v>7.0000000000000009</v>
      </c>
      <c r="E64" s="21">
        <v>7.0000000000000009</v>
      </c>
      <c r="F64" s="21">
        <v>7.0000000000000009</v>
      </c>
      <c r="H64" t="s">
        <v>3807</v>
      </c>
      <c r="I64" s="50">
        <f t="shared" si="1"/>
        <v>2.1499999999999879</v>
      </c>
      <c r="K64" t="s">
        <v>334</v>
      </c>
      <c r="L64">
        <v>25.849999999999998</v>
      </c>
      <c r="M64">
        <v>4.95</v>
      </c>
      <c r="N64">
        <v>2.9699999999999998</v>
      </c>
      <c r="O64">
        <v>9.7499999999999982</v>
      </c>
      <c r="P64">
        <v>0</v>
      </c>
      <c r="Q64">
        <v>8.18</v>
      </c>
      <c r="R64" t="s">
        <v>3105</v>
      </c>
    </row>
    <row r="65" spans="1:18" x14ac:dyDescent="0.3">
      <c r="A65" t="s">
        <v>52</v>
      </c>
      <c r="B65" s="23">
        <v>3</v>
      </c>
      <c r="C65" s="21">
        <v>2.25</v>
      </c>
      <c r="D65" s="21">
        <v>0.25</v>
      </c>
      <c r="E65" s="21">
        <v>0.25</v>
      </c>
      <c r="F65" s="21">
        <v>0.25</v>
      </c>
      <c r="H65" t="s">
        <v>3102</v>
      </c>
      <c r="I65" s="50">
        <f t="shared" si="1"/>
        <v>1.02</v>
      </c>
      <c r="K65" t="s">
        <v>52</v>
      </c>
      <c r="L65">
        <v>1.98</v>
      </c>
      <c r="M65">
        <v>0.88</v>
      </c>
      <c r="N65">
        <v>0</v>
      </c>
      <c r="O65">
        <v>0.08</v>
      </c>
      <c r="P65">
        <v>1.02</v>
      </c>
      <c r="Q65">
        <v>0</v>
      </c>
      <c r="R65" t="s">
        <v>3102</v>
      </c>
    </row>
    <row r="66" spans="1:18" x14ac:dyDescent="0.3">
      <c r="A66" t="s">
        <v>2983</v>
      </c>
      <c r="B66" s="23">
        <v>0</v>
      </c>
      <c r="C66" s="21">
        <v>0</v>
      </c>
      <c r="D66" s="21">
        <v>0</v>
      </c>
      <c r="E66" s="21">
        <v>0</v>
      </c>
      <c r="F66" s="21">
        <v>0</v>
      </c>
      <c r="I66" s="50">
        <f t="shared" ref="I66:I97" si="2">B66-L66</f>
        <v>-0.08</v>
      </c>
      <c r="K66" t="s">
        <v>2983</v>
      </c>
      <c r="L66">
        <v>0.08</v>
      </c>
      <c r="M66">
        <v>0</v>
      </c>
      <c r="N66">
        <v>0</v>
      </c>
      <c r="O66">
        <v>0</v>
      </c>
      <c r="P66">
        <v>0</v>
      </c>
      <c r="Q66">
        <v>0.08</v>
      </c>
      <c r="R66" t="s">
        <v>193</v>
      </c>
    </row>
    <row r="67" spans="1:18" x14ac:dyDescent="0.3">
      <c r="A67" t="s">
        <v>49</v>
      </c>
      <c r="B67" s="23">
        <v>102.00000000000001</v>
      </c>
      <c r="C67" s="21">
        <v>25.5</v>
      </c>
      <c r="D67" s="21">
        <v>25.5</v>
      </c>
      <c r="E67" s="21">
        <v>25.5</v>
      </c>
      <c r="F67" s="21">
        <v>25.5</v>
      </c>
      <c r="H67" t="s">
        <v>4017</v>
      </c>
      <c r="I67" s="50">
        <f t="shared" si="2"/>
        <v>-34.459999999999994</v>
      </c>
      <c r="K67" t="s">
        <v>49</v>
      </c>
      <c r="L67">
        <v>136.46</v>
      </c>
      <c r="M67">
        <v>2.84</v>
      </c>
      <c r="N67">
        <v>29.54</v>
      </c>
      <c r="O67">
        <v>36.010000000000005</v>
      </c>
      <c r="P67">
        <v>38.479999999999997</v>
      </c>
      <c r="Q67">
        <v>29.590000000000003</v>
      </c>
      <c r="R67" t="s">
        <v>3106</v>
      </c>
    </row>
    <row r="68" spans="1:18" x14ac:dyDescent="0.3">
      <c r="A68" t="s">
        <v>1389</v>
      </c>
      <c r="B68" s="23">
        <v>0</v>
      </c>
      <c r="C68" s="21">
        <v>0</v>
      </c>
      <c r="D68" s="21">
        <v>0</v>
      </c>
      <c r="E68" s="21">
        <v>0</v>
      </c>
      <c r="F68" s="21">
        <v>0</v>
      </c>
      <c r="I68" s="50">
        <f t="shared" si="2"/>
        <v>-0.02</v>
      </c>
      <c r="K68" t="s">
        <v>1389</v>
      </c>
      <c r="L68">
        <v>0.02</v>
      </c>
      <c r="M68">
        <v>0</v>
      </c>
      <c r="N68">
        <v>0</v>
      </c>
      <c r="O68">
        <v>0.02</v>
      </c>
      <c r="P68">
        <v>0</v>
      </c>
      <c r="Q68">
        <v>0</v>
      </c>
      <c r="R68" t="s">
        <v>93</v>
      </c>
    </row>
    <row r="69" spans="1:18" x14ac:dyDescent="0.3">
      <c r="A69" t="s">
        <v>1088</v>
      </c>
      <c r="B69" s="23">
        <v>1</v>
      </c>
      <c r="C69" s="21">
        <v>1</v>
      </c>
      <c r="D69" s="21">
        <v>0</v>
      </c>
      <c r="E69" s="21">
        <v>0</v>
      </c>
      <c r="F69" s="21">
        <v>0</v>
      </c>
      <c r="H69" t="s">
        <v>28</v>
      </c>
      <c r="I69" s="50">
        <f t="shared" si="2"/>
        <v>0.63</v>
      </c>
      <c r="K69" t="s">
        <v>1088</v>
      </c>
      <c r="L69">
        <v>0.37</v>
      </c>
      <c r="M69">
        <v>0</v>
      </c>
      <c r="N69">
        <v>0.37</v>
      </c>
      <c r="O69">
        <v>0</v>
      </c>
      <c r="P69">
        <v>0</v>
      </c>
      <c r="Q69">
        <v>0</v>
      </c>
      <c r="R69" t="s">
        <v>28</v>
      </c>
    </row>
    <row r="70" spans="1:18" x14ac:dyDescent="0.3">
      <c r="A70" t="s">
        <v>66</v>
      </c>
      <c r="B70" s="23">
        <v>0</v>
      </c>
      <c r="C70" s="21">
        <v>0</v>
      </c>
      <c r="D70" s="21">
        <v>0</v>
      </c>
      <c r="E70" s="21">
        <v>0</v>
      </c>
      <c r="F70" s="21">
        <v>0</v>
      </c>
      <c r="I70" s="50">
        <f t="shared" si="2"/>
        <v>-73.539999999999992</v>
      </c>
      <c r="K70" t="s">
        <v>66</v>
      </c>
      <c r="L70">
        <v>73.539999999999992</v>
      </c>
      <c r="M70">
        <v>1.8399999999999999</v>
      </c>
      <c r="N70">
        <v>14.5</v>
      </c>
      <c r="O70">
        <v>17.21</v>
      </c>
      <c r="P70">
        <v>14.16</v>
      </c>
      <c r="Q70">
        <v>25.83</v>
      </c>
      <c r="R70" t="s">
        <v>64</v>
      </c>
    </row>
    <row r="71" spans="1:18" x14ac:dyDescent="0.3">
      <c r="A71" t="s">
        <v>61</v>
      </c>
      <c r="B71" s="23">
        <v>3</v>
      </c>
      <c r="C71" s="21">
        <v>0.25</v>
      </c>
      <c r="D71" s="21">
        <v>0.25</v>
      </c>
      <c r="E71" s="21">
        <v>0.25</v>
      </c>
      <c r="F71" s="21">
        <v>2.25</v>
      </c>
      <c r="H71" t="s">
        <v>3102</v>
      </c>
      <c r="I71" s="50">
        <f t="shared" si="2"/>
        <v>-9.89</v>
      </c>
      <c r="K71" t="s">
        <v>61</v>
      </c>
      <c r="L71">
        <v>12.89</v>
      </c>
      <c r="M71">
        <v>1.0299999999999998</v>
      </c>
      <c r="N71">
        <v>2.54</v>
      </c>
      <c r="O71">
        <v>0.33</v>
      </c>
      <c r="P71">
        <v>2.98</v>
      </c>
      <c r="Q71">
        <v>6.0100000000000007</v>
      </c>
      <c r="R71" t="s">
        <v>3107</v>
      </c>
    </row>
    <row r="72" spans="1:18" x14ac:dyDescent="0.3">
      <c r="A72" t="s">
        <v>295</v>
      </c>
      <c r="B72" s="23">
        <v>8</v>
      </c>
      <c r="C72" s="21">
        <v>2</v>
      </c>
      <c r="D72" s="21">
        <v>2</v>
      </c>
      <c r="E72" s="21">
        <v>2</v>
      </c>
      <c r="F72" s="21">
        <v>2</v>
      </c>
      <c r="H72" t="s">
        <v>101</v>
      </c>
      <c r="I72" s="50">
        <f t="shared" si="2"/>
        <v>-16.22</v>
      </c>
      <c r="K72" t="s">
        <v>295</v>
      </c>
      <c r="L72">
        <v>24.22</v>
      </c>
      <c r="M72">
        <v>0.32</v>
      </c>
      <c r="N72">
        <v>0.4</v>
      </c>
      <c r="O72">
        <v>21.11</v>
      </c>
      <c r="P72">
        <v>0</v>
      </c>
      <c r="Q72">
        <v>2.39</v>
      </c>
      <c r="R72" t="s">
        <v>3108</v>
      </c>
    </row>
    <row r="73" spans="1:18" x14ac:dyDescent="0.3">
      <c r="A73" t="s">
        <v>290</v>
      </c>
      <c r="B73" s="23">
        <v>13.999999999999996</v>
      </c>
      <c r="C73" s="21">
        <v>3.5</v>
      </c>
      <c r="D73" s="21">
        <v>3.5</v>
      </c>
      <c r="E73" s="21">
        <v>3.5</v>
      </c>
      <c r="F73" s="21">
        <v>3.5</v>
      </c>
      <c r="H73" t="s">
        <v>4028</v>
      </c>
      <c r="I73" s="50">
        <f t="shared" si="2"/>
        <v>5.9999999999999964</v>
      </c>
      <c r="K73" t="s">
        <v>290</v>
      </c>
      <c r="L73">
        <v>8</v>
      </c>
      <c r="M73">
        <v>0.5</v>
      </c>
      <c r="N73">
        <v>2</v>
      </c>
      <c r="O73">
        <v>2</v>
      </c>
      <c r="P73">
        <v>2</v>
      </c>
      <c r="Q73">
        <v>1.5</v>
      </c>
      <c r="R73" t="s">
        <v>289</v>
      </c>
    </row>
    <row r="74" spans="1:18" x14ac:dyDescent="0.3">
      <c r="A74" t="s">
        <v>233</v>
      </c>
      <c r="B74" s="23">
        <v>0</v>
      </c>
      <c r="C74" s="21">
        <v>0</v>
      </c>
      <c r="D74" s="21">
        <v>0</v>
      </c>
      <c r="E74" s="21">
        <v>0</v>
      </c>
      <c r="F74" s="21">
        <v>0</v>
      </c>
      <c r="I74" s="50">
        <f t="shared" si="2"/>
        <v>-1.35</v>
      </c>
      <c r="K74" t="s">
        <v>233</v>
      </c>
      <c r="L74">
        <v>1.35</v>
      </c>
      <c r="M74">
        <v>1</v>
      </c>
      <c r="N74">
        <v>0</v>
      </c>
      <c r="O74">
        <v>0.35</v>
      </c>
      <c r="P74">
        <v>0</v>
      </c>
      <c r="Q74">
        <v>0</v>
      </c>
      <c r="R74" t="s">
        <v>3070</v>
      </c>
    </row>
    <row r="75" spans="1:18" x14ac:dyDescent="0.3">
      <c r="A75" t="s">
        <v>106</v>
      </c>
      <c r="B75" s="23">
        <v>12</v>
      </c>
      <c r="C75" s="21">
        <v>3</v>
      </c>
      <c r="D75" s="21">
        <v>3</v>
      </c>
      <c r="E75" s="21">
        <v>3</v>
      </c>
      <c r="F75" s="21">
        <v>3</v>
      </c>
      <c r="H75" t="s">
        <v>4027</v>
      </c>
      <c r="I75" s="50">
        <f t="shared" si="2"/>
        <v>-8.48</v>
      </c>
      <c r="K75" t="s">
        <v>106</v>
      </c>
      <c r="L75">
        <v>20.48</v>
      </c>
      <c r="M75">
        <v>2.17</v>
      </c>
      <c r="N75">
        <v>9.17</v>
      </c>
      <c r="O75">
        <v>0.52</v>
      </c>
      <c r="P75">
        <v>8.52</v>
      </c>
      <c r="Q75">
        <v>0.1</v>
      </c>
      <c r="R75" t="s">
        <v>3109</v>
      </c>
    </row>
    <row r="76" spans="1:18" x14ac:dyDescent="0.3">
      <c r="A76" t="s">
        <v>3053</v>
      </c>
      <c r="B76" s="23">
        <v>10</v>
      </c>
      <c r="C76" s="21">
        <v>2.5</v>
      </c>
      <c r="D76" s="21">
        <v>2.5</v>
      </c>
      <c r="E76" s="21">
        <v>2.5</v>
      </c>
      <c r="F76" s="21">
        <v>2.5</v>
      </c>
      <c r="H76" t="s">
        <v>4027</v>
      </c>
      <c r="I76" s="50">
        <f t="shared" si="2"/>
        <v>3.87</v>
      </c>
      <c r="K76" t="s">
        <v>227</v>
      </c>
      <c r="L76">
        <v>6.13</v>
      </c>
      <c r="M76">
        <v>0.27</v>
      </c>
      <c r="N76">
        <v>4.59</v>
      </c>
      <c r="O76">
        <v>0</v>
      </c>
      <c r="P76">
        <v>1.1200000000000001</v>
      </c>
      <c r="Q76">
        <v>0.15</v>
      </c>
      <c r="R76" t="s">
        <v>3109</v>
      </c>
    </row>
    <row r="77" spans="1:18" x14ac:dyDescent="0.3">
      <c r="A77" t="s">
        <v>3148</v>
      </c>
      <c r="B77" s="23">
        <v>4.0000000000000009</v>
      </c>
      <c r="C77" s="21">
        <v>1</v>
      </c>
      <c r="D77" s="21">
        <v>1</v>
      </c>
      <c r="E77" s="21">
        <v>1</v>
      </c>
      <c r="F77" s="21">
        <v>1</v>
      </c>
      <c r="H77" t="s">
        <v>331</v>
      </c>
      <c r="I77" s="50">
        <f t="shared" si="2"/>
        <v>4.0000000000000009</v>
      </c>
      <c r="K77" t="s">
        <v>3148</v>
      </c>
      <c r="L77">
        <v>0</v>
      </c>
      <c r="M77">
        <v>0</v>
      </c>
      <c r="N77">
        <v>0</v>
      </c>
      <c r="O77">
        <v>0</v>
      </c>
      <c r="P77">
        <v>0</v>
      </c>
      <c r="Q77">
        <v>0</v>
      </c>
    </row>
    <row r="78" spans="1:18" x14ac:dyDescent="0.3">
      <c r="A78" t="s">
        <v>229</v>
      </c>
      <c r="B78" s="23">
        <v>12</v>
      </c>
      <c r="C78" s="21">
        <v>3</v>
      </c>
      <c r="D78" s="21">
        <v>3</v>
      </c>
      <c r="E78" s="21">
        <v>3</v>
      </c>
      <c r="F78" s="21">
        <v>3</v>
      </c>
      <c r="H78" t="s">
        <v>4027</v>
      </c>
      <c r="I78" s="50">
        <f t="shared" si="2"/>
        <v>-11.870000000000001</v>
      </c>
      <c r="K78" t="s">
        <v>229</v>
      </c>
      <c r="L78">
        <v>23.87</v>
      </c>
      <c r="M78">
        <v>0.33999999999999997</v>
      </c>
      <c r="N78">
        <v>11.850000000000001</v>
      </c>
      <c r="O78">
        <v>5.16</v>
      </c>
      <c r="P78">
        <v>4.2699999999999996</v>
      </c>
      <c r="Q78">
        <v>2.25</v>
      </c>
      <c r="R78" t="s">
        <v>3110</v>
      </c>
    </row>
    <row r="79" spans="1:18" x14ac:dyDescent="0.3">
      <c r="A79" t="s">
        <v>1246</v>
      </c>
      <c r="B79" s="23">
        <v>13</v>
      </c>
      <c r="C79" s="21">
        <v>3.25</v>
      </c>
      <c r="D79" s="21">
        <v>3.25</v>
      </c>
      <c r="E79" s="21">
        <v>3.25</v>
      </c>
      <c r="F79" s="21">
        <v>3.25</v>
      </c>
      <c r="H79" t="s">
        <v>4027</v>
      </c>
      <c r="I79" s="50">
        <f t="shared" si="2"/>
        <v>7.1499999999999995</v>
      </c>
      <c r="K79" t="s">
        <v>1246</v>
      </c>
      <c r="L79">
        <v>5.8500000000000005</v>
      </c>
      <c r="M79">
        <v>0</v>
      </c>
      <c r="N79">
        <v>0</v>
      </c>
      <c r="O79">
        <v>2.95</v>
      </c>
      <c r="P79">
        <v>0</v>
      </c>
      <c r="Q79">
        <v>2.9000000000000004</v>
      </c>
      <c r="R79" t="s">
        <v>3111</v>
      </c>
    </row>
    <row r="80" spans="1:18" x14ac:dyDescent="0.3">
      <c r="A80" t="s">
        <v>102</v>
      </c>
      <c r="B80" s="23">
        <v>14</v>
      </c>
      <c r="C80" s="21">
        <v>3.5</v>
      </c>
      <c r="D80" s="21">
        <v>3.5</v>
      </c>
      <c r="E80" s="21">
        <v>3.5</v>
      </c>
      <c r="F80" s="21">
        <v>3.5</v>
      </c>
      <c r="H80" t="s">
        <v>4027</v>
      </c>
      <c r="I80" s="50">
        <f t="shared" si="2"/>
        <v>2.1799999999999997</v>
      </c>
      <c r="K80" t="s">
        <v>102</v>
      </c>
      <c r="L80">
        <v>11.82</v>
      </c>
      <c r="M80">
        <v>0.6</v>
      </c>
      <c r="N80">
        <v>4.2300000000000004</v>
      </c>
      <c r="O80">
        <v>2.75</v>
      </c>
      <c r="P80">
        <v>2.3199999999999998</v>
      </c>
      <c r="Q80">
        <v>1.9200000000000002</v>
      </c>
      <c r="R80" t="s">
        <v>3110</v>
      </c>
    </row>
    <row r="81" spans="1:18" x14ac:dyDescent="0.3">
      <c r="A81" t="s">
        <v>104</v>
      </c>
      <c r="B81" s="23">
        <v>14</v>
      </c>
      <c r="C81" s="21">
        <v>3.5</v>
      </c>
      <c r="D81" s="21">
        <v>3.5</v>
      </c>
      <c r="E81" s="21">
        <v>3.5</v>
      </c>
      <c r="F81" s="21">
        <v>3.5</v>
      </c>
      <c r="H81" t="s">
        <v>4027</v>
      </c>
      <c r="I81" s="50">
        <f t="shared" si="2"/>
        <v>0.28000000000000114</v>
      </c>
      <c r="K81" t="s">
        <v>104</v>
      </c>
      <c r="L81">
        <v>13.719999999999999</v>
      </c>
      <c r="M81">
        <v>0.62</v>
      </c>
      <c r="N81">
        <v>3.4299999999999997</v>
      </c>
      <c r="O81">
        <v>6.65</v>
      </c>
      <c r="P81">
        <v>1.92</v>
      </c>
      <c r="Q81">
        <v>1.0999999999999999</v>
      </c>
      <c r="R81" t="s">
        <v>3110</v>
      </c>
    </row>
    <row r="82" spans="1:18" x14ac:dyDescent="0.3">
      <c r="A82" t="s">
        <v>230</v>
      </c>
      <c r="B82" s="23">
        <v>7</v>
      </c>
      <c r="C82" s="21">
        <v>1.75</v>
      </c>
      <c r="D82" s="21">
        <v>1.75</v>
      </c>
      <c r="E82" s="21">
        <v>1.75</v>
      </c>
      <c r="F82" s="21">
        <v>1.75</v>
      </c>
      <c r="H82" t="s">
        <v>4027</v>
      </c>
      <c r="I82" s="50">
        <f t="shared" si="2"/>
        <v>5.4499999999999993</v>
      </c>
      <c r="K82" t="s">
        <v>230</v>
      </c>
      <c r="L82">
        <v>1.5500000000000003</v>
      </c>
      <c r="M82">
        <v>0.29000000000000004</v>
      </c>
      <c r="N82">
        <v>0.74</v>
      </c>
      <c r="O82">
        <v>0.08</v>
      </c>
      <c r="P82">
        <v>7.0000000000000007E-2</v>
      </c>
      <c r="Q82">
        <v>0.37</v>
      </c>
      <c r="R82" t="s">
        <v>3112</v>
      </c>
    </row>
    <row r="83" spans="1:18" x14ac:dyDescent="0.3">
      <c r="A83" t="s">
        <v>3061</v>
      </c>
      <c r="B83" s="23">
        <v>45.199999999999996</v>
      </c>
      <c r="C83" s="21">
        <v>11.3</v>
      </c>
      <c r="D83" s="21">
        <v>11.3</v>
      </c>
      <c r="E83" s="21">
        <v>11.3</v>
      </c>
      <c r="F83" s="21">
        <v>11.3</v>
      </c>
      <c r="H83" t="s">
        <v>150</v>
      </c>
      <c r="I83" s="50">
        <f t="shared" si="2"/>
        <v>45.199999999999996</v>
      </c>
      <c r="K83" t="s">
        <v>3061</v>
      </c>
      <c r="L83">
        <v>0</v>
      </c>
      <c r="M83">
        <v>0</v>
      </c>
      <c r="N83">
        <v>0</v>
      </c>
      <c r="O83">
        <v>0</v>
      </c>
      <c r="P83">
        <v>0</v>
      </c>
      <c r="Q83">
        <v>0</v>
      </c>
    </row>
    <row r="84" spans="1:18" x14ac:dyDescent="0.3">
      <c r="A84" t="s">
        <v>3147</v>
      </c>
      <c r="B84" s="23">
        <v>40</v>
      </c>
      <c r="C84" s="21">
        <v>10</v>
      </c>
      <c r="D84" s="21">
        <v>10</v>
      </c>
      <c r="E84" s="21">
        <v>10</v>
      </c>
      <c r="F84" s="21">
        <v>10</v>
      </c>
      <c r="H84" t="s">
        <v>313</v>
      </c>
      <c r="I84" s="50">
        <f t="shared" si="2"/>
        <v>40</v>
      </c>
      <c r="K84" t="s">
        <v>3147</v>
      </c>
      <c r="L84">
        <v>0</v>
      </c>
      <c r="M84">
        <v>0</v>
      </c>
      <c r="N84">
        <v>0</v>
      </c>
      <c r="O84">
        <v>0</v>
      </c>
      <c r="P84">
        <v>0</v>
      </c>
      <c r="Q84">
        <v>0</v>
      </c>
    </row>
    <row r="85" spans="1:18" x14ac:dyDescent="0.3">
      <c r="A85" t="s">
        <v>162</v>
      </c>
      <c r="B85" s="23">
        <v>0</v>
      </c>
      <c r="C85" s="21">
        <v>0</v>
      </c>
      <c r="D85" s="21">
        <v>0</v>
      </c>
      <c r="E85" s="21">
        <v>0</v>
      </c>
      <c r="F85" s="21">
        <v>0</v>
      </c>
      <c r="I85" s="50">
        <f t="shared" si="2"/>
        <v>-180.74</v>
      </c>
      <c r="K85" t="s">
        <v>162</v>
      </c>
      <c r="L85">
        <v>180.74</v>
      </c>
      <c r="M85">
        <v>3.56</v>
      </c>
      <c r="N85">
        <v>63.56</v>
      </c>
      <c r="O85">
        <v>43.25</v>
      </c>
      <c r="P85">
        <v>43.63</v>
      </c>
      <c r="Q85">
        <v>26.740000000000002</v>
      </c>
      <c r="R85" t="s">
        <v>3113</v>
      </c>
    </row>
    <row r="86" spans="1:18" x14ac:dyDescent="0.3">
      <c r="A86" t="s">
        <v>748</v>
      </c>
      <c r="B86" s="23">
        <v>2</v>
      </c>
      <c r="C86" s="21">
        <v>0.5</v>
      </c>
      <c r="D86" s="21">
        <v>0.5</v>
      </c>
      <c r="E86" s="21">
        <v>0.5</v>
      </c>
      <c r="F86" s="21">
        <v>0.5</v>
      </c>
      <c r="H86" t="s">
        <v>28</v>
      </c>
      <c r="I86" s="50">
        <f t="shared" si="2"/>
        <v>-1.1399999999999997</v>
      </c>
      <c r="K86" t="s">
        <v>748</v>
      </c>
      <c r="L86">
        <v>3.1399999999999997</v>
      </c>
      <c r="M86">
        <v>0</v>
      </c>
      <c r="N86">
        <v>0.57000000000000006</v>
      </c>
      <c r="O86">
        <v>0.7</v>
      </c>
      <c r="P86">
        <v>0</v>
      </c>
      <c r="Q86">
        <v>1.8699999999999999</v>
      </c>
      <c r="R86" t="s">
        <v>3114</v>
      </c>
    </row>
    <row r="87" spans="1:18" x14ac:dyDescent="0.3">
      <c r="A87" t="s">
        <v>337</v>
      </c>
      <c r="B87" s="23">
        <v>9.9999999999999947</v>
      </c>
      <c r="C87" s="21">
        <v>2.5000000000000004</v>
      </c>
      <c r="D87" s="21">
        <v>2.5000000000000004</v>
      </c>
      <c r="E87" s="21">
        <v>2.5000000000000004</v>
      </c>
      <c r="F87" s="21">
        <v>2.5000000000000004</v>
      </c>
      <c r="H87" t="s">
        <v>3808</v>
      </c>
      <c r="I87" s="50">
        <f t="shared" si="2"/>
        <v>3.5099999999999945</v>
      </c>
      <c r="K87" t="s">
        <v>337</v>
      </c>
      <c r="L87">
        <v>6.49</v>
      </c>
      <c r="M87">
        <v>1.83</v>
      </c>
      <c r="N87">
        <v>2.83</v>
      </c>
      <c r="O87">
        <v>0</v>
      </c>
      <c r="P87">
        <v>1.83</v>
      </c>
      <c r="Q87">
        <v>0</v>
      </c>
      <c r="R87" t="s">
        <v>331</v>
      </c>
    </row>
    <row r="88" spans="1:18" x14ac:dyDescent="0.3">
      <c r="A88" t="s">
        <v>218</v>
      </c>
      <c r="B88" s="23">
        <v>31.999999999999986</v>
      </c>
      <c r="C88" s="21">
        <v>8</v>
      </c>
      <c r="D88" s="21">
        <v>8</v>
      </c>
      <c r="E88" s="21">
        <v>8</v>
      </c>
      <c r="F88" s="21">
        <v>8</v>
      </c>
      <c r="H88" t="s">
        <v>3809</v>
      </c>
      <c r="I88" s="50">
        <f t="shared" si="2"/>
        <v>23.029999999999987</v>
      </c>
      <c r="K88" t="s">
        <v>218</v>
      </c>
      <c r="L88">
        <v>8.9699999999999989</v>
      </c>
      <c r="M88">
        <v>0.73</v>
      </c>
      <c r="N88">
        <v>1.77</v>
      </c>
      <c r="O88">
        <v>1.1100000000000001</v>
      </c>
      <c r="P88">
        <v>3.48</v>
      </c>
      <c r="Q88">
        <v>1.88</v>
      </c>
      <c r="R88" t="s">
        <v>3115</v>
      </c>
    </row>
    <row r="89" spans="1:18" x14ac:dyDescent="0.3">
      <c r="A89" t="s">
        <v>116</v>
      </c>
      <c r="B89" s="23">
        <v>28</v>
      </c>
      <c r="C89" s="21">
        <v>7</v>
      </c>
      <c r="D89" s="21">
        <v>7</v>
      </c>
      <c r="E89" s="21">
        <v>7</v>
      </c>
      <c r="F89" s="21">
        <v>7</v>
      </c>
      <c r="H89" t="s">
        <v>4032</v>
      </c>
      <c r="I89" s="50">
        <f t="shared" si="2"/>
        <v>-2.7099999999999973</v>
      </c>
      <c r="K89" t="s">
        <v>116</v>
      </c>
      <c r="L89">
        <v>30.709999999999997</v>
      </c>
      <c r="M89">
        <v>2.91</v>
      </c>
      <c r="N89">
        <v>7.8900000000000006</v>
      </c>
      <c r="O89">
        <v>0.25</v>
      </c>
      <c r="P89">
        <v>7.84</v>
      </c>
      <c r="Q89">
        <v>11.819999999999997</v>
      </c>
      <c r="R89" t="s">
        <v>3116</v>
      </c>
    </row>
    <row r="90" spans="1:18" x14ac:dyDescent="0.3">
      <c r="A90" t="s">
        <v>108</v>
      </c>
      <c r="B90" s="23">
        <v>40</v>
      </c>
      <c r="C90" s="21">
        <v>10</v>
      </c>
      <c r="D90" s="21">
        <v>10</v>
      </c>
      <c r="E90" s="21">
        <v>10</v>
      </c>
      <c r="F90" s="21">
        <v>10</v>
      </c>
      <c r="H90" t="s">
        <v>101</v>
      </c>
      <c r="I90" s="50">
        <f t="shared" si="2"/>
        <v>-0.1699999999999946</v>
      </c>
      <c r="K90" t="s">
        <v>108</v>
      </c>
      <c r="L90">
        <v>40.169999999999995</v>
      </c>
      <c r="M90">
        <v>3</v>
      </c>
      <c r="N90">
        <v>8.98</v>
      </c>
      <c r="O90">
        <v>9.42</v>
      </c>
      <c r="P90">
        <v>12.58</v>
      </c>
      <c r="Q90">
        <v>6.1899999999999995</v>
      </c>
      <c r="R90" t="s">
        <v>3109</v>
      </c>
    </row>
    <row r="91" spans="1:18" x14ac:dyDescent="0.3">
      <c r="A91" t="s">
        <v>1171</v>
      </c>
      <c r="B91" s="23">
        <v>0</v>
      </c>
      <c r="C91" s="21">
        <v>0</v>
      </c>
      <c r="D91" s="21">
        <v>0</v>
      </c>
      <c r="E91" s="21">
        <v>0</v>
      </c>
      <c r="F91" s="21">
        <v>0</v>
      </c>
      <c r="I91" s="50">
        <f t="shared" si="2"/>
        <v>-0.4</v>
      </c>
      <c r="K91" t="s">
        <v>1171</v>
      </c>
      <c r="L91">
        <v>0.4</v>
      </c>
      <c r="M91">
        <v>0</v>
      </c>
      <c r="N91">
        <v>0.4</v>
      </c>
      <c r="O91">
        <v>0</v>
      </c>
      <c r="P91">
        <v>0</v>
      </c>
      <c r="Q91">
        <v>0</v>
      </c>
      <c r="R91" t="s">
        <v>3117</v>
      </c>
    </row>
    <row r="92" spans="1:18" x14ac:dyDescent="0.3">
      <c r="A92" t="s">
        <v>195</v>
      </c>
      <c r="B92" s="23">
        <v>28</v>
      </c>
      <c r="C92" s="21">
        <v>7</v>
      </c>
      <c r="D92" s="21">
        <v>7</v>
      </c>
      <c r="E92" s="21">
        <v>7</v>
      </c>
      <c r="F92" s="21">
        <v>7</v>
      </c>
      <c r="H92" t="s">
        <v>4033</v>
      </c>
      <c r="I92" s="50">
        <f t="shared" si="2"/>
        <v>-3.9299999999999997</v>
      </c>
      <c r="K92" t="s">
        <v>195</v>
      </c>
      <c r="L92">
        <v>31.93</v>
      </c>
      <c r="M92">
        <v>0.5</v>
      </c>
      <c r="N92">
        <v>10.250000000000002</v>
      </c>
      <c r="O92">
        <v>11.189999999999998</v>
      </c>
      <c r="P92">
        <v>8.2100000000000009</v>
      </c>
      <c r="Q92">
        <v>1.7799999999999998</v>
      </c>
      <c r="R92" t="s">
        <v>3118</v>
      </c>
    </row>
    <row r="93" spans="1:18" x14ac:dyDescent="0.3">
      <c r="A93" t="s">
        <v>968</v>
      </c>
      <c r="B93" s="23">
        <v>0</v>
      </c>
      <c r="C93" s="21">
        <v>0</v>
      </c>
      <c r="D93" s="21">
        <v>0</v>
      </c>
      <c r="E93" s="21">
        <v>0</v>
      </c>
      <c r="F93" s="21">
        <v>0</v>
      </c>
      <c r="I93" s="50">
        <f t="shared" si="2"/>
        <v>-0.08</v>
      </c>
      <c r="K93" t="s">
        <v>968</v>
      </c>
      <c r="L93">
        <v>0.08</v>
      </c>
      <c r="M93">
        <v>0</v>
      </c>
      <c r="N93">
        <v>0.08</v>
      </c>
      <c r="O93">
        <v>0</v>
      </c>
      <c r="P93">
        <v>0</v>
      </c>
      <c r="Q93">
        <v>0</v>
      </c>
      <c r="R93" t="s">
        <v>212</v>
      </c>
    </row>
    <row r="94" spans="1:18" x14ac:dyDescent="0.3">
      <c r="A94" t="s">
        <v>1772</v>
      </c>
      <c r="B94" s="23">
        <v>0</v>
      </c>
      <c r="C94" s="21">
        <v>0</v>
      </c>
      <c r="D94" s="21">
        <v>0</v>
      </c>
      <c r="E94" s="21">
        <v>0</v>
      </c>
      <c r="F94" s="21">
        <v>0</v>
      </c>
      <c r="I94" s="50">
        <f t="shared" si="2"/>
        <v>-0.4</v>
      </c>
      <c r="K94" t="s">
        <v>1772</v>
      </c>
      <c r="L94">
        <v>0.4</v>
      </c>
      <c r="M94">
        <v>0</v>
      </c>
      <c r="N94">
        <v>0</v>
      </c>
      <c r="O94">
        <v>0.18</v>
      </c>
      <c r="P94">
        <v>0.22</v>
      </c>
      <c r="Q94">
        <v>0</v>
      </c>
      <c r="R94" t="s">
        <v>212</v>
      </c>
    </row>
    <row r="95" spans="1:18" x14ac:dyDescent="0.3">
      <c r="A95" t="s">
        <v>177</v>
      </c>
      <c r="B95" s="23">
        <v>13</v>
      </c>
      <c r="C95" s="21">
        <v>3</v>
      </c>
      <c r="D95" s="21">
        <v>3</v>
      </c>
      <c r="E95" s="21">
        <v>3.5</v>
      </c>
      <c r="F95" s="21">
        <v>3.5</v>
      </c>
      <c r="H95" t="s">
        <v>175</v>
      </c>
      <c r="I95" s="50">
        <f t="shared" si="2"/>
        <v>-0.41999999999999815</v>
      </c>
      <c r="K95" t="s">
        <v>177</v>
      </c>
      <c r="L95">
        <v>13.419999999999998</v>
      </c>
      <c r="M95">
        <v>0.17</v>
      </c>
      <c r="N95">
        <v>2.89</v>
      </c>
      <c r="O95">
        <v>4.3999999999999995</v>
      </c>
      <c r="P95">
        <v>3.36</v>
      </c>
      <c r="Q95">
        <v>2.6</v>
      </c>
      <c r="R95" t="s">
        <v>3119</v>
      </c>
    </row>
    <row r="96" spans="1:18" x14ac:dyDescent="0.3">
      <c r="A96" t="s">
        <v>62</v>
      </c>
      <c r="B96" s="23">
        <v>9</v>
      </c>
      <c r="C96" s="21">
        <v>2.25</v>
      </c>
      <c r="D96" s="21">
        <v>2.25</v>
      </c>
      <c r="E96" s="21">
        <v>2.25</v>
      </c>
      <c r="F96" s="21">
        <v>2.25</v>
      </c>
      <c r="H96" t="s">
        <v>3102</v>
      </c>
      <c r="I96" s="50">
        <f t="shared" si="2"/>
        <v>6.3</v>
      </c>
      <c r="K96" t="s">
        <v>62</v>
      </c>
      <c r="L96">
        <v>2.7</v>
      </c>
      <c r="M96">
        <v>0.13</v>
      </c>
      <c r="N96">
        <v>0.18</v>
      </c>
      <c r="O96">
        <v>1.3</v>
      </c>
      <c r="P96">
        <v>0.36</v>
      </c>
      <c r="Q96">
        <v>0.73</v>
      </c>
      <c r="R96" t="s">
        <v>28</v>
      </c>
    </row>
    <row r="97" spans="1:18" x14ac:dyDescent="0.3">
      <c r="A97" t="s">
        <v>44</v>
      </c>
      <c r="B97" s="23">
        <v>9</v>
      </c>
      <c r="C97" s="21">
        <v>2.25</v>
      </c>
      <c r="D97" s="21">
        <v>2.25</v>
      </c>
      <c r="E97" s="21">
        <v>2.25</v>
      </c>
      <c r="F97" s="21">
        <v>2.25</v>
      </c>
      <c r="H97" t="s">
        <v>3102</v>
      </c>
      <c r="I97" s="50">
        <f t="shared" si="2"/>
        <v>-10.86</v>
      </c>
      <c r="K97" t="s">
        <v>44</v>
      </c>
      <c r="L97">
        <v>19.86</v>
      </c>
      <c r="M97">
        <v>0.25</v>
      </c>
      <c r="N97">
        <v>2.7899999999999991</v>
      </c>
      <c r="O97">
        <v>8.7700000000000014</v>
      </c>
      <c r="P97">
        <v>3.81</v>
      </c>
      <c r="Q97">
        <v>4.24</v>
      </c>
      <c r="R97" t="s">
        <v>3120</v>
      </c>
    </row>
    <row r="98" spans="1:18" x14ac:dyDescent="0.3">
      <c r="A98" t="s">
        <v>182</v>
      </c>
      <c r="B98" s="23">
        <v>50.000000000000028</v>
      </c>
      <c r="C98" s="21">
        <v>11.999999999999998</v>
      </c>
      <c r="D98" s="21">
        <v>12.999999999999998</v>
      </c>
      <c r="E98" s="21">
        <v>12.499999999999998</v>
      </c>
      <c r="F98" s="21">
        <v>12.499999999999998</v>
      </c>
      <c r="H98" t="s">
        <v>3806</v>
      </c>
      <c r="I98" s="50">
        <f t="shared" ref="I98:I129" si="3">B98-L98</f>
        <v>4.7300000000000182</v>
      </c>
      <c r="K98" t="s">
        <v>182</v>
      </c>
      <c r="L98">
        <v>45.27000000000001</v>
      </c>
      <c r="M98">
        <v>0.5</v>
      </c>
      <c r="N98">
        <v>11.16</v>
      </c>
      <c r="O98">
        <v>13.98</v>
      </c>
      <c r="P98">
        <v>12.260000000000002</v>
      </c>
      <c r="Q98">
        <v>7.370000000000001</v>
      </c>
      <c r="R98" t="s">
        <v>3121</v>
      </c>
    </row>
    <row r="99" spans="1:18" x14ac:dyDescent="0.3">
      <c r="A99" t="s">
        <v>953</v>
      </c>
      <c r="B99" s="23">
        <v>2.6799999999999997</v>
      </c>
      <c r="C99" s="21">
        <v>0.67</v>
      </c>
      <c r="D99" s="21">
        <v>0.67</v>
      </c>
      <c r="E99" s="21">
        <v>0.67</v>
      </c>
      <c r="F99" s="21">
        <v>0.67</v>
      </c>
      <c r="H99" t="s">
        <v>4027</v>
      </c>
      <c r="I99" s="50">
        <f t="shared" si="3"/>
        <v>-11.6</v>
      </c>
      <c r="K99" t="s">
        <v>953</v>
      </c>
      <c r="L99">
        <v>14.28</v>
      </c>
      <c r="M99">
        <v>0</v>
      </c>
      <c r="N99">
        <v>1.3299999999999998</v>
      </c>
      <c r="O99">
        <v>7.3299999999999992</v>
      </c>
      <c r="P99">
        <v>5.5500000000000007</v>
      </c>
      <c r="Q99">
        <v>7.0000000000000007E-2</v>
      </c>
      <c r="R99" t="s">
        <v>3109</v>
      </c>
    </row>
    <row r="100" spans="1:18" x14ac:dyDescent="0.3">
      <c r="A100" t="s">
        <v>3056</v>
      </c>
      <c r="B100" s="23">
        <v>2.3200000000000003</v>
      </c>
      <c r="C100" s="21">
        <v>0.57999999999999996</v>
      </c>
      <c r="D100" s="21">
        <v>0.57999999999999996</v>
      </c>
      <c r="E100" s="21">
        <v>0.57999999999999996</v>
      </c>
      <c r="F100" s="21">
        <v>0.57999999999999996</v>
      </c>
      <c r="H100" t="s">
        <v>4027</v>
      </c>
      <c r="I100" s="50">
        <f t="shared" si="3"/>
        <v>2.3200000000000003</v>
      </c>
      <c r="K100" t="s">
        <v>3056</v>
      </c>
      <c r="L100">
        <v>0</v>
      </c>
      <c r="M100">
        <v>0</v>
      </c>
      <c r="N100">
        <v>0</v>
      </c>
      <c r="O100">
        <v>0</v>
      </c>
      <c r="P100">
        <v>0</v>
      </c>
      <c r="Q100">
        <v>0</v>
      </c>
    </row>
    <row r="101" spans="1:18" x14ac:dyDescent="0.3">
      <c r="A101" t="s">
        <v>725</v>
      </c>
      <c r="B101" s="23">
        <v>7</v>
      </c>
      <c r="C101" s="21">
        <v>1.75</v>
      </c>
      <c r="D101" s="21">
        <v>1.75</v>
      </c>
      <c r="E101" s="21">
        <v>1.75</v>
      </c>
      <c r="F101" s="21">
        <v>1.75</v>
      </c>
      <c r="H101" t="s">
        <v>101</v>
      </c>
      <c r="I101" s="50">
        <f t="shared" si="3"/>
        <v>-4.3699999999999992</v>
      </c>
      <c r="K101" t="s">
        <v>725</v>
      </c>
      <c r="L101">
        <v>11.37</v>
      </c>
      <c r="M101">
        <v>0</v>
      </c>
      <c r="N101">
        <v>2.4900000000000002</v>
      </c>
      <c r="O101">
        <v>4.29</v>
      </c>
      <c r="P101">
        <v>3.67</v>
      </c>
      <c r="Q101">
        <v>0.92</v>
      </c>
      <c r="R101" t="s">
        <v>3122</v>
      </c>
    </row>
    <row r="102" spans="1:18" x14ac:dyDescent="0.3">
      <c r="A102" t="s">
        <v>420</v>
      </c>
      <c r="B102" s="23">
        <v>22</v>
      </c>
      <c r="C102" s="21">
        <v>5.5</v>
      </c>
      <c r="D102" s="21">
        <v>5.5</v>
      </c>
      <c r="E102" s="21">
        <v>5.5</v>
      </c>
      <c r="F102" s="21">
        <v>5.5</v>
      </c>
      <c r="H102" t="s">
        <v>134</v>
      </c>
      <c r="I102" s="50">
        <f t="shared" si="3"/>
        <v>-6.1799999999999962</v>
      </c>
      <c r="K102" t="s">
        <v>420</v>
      </c>
      <c r="L102">
        <v>28.179999999999996</v>
      </c>
      <c r="M102">
        <v>0</v>
      </c>
      <c r="N102">
        <v>5.7299999999999995</v>
      </c>
      <c r="O102">
        <v>5.3999999999999995</v>
      </c>
      <c r="P102">
        <v>11.009999999999998</v>
      </c>
      <c r="Q102">
        <v>6.0399999999999991</v>
      </c>
      <c r="R102" t="s">
        <v>3085</v>
      </c>
    </row>
    <row r="103" spans="1:18" x14ac:dyDescent="0.3">
      <c r="A103" t="s">
        <v>3145</v>
      </c>
      <c r="B103" s="23">
        <v>52</v>
      </c>
      <c r="C103" s="21">
        <v>14</v>
      </c>
      <c r="D103" s="21">
        <v>14</v>
      </c>
      <c r="E103" s="21">
        <v>10</v>
      </c>
      <c r="F103" s="21">
        <v>14</v>
      </c>
      <c r="H103" t="s">
        <v>164</v>
      </c>
      <c r="I103" s="50">
        <f t="shared" si="3"/>
        <v>45.32</v>
      </c>
      <c r="K103" t="s">
        <v>356</v>
      </c>
      <c r="L103">
        <v>6.68</v>
      </c>
      <c r="M103">
        <v>0.7</v>
      </c>
      <c r="N103">
        <v>5.08</v>
      </c>
      <c r="O103">
        <v>0.89999999999999991</v>
      </c>
      <c r="P103">
        <v>0</v>
      </c>
      <c r="Q103">
        <v>0</v>
      </c>
      <c r="R103" t="s">
        <v>3123</v>
      </c>
    </row>
    <row r="104" spans="1:18" x14ac:dyDescent="0.3">
      <c r="A104" t="s">
        <v>1074</v>
      </c>
      <c r="B104" s="23">
        <v>0</v>
      </c>
      <c r="C104" s="21">
        <v>0</v>
      </c>
      <c r="D104" s="21">
        <v>0</v>
      </c>
      <c r="E104" s="21">
        <v>0</v>
      </c>
      <c r="F104" s="21">
        <v>0</v>
      </c>
      <c r="I104" s="50">
        <f t="shared" si="3"/>
        <v>-6</v>
      </c>
      <c r="K104" t="s">
        <v>1074</v>
      </c>
      <c r="L104">
        <v>6</v>
      </c>
      <c r="M104">
        <v>0</v>
      </c>
      <c r="N104">
        <v>1.5</v>
      </c>
      <c r="O104">
        <v>4.2300000000000004</v>
      </c>
      <c r="P104">
        <v>0.27</v>
      </c>
      <c r="Q104">
        <v>0</v>
      </c>
      <c r="R104" t="s">
        <v>3123</v>
      </c>
    </row>
    <row r="105" spans="1:18" x14ac:dyDescent="0.3">
      <c r="A105" t="s">
        <v>242</v>
      </c>
      <c r="B105" s="23">
        <v>0</v>
      </c>
      <c r="C105" s="21">
        <v>0</v>
      </c>
      <c r="D105" s="21">
        <v>0</v>
      </c>
      <c r="E105" s="21">
        <v>0</v>
      </c>
      <c r="F105" s="21">
        <v>0</v>
      </c>
      <c r="I105" s="50">
        <f t="shared" si="3"/>
        <v>-7.55</v>
      </c>
      <c r="K105" t="s">
        <v>242</v>
      </c>
      <c r="L105">
        <v>7.55</v>
      </c>
      <c r="M105">
        <v>1.35</v>
      </c>
      <c r="N105">
        <v>0</v>
      </c>
      <c r="O105">
        <v>2.6</v>
      </c>
      <c r="P105">
        <v>2.67</v>
      </c>
      <c r="Q105">
        <v>0.92999999999999994</v>
      </c>
      <c r="R105" t="s">
        <v>3124</v>
      </c>
    </row>
    <row r="106" spans="1:18" x14ac:dyDescent="0.3">
      <c r="A106" t="s">
        <v>3062</v>
      </c>
      <c r="B106" s="23">
        <v>4</v>
      </c>
      <c r="C106" s="21">
        <v>1</v>
      </c>
      <c r="D106" s="21">
        <v>1</v>
      </c>
      <c r="E106" s="21">
        <v>1</v>
      </c>
      <c r="F106" s="21">
        <v>1</v>
      </c>
      <c r="H106" t="s">
        <v>150</v>
      </c>
      <c r="I106" s="50">
        <f t="shared" si="3"/>
        <v>4</v>
      </c>
      <c r="K106" t="s">
        <v>3062</v>
      </c>
      <c r="L106">
        <v>0</v>
      </c>
      <c r="M106">
        <v>0</v>
      </c>
      <c r="N106">
        <v>0</v>
      </c>
      <c r="O106">
        <v>0</v>
      </c>
      <c r="P106">
        <v>0</v>
      </c>
      <c r="Q106">
        <v>0</v>
      </c>
    </row>
    <row r="107" spans="1:18" x14ac:dyDescent="0.3">
      <c r="A107" t="s">
        <v>1022</v>
      </c>
      <c r="B107" s="23">
        <v>0</v>
      </c>
      <c r="C107" s="21">
        <v>0</v>
      </c>
      <c r="D107" s="21">
        <v>0</v>
      </c>
      <c r="E107" s="21">
        <v>0</v>
      </c>
      <c r="F107" s="21">
        <v>0</v>
      </c>
      <c r="I107" s="50">
        <f t="shared" si="3"/>
        <v>-18.299999999999997</v>
      </c>
      <c r="K107" t="s">
        <v>1022</v>
      </c>
      <c r="L107">
        <v>18.299999999999997</v>
      </c>
      <c r="M107">
        <v>0</v>
      </c>
      <c r="N107">
        <v>2.0300000000000002</v>
      </c>
      <c r="O107">
        <v>0.08</v>
      </c>
      <c r="P107">
        <v>12.07</v>
      </c>
      <c r="Q107">
        <v>4.1199999999999992</v>
      </c>
      <c r="R107" t="s">
        <v>294</v>
      </c>
    </row>
    <row r="108" spans="1:18" x14ac:dyDescent="0.3">
      <c r="A108" t="s">
        <v>241</v>
      </c>
      <c r="B108" s="23">
        <v>12</v>
      </c>
      <c r="C108" s="21">
        <v>3</v>
      </c>
      <c r="D108" s="21">
        <v>3</v>
      </c>
      <c r="E108" s="21">
        <v>3</v>
      </c>
      <c r="F108" s="21">
        <v>3</v>
      </c>
      <c r="H108" t="s">
        <v>169</v>
      </c>
      <c r="I108" s="50">
        <f t="shared" si="3"/>
        <v>4.9399999999999995</v>
      </c>
      <c r="K108" t="s">
        <v>241</v>
      </c>
      <c r="L108">
        <v>7.0600000000000005</v>
      </c>
      <c r="M108">
        <v>7.0000000000000007E-2</v>
      </c>
      <c r="N108">
        <v>1.1299999999999999</v>
      </c>
      <c r="O108">
        <v>2.42</v>
      </c>
      <c r="P108">
        <v>1.27</v>
      </c>
      <c r="Q108">
        <v>2.17</v>
      </c>
      <c r="R108" t="s">
        <v>240</v>
      </c>
    </row>
    <row r="109" spans="1:18" x14ac:dyDescent="0.3">
      <c r="A109" t="s">
        <v>156</v>
      </c>
      <c r="B109" s="23">
        <v>54</v>
      </c>
      <c r="C109" s="21">
        <v>13.5</v>
      </c>
      <c r="D109" s="21">
        <v>13.5</v>
      </c>
      <c r="E109" s="21">
        <v>13.5</v>
      </c>
      <c r="F109" s="21">
        <v>13.5</v>
      </c>
      <c r="H109" t="s">
        <v>4026</v>
      </c>
      <c r="I109" s="50">
        <f t="shared" si="3"/>
        <v>-35.299999999999997</v>
      </c>
      <c r="K109" t="s">
        <v>156</v>
      </c>
      <c r="L109">
        <v>89.3</v>
      </c>
      <c r="M109">
        <v>5.29</v>
      </c>
      <c r="N109">
        <v>21.97</v>
      </c>
      <c r="O109">
        <v>28.45</v>
      </c>
      <c r="P109">
        <v>15.829999999999998</v>
      </c>
      <c r="Q109">
        <v>17.760000000000002</v>
      </c>
      <c r="R109" t="s">
        <v>3125</v>
      </c>
    </row>
    <row r="110" spans="1:18" x14ac:dyDescent="0.3">
      <c r="A110" t="s">
        <v>30</v>
      </c>
      <c r="B110" s="23">
        <v>30.8</v>
      </c>
      <c r="C110" s="21">
        <v>7.7</v>
      </c>
      <c r="D110" s="21">
        <v>7.7</v>
      </c>
      <c r="E110" s="21">
        <v>7.7</v>
      </c>
      <c r="F110" s="21">
        <v>7.7</v>
      </c>
      <c r="H110" t="s">
        <v>4018</v>
      </c>
      <c r="I110" s="50">
        <f t="shared" si="3"/>
        <v>-35.480000000000004</v>
      </c>
      <c r="K110" t="s">
        <v>30</v>
      </c>
      <c r="L110">
        <v>66.28</v>
      </c>
      <c r="M110">
        <v>3.55</v>
      </c>
      <c r="N110">
        <v>18.920000000000002</v>
      </c>
      <c r="O110">
        <v>16.88</v>
      </c>
      <c r="P110">
        <v>12.860000000000001</v>
      </c>
      <c r="Q110">
        <v>14.070000000000002</v>
      </c>
      <c r="R110" t="s">
        <v>3126</v>
      </c>
    </row>
    <row r="111" spans="1:18" x14ac:dyDescent="0.3">
      <c r="A111" t="s">
        <v>395</v>
      </c>
      <c r="B111" s="23">
        <v>0</v>
      </c>
      <c r="C111" s="21">
        <v>0</v>
      </c>
      <c r="D111" s="21">
        <v>0</v>
      </c>
      <c r="E111" s="21">
        <v>0</v>
      </c>
      <c r="F111" s="21">
        <v>0</v>
      </c>
      <c r="I111" s="50">
        <f t="shared" si="3"/>
        <v>-0.35000000000000003</v>
      </c>
      <c r="K111" t="s">
        <v>395</v>
      </c>
      <c r="L111">
        <v>0.35000000000000003</v>
      </c>
      <c r="M111">
        <v>0</v>
      </c>
      <c r="N111">
        <v>0.02</v>
      </c>
      <c r="O111">
        <v>0.33</v>
      </c>
      <c r="P111">
        <v>0</v>
      </c>
      <c r="Q111">
        <v>0</v>
      </c>
      <c r="R111" t="s">
        <v>3127</v>
      </c>
    </row>
    <row r="112" spans="1:18" x14ac:dyDescent="0.3">
      <c r="A112" t="s">
        <v>1860</v>
      </c>
      <c r="B112" s="23">
        <v>0</v>
      </c>
      <c r="C112" s="21">
        <v>0</v>
      </c>
      <c r="D112" s="21">
        <v>0</v>
      </c>
      <c r="E112" s="21">
        <v>0</v>
      </c>
      <c r="F112" s="21">
        <v>0</v>
      </c>
      <c r="I112" s="50">
        <f t="shared" si="3"/>
        <v>-0.22</v>
      </c>
      <c r="K112" t="s">
        <v>1860</v>
      </c>
      <c r="L112">
        <v>0.22</v>
      </c>
      <c r="M112">
        <v>0</v>
      </c>
      <c r="N112">
        <v>0</v>
      </c>
      <c r="O112">
        <v>0.02</v>
      </c>
      <c r="P112">
        <v>0.2</v>
      </c>
      <c r="Q112">
        <v>0</v>
      </c>
      <c r="R112" t="s">
        <v>3096</v>
      </c>
    </row>
    <row r="113" spans="1:18" x14ac:dyDescent="0.3">
      <c r="A113" t="s">
        <v>42</v>
      </c>
      <c r="B113" s="23">
        <v>28</v>
      </c>
      <c r="C113" s="21">
        <v>7</v>
      </c>
      <c r="D113" s="21">
        <v>7</v>
      </c>
      <c r="E113" s="21">
        <v>7</v>
      </c>
      <c r="F113" s="21">
        <v>7</v>
      </c>
      <c r="H113" t="s">
        <v>4018</v>
      </c>
      <c r="I113" s="50">
        <f t="shared" si="3"/>
        <v>-12.949999999999996</v>
      </c>
      <c r="K113" t="s">
        <v>42</v>
      </c>
      <c r="L113">
        <v>40.949999999999996</v>
      </c>
      <c r="M113">
        <v>0.84000000000000008</v>
      </c>
      <c r="N113">
        <v>11.719999999999999</v>
      </c>
      <c r="O113">
        <v>9.9500000000000011</v>
      </c>
      <c r="P113">
        <v>8.68</v>
      </c>
      <c r="Q113">
        <v>9.76</v>
      </c>
      <c r="R113" t="s">
        <v>3128</v>
      </c>
    </row>
    <row r="114" spans="1:18" x14ac:dyDescent="0.3">
      <c r="A114" t="s">
        <v>1458</v>
      </c>
      <c r="B114" s="23">
        <v>0</v>
      </c>
      <c r="C114" s="21">
        <v>0</v>
      </c>
      <c r="D114" s="21">
        <v>0</v>
      </c>
      <c r="E114" s="21">
        <v>0</v>
      </c>
      <c r="F114" s="21">
        <v>0</v>
      </c>
      <c r="I114" s="50">
        <f t="shared" si="3"/>
        <v>-0.08</v>
      </c>
      <c r="K114" t="s">
        <v>1458</v>
      </c>
      <c r="L114">
        <v>0.08</v>
      </c>
      <c r="M114">
        <v>0</v>
      </c>
      <c r="N114">
        <v>0</v>
      </c>
      <c r="O114">
        <v>0.08</v>
      </c>
      <c r="P114">
        <v>0</v>
      </c>
      <c r="Q114">
        <v>0</v>
      </c>
      <c r="R114" t="s">
        <v>212</v>
      </c>
    </row>
    <row r="115" spans="1:18" x14ac:dyDescent="0.3">
      <c r="A115" t="s">
        <v>1865</v>
      </c>
      <c r="B115" s="23">
        <v>13.399999999999999</v>
      </c>
      <c r="C115" s="21">
        <v>3.35</v>
      </c>
      <c r="D115" s="21">
        <v>3.35</v>
      </c>
      <c r="E115" s="21">
        <v>3.35</v>
      </c>
      <c r="F115" s="21">
        <v>3.35</v>
      </c>
      <c r="H115" t="s">
        <v>4027</v>
      </c>
      <c r="I115" s="50">
        <f t="shared" si="3"/>
        <v>7.4399999999999986</v>
      </c>
      <c r="K115" t="s">
        <v>1865</v>
      </c>
      <c r="L115">
        <v>5.96</v>
      </c>
      <c r="M115">
        <v>0</v>
      </c>
      <c r="N115">
        <v>0</v>
      </c>
      <c r="O115">
        <v>0.17</v>
      </c>
      <c r="P115">
        <v>5.79</v>
      </c>
      <c r="Q115">
        <v>0</v>
      </c>
      <c r="R115" t="s">
        <v>3129</v>
      </c>
    </row>
    <row r="116" spans="1:18" x14ac:dyDescent="0.3">
      <c r="A116" t="s">
        <v>665</v>
      </c>
      <c r="B116" s="23">
        <v>0</v>
      </c>
      <c r="C116" s="21">
        <v>0</v>
      </c>
      <c r="D116" s="21">
        <v>0</v>
      </c>
      <c r="E116" s="21">
        <v>0</v>
      </c>
      <c r="F116" s="21">
        <v>0</v>
      </c>
      <c r="I116" s="50">
        <f t="shared" si="3"/>
        <v>-3.13</v>
      </c>
      <c r="K116" t="s">
        <v>665</v>
      </c>
      <c r="L116">
        <v>3.13</v>
      </c>
      <c r="M116">
        <v>0</v>
      </c>
      <c r="N116">
        <v>0.13</v>
      </c>
      <c r="O116">
        <v>0.75</v>
      </c>
      <c r="P116">
        <v>1</v>
      </c>
      <c r="Q116">
        <v>1.25</v>
      </c>
      <c r="R116" t="s">
        <v>3070</v>
      </c>
    </row>
    <row r="117" spans="1:18" x14ac:dyDescent="0.3">
      <c r="A117" t="s">
        <v>112</v>
      </c>
      <c r="B117" s="23">
        <v>4</v>
      </c>
      <c r="C117" s="21">
        <v>1</v>
      </c>
      <c r="D117" s="21">
        <v>1</v>
      </c>
      <c r="E117" s="21">
        <v>1</v>
      </c>
      <c r="F117" s="21">
        <v>1</v>
      </c>
      <c r="H117" t="s">
        <v>4027</v>
      </c>
      <c r="I117" s="50">
        <f t="shared" si="3"/>
        <v>2.6399999999999997</v>
      </c>
      <c r="K117" t="s">
        <v>112</v>
      </c>
      <c r="L117">
        <v>1.36</v>
      </c>
      <c r="M117">
        <v>0.17</v>
      </c>
      <c r="N117">
        <v>0.55000000000000004</v>
      </c>
      <c r="O117">
        <v>0.64</v>
      </c>
      <c r="P117">
        <v>0</v>
      </c>
      <c r="Q117">
        <v>0</v>
      </c>
      <c r="R117" t="s">
        <v>3130</v>
      </c>
    </row>
    <row r="118" spans="1:18" x14ac:dyDescent="0.3">
      <c r="A118" t="s">
        <v>234</v>
      </c>
      <c r="B118" s="23">
        <v>0</v>
      </c>
      <c r="C118" s="21">
        <v>0</v>
      </c>
      <c r="D118" s="21">
        <v>0</v>
      </c>
      <c r="E118" s="21">
        <v>0</v>
      </c>
      <c r="F118" s="21">
        <v>0</v>
      </c>
      <c r="I118" s="50">
        <f t="shared" si="3"/>
        <v>-1.06</v>
      </c>
      <c r="K118" t="s">
        <v>234</v>
      </c>
      <c r="L118">
        <v>1.06</v>
      </c>
      <c r="M118">
        <v>0.25</v>
      </c>
      <c r="N118">
        <v>0.51</v>
      </c>
      <c r="O118">
        <v>0.30000000000000004</v>
      </c>
      <c r="P118">
        <v>0</v>
      </c>
      <c r="Q118">
        <v>0</v>
      </c>
      <c r="R118" t="s">
        <v>3070</v>
      </c>
    </row>
    <row r="119" spans="1:18" x14ac:dyDescent="0.3">
      <c r="A119" t="s">
        <v>3054</v>
      </c>
      <c r="B119" s="23">
        <v>4.32</v>
      </c>
      <c r="C119" s="21">
        <v>1.08</v>
      </c>
      <c r="D119" s="21">
        <v>1.08</v>
      </c>
      <c r="E119" s="21">
        <v>1.08</v>
      </c>
      <c r="F119" s="21">
        <v>1.08</v>
      </c>
      <c r="H119" t="s">
        <v>4027</v>
      </c>
      <c r="I119" s="50">
        <f t="shared" si="3"/>
        <v>4.32</v>
      </c>
      <c r="K119" t="s">
        <v>3054</v>
      </c>
      <c r="L119">
        <v>0</v>
      </c>
      <c r="M119">
        <v>0</v>
      </c>
      <c r="N119">
        <v>0</v>
      </c>
      <c r="O119">
        <v>0</v>
      </c>
      <c r="P119">
        <v>0</v>
      </c>
      <c r="Q119">
        <v>0</v>
      </c>
    </row>
    <row r="120" spans="1:18" x14ac:dyDescent="0.3">
      <c r="A120" t="s">
        <v>3055</v>
      </c>
      <c r="B120" s="23">
        <v>2.3200000000000003</v>
      </c>
      <c r="C120" s="21">
        <v>0.57999999999999996</v>
      </c>
      <c r="D120" s="21">
        <v>0.57999999999999996</v>
      </c>
      <c r="E120" s="21">
        <v>0.57999999999999996</v>
      </c>
      <c r="F120" s="21">
        <v>0.57999999999999996</v>
      </c>
      <c r="H120" t="s">
        <v>4027</v>
      </c>
      <c r="I120" s="50">
        <f t="shared" si="3"/>
        <v>2.3200000000000003</v>
      </c>
      <c r="K120" t="s">
        <v>3055</v>
      </c>
      <c r="L120">
        <v>0</v>
      </c>
      <c r="M120">
        <v>0</v>
      </c>
      <c r="N120">
        <v>0</v>
      </c>
      <c r="O120">
        <v>0</v>
      </c>
      <c r="P120">
        <v>0</v>
      </c>
      <c r="Q120">
        <v>0</v>
      </c>
    </row>
    <row r="121" spans="1:18" x14ac:dyDescent="0.3">
      <c r="A121" t="s">
        <v>3057</v>
      </c>
      <c r="B121" s="23">
        <v>2.3200000000000003</v>
      </c>
      <c r="C121" s="21">
        <v>0.57999999999999996</v>
      </c>
      <c r="D121" s="21">
        <v>0.57999999999999996</v>
      </c>
      <c r="E121" s="21">
        <v>0.57999999999999996</v>
      </c>
      <c r="F121" s="21">
        <v>0.57999999999999996</v>
      </c>
      <c r="H121" t="s">
        <v>4027</v>
      </c>
      <c r="I121" s="50">
        <f t="shared" si="3"/>
        <v>2.3200000000000003</v>
      </c>
      <c r="K121" t="s">
        <v>3057</v>
      </c>
      <c r="L121">
        <v>0</v>
      </c>
      <c r="M121">
        <v>0</v>
      </c>
      <c r="N121">
        <v>0</v>
      </c>
      <c r="O121">
        <v>0</v>
      </c>
      <c r="P121">
        <v>0</v>
      </c>
      <c r="Q121">
        <v>0</v>
      </c>
    </row>
    <row r="122" spans="1:18" x14ac:dyDescent="0.3">
      <c r="A122" t="s">
        <v>1697</v>
      </c>
      <c r="B122" s="23">
        <v>4.32</v>
      </c>
      <c r="C122" s="21">
        <v>1.08</v>
      </c>
      <c r="D122" s="21">
        <v>1.08</v>
      </c>
      <c r="E122" s="21">
        <v>1.08</v>
      </c>
      <c r="F122" s="21">
        <v>1.08</v>
      </c>
      <c r="H122" t="s">
        <v>4027</v>
      </c>
      <c r="I122" s="50">
        <f t="shared" si="3"/>
        <v>4.3000000000000007</v>
      </c>
      <c r="K122" t="s">
        <v>1697</v>
      </c>
      <c r="L122">
        <v>0.02</v>
      </c>
      <c r="M122">
        <v>0</v>
      </c>
      <c r="N122">
        <v>0</v>
      </c>
      <c r="O122">
        <v>0.02</v>
      </c>
      <c r="P122">
        <v>0</v>
      </c>
      <c r="Q122">
        <v>0</v>
      </c>
      <c r="R122" t="s">
        <v>93</v>
      </c>
    </row>
    <row r="123" spans="1:18" x14ac:dyDescent="0.3">
      <c r="A123" t="s">
        <v>214</v>
      </c>
      <c r="B123" s="23">
        <v>14</v>
      </c>
      <c r="C123" s="21">
        <v>3.5</v>
      </c>
      <c r="D123" s="21">
        <v>3.5</v>
      </c>
      <c r="E123" s="21">
        <v>3.5</v>
      </c>
      <c r="F123" s="21">
        <v>3.5</v>
      </c>
      <c r="H123" t="s">
        <v>4033</v>
      </c>
      <c r="I123" s="50">
        <f t="shared" si="3"/>
        <v>8.58</v>
      </c>
      <c r="K123" t="s">
        <v>214</v>
      </c>
      <c r="L123">
        <v>5.42</v>
      </c>
      <c r="M123">
        <v>0.08</v>
      </c>
      <c r="N123">
        <v>2.81</v>
      </c>
      <c r="O123">
        <v>0.36000000000000004</v>
      </c>
      <c r="P123">
        <v>2.17</v>
      </c>
      <c r="Q123">
        <v>0</v>
      </c>
      <c r="R123" t="s">
        <v>3131</v>
      </c>
    </row>
    <row r="124" spans="1:18" x14ac:dyDescent="0.3">
      <c r="A124" t="s">
        <v>39</v>
      </c>
      <c r="B124" s="23">
        <v>4</v>
      </c>
      <c r="C124" s="21">
        <v>1</v>
      </c>
      <c r="D124" s="21">
        <v>1</v>
      </c>
      <c r="E124" s="21">
        <v>1</v>
      </c>
      <c r="F124" s="21">
        <v>1</v>
      </c>
      <c r="H124" t="s">
        <v>28</v>
      </c>
      <c r="I124" s="50">
        <f t="shared" si="3"/>
        <v>-20.819999999999997</v>
      </c>
      <c r="K124" t="s">
        <v>39</v>
      </c>
      <c r="L124">
        <v>24.819999999999997</v>
      </c>
      <c r="M124">
        <v>0.12</v>
      </c>
      <c r="N124">
        <v>13.77</v>
      </c>
      <c r="O124">
        <v>5.4499999999999993</v>
      </c>
      <c r="P124">
        <v>4.34</v>
      </c>
      <c r="Q124">
        <v>1.1400000000000001</v>
      </c>
      <c r="R124" t="s">
        <v>3132</v>
      </c>
    </row>
    <row r="125" spans="1:18" x14ac:dyDescent="0.3">
      <c r="A125" t="s">
        <v>96</v>
      </c>
      <c r="B125" s="23">
        <v>0</v>
      </c>
      <c r="C125" s="21">
        <v>0</v>
      </c>
      <c r="D125" s="21">
        <v>0</v>
      </c>
      <c r="E125" s="21">
        <v>0</v>
      </c>
      <c r="F125" s="21">
        <v>0</v>
      </c>
      <c r="I125" s="50">
        <f t="shared" si="3"/>
        <v>-16.68</v>
      </c>
      <c r="K125" t="s">
        <v>96</v>
      </c>
      <c r="L125">
        <v>16.68</v>
      </c>
      <c r="M125">
        <v>0.02</v>
      </c>
      <c r="N125">
        <v>2.3299999999999996</v>
      </c>
      <c r="O125">
        <v>2.6399999999999997</v>
      </c>
      <c r="P125">
        <v>11.690000000000001</v>
      </c>
      <c r="Q125">
        <v>0</v>
      </c>
      <c r="R125" t="s">
        <v>3133</v>
      </c>
    </row>
    <row r="126" spans="1:18" x14ac:dyDescent="0.3">
      <c r="A126" t="s">
        <v>178</v>
      </c>
      <c r="B126" s="23">
        <v>2</v>
      </c>
      <c r="C126" s="21">
        <v>0.5</v>
      </c>
      <c r="D126" s="21">
        <v>0.5</v>
      </c>
      <c r="E126" s="21">
        <v>0.5</v>
      </c>
      <c r="F126" s="21">
        <v>0.5</v>
      </c>
      <c r="H126" t="s">
        <v>175</v>
      </c>
      <c r="I126" s="50">
        <f t="shared" si="3"/>
        <v>0.20999999999999996</v>
      </c>
      <c r="K126" t="s">
        <v>178</v>
      </c>
      <c r="L126">
        <v>1.79</v>
      </c>
      <c r="M126">
        <v>0.17</v>
      </c>
      <c r="N126">
        <v>0.45</v>
      </c>
      <c r="O126">
        <v>0.5</v>
      </c>
      <c r="P126">
        <v>0.5</v>
      </c>
      <c r="Q126">
        <v>0.17</v>
      </c>
      <c r="R126" t="s">
        <v>3134</v>
      </c>
    </row>
    <row r="127" spans="1:18" x14ac:dyDescent="0.3">
      <c r="A127" t="s">
        <v>1390</v>
      </c>
      <c r="B127" s="23">
        <v>0</v>
      </c>
      <c r="C127" s="21">
        <v>0</v>
      </c>
      <c r="D127" s="21">
        <v>0</v>
      </c>
      <c r="E127" s="21">
        <v>0</v>
      </c>
      <c r="F127" s="21">
        <v>0</v>
      </c>
      <c r="I127" s="50">
        <f t="shared" si="3"/>
        <v>-0.02</v>
      </c>
      <c r="K127" t="s">
        <v>1390</v>
      </c>
      <c r="L127">
        <v>0.02</v>
      </c>
      <c r="M127">
        <v>0</v>
      </c>
      <c r="N127">
        <v>0</v>
      </c>
      <c r="O127">
        <v>0.02</v>
      </c>
      <c r="P127">
        <v>0</v>
      </c>
      <c r="Q127">
        <v>0</v>
      </c>
      <c r="R127" t="s">
        <v>93</v>
      </c>
    </row>
    <row r="128" spans="1:18" x14ac:dyDescent="0.3">
      <c r="A128" t="s">
        <v>1180</v>
      </c>
      <c r="B128" s="23">
        <v>0.75</v>
      </c>
      <c r="C128" s="21">
        <v>0</v>
      </c>
      <c r="D128" s="21">
        <v>0</v>
      </c>
      <c r="E128" s="21">
        <v>0</v>
      </c>
      <c r="F128" s="21">
        <v>0</v>
      </c>
      <c r="H128" t="s">
        <v>262</v>
      </c>
      <c r="I128" s="50">
        <f t="shared" si="3"/>
        <v>-0.45999999999999996</v>
      </c>
      <c r="K128" t="s">
        <v>1180</v>
      </c>
      <c r="L128">
        <v>1.21</v>
      </c>
      <c r="M128">
        <v>0</v>
      </c>
      <c r="N128">
        <v>0.3</v>
      </c>
      <c r="O128">
        <v>0.69000000000000006</v>
      </c>
      <c r="P128">
        <v>0.22</v>
      </c>
      <c r="Q128">
        <v>0</v>
      </c>
      <c r="R128" t="s">
        <v>3135</v>
      </c>
    </row>
    <row r="129" spans="1:18" x14ac:dyDescent="0.3">
      <c r="A129" t="s">
        <v>217</v>
      </c>
      <c r="B129" s="23">
        <v>16</v>
      </c>
      <c r="C129" s="21">
        <v>4</v>
      </c>
      <c r="D129" s="21">
        <v>4</v>
      </c>
      <c r="E129" s="21">
        <v>4</v>
      </c>
      <c r="F129" s="21">
        <v>4</v>
      </c>
      <c r="H129" t="s">
        <v>169</v>
      </c>
      <c r="I129" s="50">
        <f t="shared" si="3"/>
        <v>-2.2699999999999996</v>
      </c>
      <c r="K129" t="s">
        <v>217</v>
      </c>
      <c r="L129">
        <v>18.27</v>
      </c>
      <c r="M129">
        <v>1.6099999999999999</v>
      </c>
      <c r="N129">
        <v>3.7300000000000004</v>
      </c>
      <c r="O129">
        <v>7.39</v>
      </c>
      <c r="P129">
        <v>1</v>
      </c>
      <c r="Q129">
        <v>4.5399999999999991</v>
      </c>
      <c r="R129" t="s">
        <v>3136</v>
      </c>
    </row>
    <row r="130" spans="1:18" x14ac:dyDescent="0.3">
      <c r="A130" t="s">
        <v>444</v>
      </c>
      <c r="B130" s="23">
        <v>2</v>
      </c>
      <c r="C130" s="21">
        <v>1</v>
      </c>
      <c r="D130" s="21">
        <v>0</v>
      </c>
      <c r="E130" s="21">
        <v>1</v>
      </c>
      <c r="F130" s="21">
        <v>0</v>
      </c>
      <c r="H130" t="s">
        <v>169</v>
      </c>
      <c r="I130" s="50">
        <f t="shared" ref="I130:I138" si="4">B130-L130</f>
        <v>-1.0899999999999999</v>
      </c>
      <c r="K130" t="s">
        <v>444</v>
      </c>
      <c r="L130">
        <v>3.09</v>
      </c>
      <c r="M130">
        <v>0</v>
      </c>
      <c r="N130">
        <v>1.0999999999999999</v>
      </c>
      <c r="O130">
        <v>0.35</v>
      </c>
      <c r="P130">
        <v>0.96000000000000008</v>
      </c>
      <c r="Q130">
        <v>0.68</v>
      </c>
      <c r="R130" t="s">
        <v>3137</v>
      </c>
    </row>
    <row r="131" spans="1:18" x14ac:dyDescent="0.3">
      <c r="A131" t="s">
        <v>48</v>
      </c>
      <c r="B131" s="23">
        <v>4</v>
      </c>
      <c r="C131" s="21">
        <v>1</v>
      </c>
      <c r="D131" s="21">
        <v>1</v>
      </c>
      <c r="E131" s="21">
        <v>1</v>
      </c>
      <c r="F131" s="21">
        <v>1</v>
      </c>
      <c r="H131" t="s">
        <v>3102</v>
      </c>
      <c r="I131" s="50">
        <f t="shared" si="4"/>
        <v>-7.4300000000000015</v>
      </c>
      <c r="K131" t="s">
        <v>48</v>
      </c>
      <c r="L131">
        <v>11.430000000000001</v>
      </c>
      <c r="M131">
        <v>0.47</v>
      </c>
      <c r="N131">
        <v>2.68</v>
      </c>
      <c r="O131">
        <v>2.5</v>
      </c>
      <c r="P131">
        <v>3.63</v>
      </c>
      <c r="Q131">
        <v>2.1500000000000004</v>
      </c>
      <c r="R131" t="s">
        <v>3107</v>
      </c>
    </row>
    <row r="132" spans="1:18" x14ac:dyDescent="0.3">
      <c r="A132" t="s">
        <v>35</v>
      </c>
      <c r="B132" s="23">
        <v>0</v>
      </c>
      <c r="C132" s="21">
        <v>0</v>
      </c>
      <c r="D132" s="21">
        <v>0</v>
      </c>
      <c r="E132" s="21">
        <v>0</v>
      </c>
      <c r="F132" s="21">
        <v>0</v>
      </c>
      <c r="I132" s="50">
        <f t="shared" si="4"/>
        <v>-42.910000000000004</v>
      </c>
      <c r="K132" t="s">
        <v>35</v>
      </c>
      <c r="L132">
        <v>42.910000000000004</v>
      </c>
      <c r="M132">
        <v>1.06</v>
      </c>
      <c r="N132">
        <v>7.8500000000000005</v>
      </c>
      <c r="O132">
        <v>9.5899999999999981</v>
      </c>
      <c r="P132">
        <v>13.56</v>
      </c>
      <c r="Q132">
        <v>10.85</v>
      </c>
      <c r="R132" t="s">
        <v>3138</v>
      </c>
    </row>
    <row r="133" spans="1:18" x14ac:dyDescent="0.3">
      <c r="A133" t="s">
        <v>460</v>
      </c>
      <c r="B133" s="23">
        <v>4</v>
      </c>
      <c r="C133" s="21">
        <v>1</v>
      </c>
      <c r="D133" s="21">
        <v>1</v>
      </c>
      <c r="E133" s="21">
        <v>1</v>
      </c>
      <c r="F133" s="21">
        <v>1</v>
      </c>
      <c r="H133" t="s">
        <v>269</v>
      </c>
      <c r="I133" s="50">
        <f t="shared" si="4"/>
        <v>-0.62999999999999989</v>
      </c>
      <c r="K133" t="s">
        <v>460</v>
      </c>
      <c r="L133">
        <v>4.63</v>
      </c>
      <c r="M133">
        <v>0</v>
      </c>
      <c r="N133">
        <v>1.18</v>
      </c>
      <c r="O133">
        <v>1</v>
      </c>
      <c r="P133">
        <v>1.4</v>
      </c>
      <c r="Q133">
        <v>1.05</v>
      </c>
      <c r="R133" t="s">
        <v>3077</v>
      </c>
    </row>
    <row r="134" spans="1:18" x14ac:dyDescent="0.3">
      <c r="A134" t="s">
        <v>1021</v>
      </c>
      <c r="B134" s="23">
        <v>2</v>
      </c>
      <c r="C134" s="21">
        <v>0.5</v>
      </c>
      <c r="D134" s="21">
        <v>0.5</v>
      </c>
      <c r="E134" s="21">
        <v>0.5</v>
      </c>
      <c r="F134" s="21">
        <v>0.5</v>
      </c>
      <c r="H134" t="s">
        <v>289</v>
      </c>
      <c r="I134" s="50">
        <f t="shared" si="4"/>
        <v>-1.25</v>
      </c>
      <c r="K134" t="s">
        <v>1021</v>
      </c>
      <c r="L134">
        <v>3.25</v>
      </c>
      <c r="M134">
        <v>0</v>
      </c>
      <c r="N134">
        <v>2.25</v>
      </c>
      <c r="O134">
        <v>0.25</v>
      </c>
      <c r="P134">
        <v>0</v>
      </c>
      <c r="Q134">
        <v>0.75</v>
      </c>
      <c r="R134" t="s">
        <v>3139</v>
      </c>
    </row>
    <row r="135" spans="1:18" x14ac:dyDescent="0.3">
      <c r="A135" t="s">
        <v>3063</v>
      </c>
      <c r="B135" s="23">
        <v>8</v>
      </c>
      <c r="C135" s="21">
        <v>2</v>
      </c>
      <c r="D135" s="21">
        <v>2</v>
      </c>
      <c r="E135" s="21">
        <v>2</v>
      </c>
      <c r="F135" s="21">
        <v>2</v>
      </c>
      <c r="H135" t="s">
        <v>150</v>
      </c>
      <c r="I135" s="50">
        <f t="shared" si="4"/>
        <v>8</v>
      </c>
      <c r="K135" t="s">
        <v>3063</v>
      </c>
      <c r="L135">
        <v>0</v>
      </c>
      <c r="M135">
        <v>0</v>
      </c>
      <c r="N135">
        <v>0</v>
      </c>
      <c r="O135">
        <v>0</v>
      </c>
      <c r="P135">
        <v>0</v>
      </c>
      <c r="Q135">
        <v>0</v>
      </c>
    </row>
    <row r="136" spans="1:18" x14ac:dyDescent="0.3">
      <c r="A136" t="s">
        <v>483</v>
      </c>
      <c r="B136" s="23">
        <v>0</v>
      </c>
      <c r="C136" s="21">
        <v>0</v>
      </c>
      <c r="D136" s="21">
        <v>0</v>
      </c>
      <c r="E136" s="21">
        <v>0</v>
      </c>
      <c r="F136" s="21">
        <v>0</v>
      </c>
      <c r="I136" s="50">
        <f t="shared" si="4"/>
        <v>-3.7199999999999998</v>
      </c>
      <c r="K136" t="s">
        <v>483</v>
      </c>
      <c r="L136">
        <v>3.7199999999999998</v>
      </c>
      <c r="M136">
        <v>0</v>
      </c>
      <c r="N136">
        <v>0.45</v>
      </c>
      <c r="O136">
        <v>0</v>
      </c>
      <c r="P136">
        <v>0</v>
      </c>
      <c r="Q136">
        <v>3.2699999999999996</v>
      </c>
      <c r="R136" t="s">
        <v>3140</v>
      </c>
    </row>
    <row r="137" spans="1:18" x14ac:dyDescent="0.3">
      <c r="A137" t="s">
        <v>105</v>
      </c>
      <c r="B137" s="23">
        <v>16</v>
      </c>
      <c r="C137" s="21">
        <v>4</v>
      </c>
      <c r="D137" s="21">
        <v>4</v>
      </c>
      <c r="E137" s="21">
        <v>4</v>
      </c>
      <c r="F137" s="21">
        <v>4</v>
      </c>
      <c r="H137" t="s">
        <v>101</v>
      </c>
      <c r="I137" s="50">
        <f t="shared" si="4"/>
        <v>9</v>
      </c>
      <c r="K137" t="s">
        <v>105</v>
      </c>
      <c r="L137">
        <v>7</v>
      </c>
      <c r="M137">
        <v>0.33</v>
      </c>
      <c r="N137">
        <v>1.67</v>
      </c>
      <c r="O137">
        <v>2.25</v>
      </c>
      <c r="P137">
        <v>1.17</v>
      </c>
      <c r="Q137">
        <v>1.58</v>
      </c>
      <c r="R137" t="s">
        <v>101</v>
      </c>
    </row>
    <row r="138" spans="1:18" x14ac:dyDescent="0.3">
      <c r="A138" t="s">
        <v>423</v>
      </c>
      <c r="B138" s="23">
        <v>18</v>
      </c>
      <c r="C138" s="21">
        <v>4.5</v>
      </c>
      <c r="D138" s="21">
        <v>4.5</v>
      </c>
      <c r="E138" s="21">
        <v>4.5</v>
      </c>
      <c r="F138" s="21">
        <v>4.5</v>
      </c>
      <c r="H138" t="s">
        <v>134</v>
      </c>
      <c r="I138" s="50">
        <f t="shared" si="4"/>
        <v>-6.110000000000003</v>
      </c>
      <c r="K138" t="s">
        <v>423</v>
      </c>
      <c r="L138">
        <v>24.110000000000003</v>
      </c>
      <c r="M138">
        <v>0</v>
      </c>
      <c r="N138">
        <v>8.57</v>
      </c>
      <c r="O138">
        <v>10.370000000000001</v>
      </c>
      <c r="P138">
        <v>3.21</v>
      </c>
      <c r="Q138">
        <v>1.96</v>
      </c>
      <c r="R138" t="s">
        <v>3085</v>
      </c>
    </row>
    <row r="139" spans="1:18" x14ac:dyDescent="0.3">
      <c r="C139" s="21"/>
      <c r="D139" s="21"/>
      <c r="E139" s="21"/>
      <c r="F139" s="21"/>
      <c r="I139" s="50"/>
    </row>
    <row r="140" spans="1:18" x14ac:dyDescent="0.3">
      <c r="C140" s="21"/>
      <c r="D140" s="21"/>
      <c r="E140" s="21"/>
      <c r="F140" s="21"/>
      <c r="I140" s="50"/>
    </row>
    <row r="141" spans="1:18" x14ac:dyDescent="0.3">
      <c r="C141" s="21"/>
      <c r="D141" s="21"/>
      <c r="E141" s="21"/>
      <c r="F141" s="21"/>
      <c r="I141" s="50"/>
    </row>
    <row r="142" spans="1:18" x14ac:dyDescent="0.3">
      <c r="C142" s="21"/>
      <c r="D142" s="21"/>
      <c r="E142" s="21"/>
      <c r="F142" s="21"/>
      <c r="I142" s="50"/>
    </row>
    <row r="143" spans="1:18" x14ac:dyDescent="0.3">
      <c r="C143" s="21"/>
      <c r="D143" s="21"/>
      <c r="E143" s="21"/>
      <c r="F143" s="21"/>
      <c r="I143" s="50"/>
    </row>
    <row r="144" spans="1:18" x14ac:dyDescent="0.3">
      <c r="C144" s="21"/>
      <c r="D144" s="21"/>
      <c r="E144" s="21"/>
      <c r="F144" s="21"/>
      <c r="I144" s="50"/>
    </row>
    <row r="145" spans="3:9" x14ac:dyDescent="0.3">
      <c r="C145" s="21"/>
      <c r="D145" s="21"/>
      <c r="E145" s="21"/>
      <c r="F145" s="21"/>
      <c r="I145" s="50"/>
    </row>
    <row r="146" spans="3:9" x14ac:dyDescent="0.3">
      <c r="C146" s="21"/>
      <c r="D146" s="21"/>
      <c r="E146" s="21"/>
      <c r="F146" s="21"/>
      <c r="I146" s="50"/>
    </row>
    <row r="147" spans="3:9" x14ac:dyDescent="0.3">
      <c r="C147" s="21"/>
      <c r="D147" s="21"/>
      <c r="E147" s="21"/>
      <c r="F147" s="21"/>
      <c r="I147" s="50"/>
    </row>
    <row r="148" spans="3:9" x14ac:dyDescent="0.3">
      <c r="C148" s="21"/>
      <c r="D148" s="21"/>
      <c r="E148" s="21"/>
      <c r="F148" s="21"/>
      <c r="I148" s="50"/>
    </row>
    <row r="149" spans="3:9" x14ac:dyDescent="0.3">
      <c r="C149" s="21"/>
      <c r="D149" s="21"/>
      <c r="E149" s="21"/>
      <c r="F149" s="21"/>
    </row>
    <row r="150" spans="3:9" x14ac:dyDescent="0.3">
      <c r="C150" s="21"/>
      <c r="D150" s="21"/>
      <c r="E150" s="21"/>
      <c r="F150" s="21"/>
    </row>
  </sheetData>
  <sortState xmlns:xlrd2="http://schemas.microsoft.com/office/spreadsheetml/2017/richdata2" ref="A2:H89">
    <sortCondition ref="A2"/>
  </sortState>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tnGen">
                <anchor>
                  <from>
                    <xdr:col>0</xdr:col>
                    <xdr:colOff>876300</xdr:colOff>
                    <xdr:row>0</xdr:row>
                    <xdr:rowOff>182880</xdr:rowOff>
                  </from>
                  <to>
                    <xdr:col>0</xdr:col>
                    <xdr:colOff>2286000</xdr:colOff>
                    <xdr:row>0</xdr:row>
                    <xdr:rowOff>480060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0FD7E-E547-458F-A781-CA57D81D84B9}">
  <sheetPr codeName="Sheet20"/>
  <dimension ref="A1:Q57"/>
  <sheetViews>
    <sheetView zoomScale="85" zoomScaleNormal="85" workbookViewId="0">
      <selection activeCell="B2" sqref="B2:B49"/>
    </sheetView>
  </sheetViews>
  <sheetFormatPr defaultRowHeight="14.4" x14ac:dyDescent="0.3"/>
  <cols>
    <col min="1" max="1" width="16.109375" bestFit="1" customWidth="1"/>
    <col min="2" max="2" width="11.6640625" customWidth="1"/>
    <col min="3" max="3" width="9.109375" style="16" hidden="1" customWidth="1"/>
    <col min="4" max="4" width="24.6640625" customWidth="1"/>
    <col min="5" max="5" width="27.5546875" customWidth="1"/>
    <col min="6" max="6" width="30" customWidth="1"/>
    <col min="7" max="7" width="29.33203125" customWidth="1"/>
    <col min="9" max="9" width="16.33203125" customWidth="1"/>
    <col min="10" max="11" width="18.109375" customWidth="1"/>
    <col min="12" max="12" width="16" customWidth="1"/>
    <col min="13" max="13" width="42.6640625" customWidth="1"/>
    <col min="14" max="14" width="34.33203125" customWidth="1"/>
    <col min="15" max="15" width="44.109375" customWidth="1"/>
    <col min="16" max="16" width="38.5546875" customWidth="1"/>
    <col min="17" max="17" width="39.44140625" customWidth="1"/>
  </cols>
  <sheetData>
    <row r="1" spans="1:17" ht="34.200000000000003" customHeight="1" thickBot="1" x14ac:dyDescent="0.35">
      <c r="A1" s="39" t="s">
        <v>10</v>
      </c>
      <c r="B1" s="40" t="s">
        <v>11</v>
      </c>
      <c r="C1" s="41" t="s">
        <v>12</v>
      </c>
      <c r="D1" s="42" t="s">
        <v>13</v>
      </c>
      <c r="E1" s="42" t="s">
        <v>14</v>
      </c>
      <c r="F1" s="42" t="s">
        <v>15</v>
      </c>
      <c r="G1" s="43" t="s">
        <v>16</v>
      </c>
      <c r="I1" s="57" t="s">
        <v>7</v>
      </c>
      <c r="J1" s="39" t="s">
        <v>10</v>
      </c>
      <c r="K1" s="40" t="s">
        <v>17</v>
      </c>
      <c r="L1" s="42" t="s">
        <v>12</v>
      </c>
      <c r="M1" s="42" t="s">
        <v>13</v>
      </c>
      <c r="N1" s="42" t="s">
        <v>14</v>
      </c>
      <c r="O1" s="42" t="s">
        <v>15</v>
      </c>
      <c r="P1" s="42" t="s">
        <v>16</v>
      </c>
      <c r="Q1" s="43" t="s">
        <v>18</v>
      </c>
    </row>
    <row r="2" spans="1:17" x14ac:dyDescent="0.3">
      <c r="A2" s="20" t="s">
        <v>28</v>
      </c>
      <c r="B2">
        <v>134.80000000000001</v>
      </c>
      <c r="E2" t="s">
        <v>4020</v>
      </c>
      <c r="F2" t="s">
        <v>4021</v>
      </c>
      <c r="G2" t="s">
        <v>4022</v>
      </c>
      <c r="I2">
        <f t="shared" ref="I2:I49" si="0">B2-K2</f>
        <v>8.8500000000000512</v>
      </c>
      <c r="J2" t="s">
        <v>28</v>
      </c>
      <c r="K2">
        <v>125.94999999999996</v>
      </c>
      <c r="L2" s="16"/>
      <c r="M2" t="s">
        <v>3823</v>
      </c>
      <c r="N2" t="s">
        <v>3824</v>
      </c>
      <c r="O2" t="s">
        <v>3825</v>
      </c>
      <c r="P2" t="s">
        <v>3826</v>
      </c>
      <c r="Q2" t="s">
        <v>3827</v>
      </c>
    </row>
    <row r="3" spans="1:17" x14ac:dyDescent="0.3">
      <c r="A3" t="s">
        <v>64</v>
      </c>
      <c r="B3">
        <v>0</v>
      </c>
      <c r="I3">
        <f t="shared" si="0"/>
        <v>-99.030000000000015</v>
      </c>
      <c r="J3" t="s">
        <v>64</v>
      </c>
      <c r="K3">
        <v>99.030000000000015</v>
      </c>
      <c r="L3" s="16"/>
      <c r="M3" t="s">
        <v>3828</v>
      </c>
      <c r="N3" t="s">
        <v>3829</v>
      </c>
      <c r="O3" t="s">
        <v>3830</v>
      </c>
      <c r="P3" t="s">
        <v>3831</v>
      </c>
      <c r="Q3" t="s">
        <v>3832</v>
      </c>
    </row>
    <row r="4" spans="1:17" x14ac:dyDescent="0.3">
      <c r="A4" s="20" t="s">
        <v>72</v>
      </c>
      <c r="B4">
        <v>48</v>
      </c>
      <c r="I4">
        <f t="shared" si="0"/>
        <v>-16.539999999999992</v>
      </c>
      <c r="J4" t="s">
        <v>72</v>
      </c>
      <c r="K4">
        <v>64.539999999999992</v>
      </c>
      <c r="L4" s="16"/>
      <c r="M4" t="s">
        <v>3833</v>
      </c>
      <c r="N4" t="s">
        <v>3834</v>
      </c>
      <c r="O4" t="s">
        <v>3835</v>
      </c>
      <c r="P4" t="s">
        <v>3836</v>
      </c>
      <c r="Q4" t="s">
        <v>3837</v>
      </c>
    </row>
    <row r="5" spans="1:17" x14ac:dyDescent="0.3">
      <c r="A5" t="s">
        <v>75</v>
      </c>
      <c r="B5">
        <v>0</v>
      </c>
      <c r="I5">
        <f t="shared" si="0"/>
        <v>-132</v>
      </c>
      <c r="J5" t="s">
        <v>75</v>
      </c>
      <c r="K5">
        <v>132</v>
      </c>
      <c r="M5" t="s">
        <v>3838</v>
      </c>
      <c r="N5" t="s">
        <v>3839</v>
      </c>
      <c r="O5" t="s">
        <v>3839</v>
      </c>
      <c r="P5" t="s">
        <v>3840</v>
      </c>
      <c r="Q5" t="s">
        <v>3841</v>
      </c>
    </row>
    <row r="6" spans="1:17" x14ac:dyDescent="0.3">
      <c r="A6" t="s">
        <v>79</v>
      </c>
      <c r="B6">
        <v>0</v>
      </c>
      <c r="I6">
        <f t="shared" si="0"/>
        <v>-163</v>
      </c>
      <c r="J6" t="s">
        <v>79</v>
      </c>
      <c r="K6">
        <v>163</v>
      </c>
      <c r="M6" t="s">
        <v>3833</v>
      </c>
      <c r="N6" t="s">
        <v>3842</v>
      </c>
      <c r="O6" t="s">
        <v>3842</v>
      </c>
      <c r="P6" t="s">
        <v>3843</v>
      </c>
      <c r="Q6" t="s">
        <v>3844</v>
      </c>
    </row>
    <row r="7" spans="1:17" x14ac:dyDescent="0.3">
      <c r="A7" t="s">
        <v>80</v>
      </c>
      <c r="B7">
        <v>0</v>
      </c>
      <c r="I7">
        <f t="shared" si="0"/>
        <v>-131.72999999999999</v>
      </c>
      <c r="J7" t="s">
        <v>80</v>
      </c>
      <c r="K7">
        <v>131.72999999999999</v>
      </c>
      <c r="M7" t="s">
        <v>3845</v>
      </c>
      <c r="N7" t="s">
        <v>3846</v>
      </c>
      <c r="O7" t="s">
        <v>3847</v>
      </c>
      <c r="P7" t="s">
        <v>3848</v>
      </c>
      <c r="Q7" t="s">
        <v>3849</v>
      </c>
    </row>
    <row r="8" spans="1:17" x14ac:dyDescent="0.3">
      <c r="A8" t="s">
        <v>88</v>
      </c>
      <c r="B8">
        <v>0</v>
      </c>
      <c r="I8">
        <f t="shared" si="0"/>
        <v>-175.63</v>
      </c>
      <c r="J8" t="s">
        <v>88</v>
      </c>
      <c r="K8">
        <v>175.63</v>
      </c>
      <c r="M8" t="s">
        <v>3850</v>
      </c>
      <c r="N8" t="s">
        <v>3851</v>
      </c>
      <c r="O8" t="s">
        <v>3852</v>
      </c>
      <c r="P8" t="s">
        <v>3852</v>
      </c>
      <c r="Q8" t="s">
        <v>3852</v>
      </c>
    </row>
    <row r="9" spans="1:17" x14ac:dyDescent="0.3">
      <c r="A9" t="s">
        <v>93</v>
      </c>
      <c r="B9">
        <v>0</v>
      </c>
      <c r="I9">
        <f t="shared" si="0"/>
        <v>-0.27999999999999997</v>
      </c>
      <c r="J9" t="s">
        <v>93</v>
      </c>
      <c r="K9">
        <v>0.27999999999999997</v>
      </c>
      <c r="M9" t="s">
        <v>3853</v>
      </c>
      <c r="N9" t="s">
        <v>3854</v>
      </c>
      <c r="O9" t="s">
        <v>3855</v>
      </c>
      <c r="P9" t="s">
        <v>3856</v>
      </c>
    </row>
    <row r="10" spans="1:17" x14ac:dyDescent="0.3">
      <c r="A10" t="s">
        <v>97</v>
      </c>
      <c r="B10">
        <v>0</v>
      </c>
      <c r="I10">
        <f t="shared" si="0"/>
        <v>-43.5</v>
      </c>
      <c r="J10" t="s">
        <v>97</v>
      </c>
      <c r="K10">
        <v>43.5</v>
      </c>
      <c r="M10" t="s">
        <v>3857</v>
      </c>
      <c r="N10" t="s">
        <v>3858</v>
      </c>
      <c r="O10" t="s">
        <v>3859</v>
      </c>
      <c r="P10" t="s">
        <v>3860</v>
      </c>
      <c r="Q10" t="s">
        <v>3861</v>
      </c>
    </row>
    <row r="11" spans="1:17" x14ac:dyDescent="0.3">
      <c r="A11" t="s">
        <v>99</v>
      </c>
      <c r="B11">
        <v>0</v>
      </c>
      <c r="I11">
        <f t="shared" si="0"/>
        <v>-191.71</v>
      </c>
      <c r="J11" t="s">
        <v>99</v>
      </c>
      <c r="K11">
        <v>191.71</v>
      </c>
      <c r="M11" t="s">
        <v>3862</v>
      </c>
      <c r="N11" t="s">
        <v>3863</v>
      </c>
      <c r="O11" t="s">
        <v>3864</v>
      </c>
      <c r="P11" t="s">
        <v>3865</v>
      </c>
      <c r="Q11" t="s">
        <v>3866</v>
      </c>
    </row>
    <row r="12" spans="1:17" x14ac:dyDescent="0.3">
      <c r="A12" s="20" t="s">
        <v>101</v>
      </c>
      <c r="B12">
        <v>159</v>
      </c>
      <c r="I12">
        <f t="shared" si="0"/>
        <v>39.330000000000013</v>
      </c>
      <c r="J12" t="s">
        <v>101</v>
      </c>
      <c r="K12">
        <v>119.66999999999999</v>
      </c>
      <c r="M12" t="s">
        <v>3833</v>
      </c>
      <c r="N12" t="s">
        <v>3867</v>
      </c>
      <c r="O12" t="s">
        <v>3868</v>
      </c>
      <c r="P12" t="s">
        <v>3869</v>
      </c>
      <c r="Q12" t="s">
        <v>3852</v>
      </c>
    </row>
    <row r="13" spans="1:17" x14ac:dyDescent="0.3">
      <c r="A13" t="s">
        <v>402</v>
      </c>
      <c r="B13">
        <v>0</v>
      </c>
      <c r="I13">
        <f t="shared" si="0"/>
        <v>-34</v>
      </c>
      <c r="J13" t="s">
        <v>402</v>
      </c>
      <c r="K13">
        <v>34</v>
      </c>
      <c r="M13" t="s">
        <v>3870</v>
      </c>
      <c r="N13" t="s">
        <v>3871</v>
      </c>
      <c r="O13" t="s">
        <v>3872</v>
      </c>
      <c r="P13" t="s">
        <v>3873</v>
      </c>
      <c r="Q13" t="s">
        <v>3874</v>
      </c>
    </row>
    <row r="14" spans="1:17" x14ac:dyDescent="0.3">
      <c r="A14" t="s">
        <v>407</v>
      </c>
      <c r="B14">
        <v>0</v>
      </c>
      <c r="I14">
        <f t="shared" si="0"/>
        <v>-3</v>
      </c>
      <c r="J14" t="s">
        <v>407</v>
      </c>
      <c r="K14">
        <v>3</v>
      </c>
      <c r="M14" t="s">
        <v>3875</v>
      </c>
      <c r="N14" t="s">
        <v>3876</v>
      </c>
      <c r="O14" t="s">
        <v>3877</v>
      </c>
    </row>
    <row r="15" spans="1:17" x14ac:dyDescent="0.3">
      <c r="A15" s="20" t="s">
        <v>113</v>
      </c>
      <c r="B15">
        <v>96</v>
      </c>
      <c r="D15" t="s">
        <v>4023</v>
      </c>
      <c r="E15" t="s">
        <v>4023</v>
      </c>
      <c r="F15" t="s">
        <v>4023</v>
      </c>
      <c r="G15" t="s">
        <v>4023</v>
      </c>
      <c r="I15">
        <f t="shared" si="0"/>
        <v>1.7799999999999869</v>
      </c>
      <c r="J15" t="s">
        <v>113</v>
      </c>
      <c r="K15">
        <v>94.220000000000013</v>
      </c>
      <c r="M15" t="s">
        <v>3833</v>
      </c>
      <c r="N15" t="s">
        <v>3878</v>
      </c>
      <c r="O15" t="s">
        <v>3879</v>
      </c>
      <c r="P15" t="s">
        <v>3880</v>
      </c>
      <c r="Q15" t="s">
        <v>3881</v>
      </c>
    </row>
    <row r="16" spans="1:17" x14ac:dyDescent="0.3">
      <c r="A16" t="s">
        <v>132</v>
      </c>
      <c r="B16">
        <v>0</v>
      </c>
      <c r="I16">
        <f t="shared" si="0"/>
        <v>-195.04000000000002</v>
      </c>
      <c r="J16" t="s">
        <v>132</v>
      </c>
      <c r="K16">
        <v>195.04000000000002</v>
      </c>
      <c r="M16" t="s">
        <v>3882</v>
      </c>
      <c r="N16" t="s">
        <v>3883</v>
      </c>
      <c r="O16" t="s">
        <v>3884</v>
      </c>
      <c r="P16" t="s">
        <v>3885</v>
      </c>
      <c r="Q16" t="s">
        <v>3886</v>
      </c>
    </row>
    <row r="17" spans="1:17" x14ac:dyDescent="0.3">
      <c r="A17" s="20" t="s">
        <v>134</v>
      </c>
      <c r="B17">
        <v>142</v>
      </c>
      <c r="I17">
        <f t="shared" si="0"/>
        <v>8.7299999999999898</v>
      </c>
      <c r="J17" t="s">
        <v>134</v>
      </c>
      <c r="K17">
        <v>133.27000000000001</v>
      </c>
      <c r="M17" t="s">
        <v>3887</v>
      </c>
      <c r="N17" t="s">
        <v>3888</v>
      </c>
      <c r="O17" t="s">
        <v>3889</v>
      </c>
      <c r="P17" t="s">
        <v>3890</v>
      </c>
      <c r="Q17" t="s">
        <v>3891</v>
      </c>
    </row>
    <row r="18" spans="1:17" x14ac:dyDescent="0.3">
      <c r="A18" s="20" t="s">
        <v>150</v>
      </c>
      <c r="B18">
        <v>142.19999999999999</v>
      </c>
      <c r="D18" t="s">
        <v>3810</v>
      </c>
      <c r="E18" t="s">
        <v>3810</v>
      </c>
      <c r="F18" t="s">
        <v>3810</v>
      </c>
      <c r="G18" t="s">
        <v>3810</v>
      </c>
      <c r="I18">
        <f t="shared" si="0"/>
        <v>-8.8199999999999932</v>
      </c>
      <c r="J18" t="s">
        <v>150</v>
      </c>
      <c r="K18">
        <v>151.01999999999998</v>
      </c>
      <c r="M18" t="s">
        <v>3892</v>
      </c>
      <c r="N18" t="s">
        <v>3893</v>
      </c>
      <c r="O18" t="s">
        <v>3894</v>
      </c>
      <c r="P18" t="s">
        <v>3895</v>
      </c>
      <c r="Q18" t="s">
        <v>3896</v>
      </c>
    </row>
    <row r="19" spans="1:17" x14ac:dyDescent="0.3">
      <c r="A19" s="20" t="s">
        <v>164</v>
      </c>
      <c r="B19">
        <v>120</v>
      </c>
      <c r="D19" t="s">
        <v>3811</v>
      </c>
      <c r="F19" t="s">
        <v>3812</v>
      </c>
      <c r="I19">
        <f t="shared" si="0"/>
        <v>62.760000000000019</v>
      </c>
      <c r="J19" t="s">
        <v>164</v>
      </c>
      <c r="K19">
        <v>57.239999999999981</v>
      </c>
      <c r="M19" t="s">
        <v>3897</v>
      </c>
      <c r="N19" t="s">
        <v>3898</v>
      </c>
      <c r="O19" t="s">
        <v>3899</v>
      </c>
      <c r="P19" t="s">
        <v>3900</v>
      </c>
      <c r="Q19" t="s">
        <v>3852</v>
      </c>
    </row>
    <row r="20" spans="1:17" x14ac:dyDescent="0.3">
      <c r="A20" s="20" t="s">
        <v>169</v>
      </c>
      <c r="B20">
        <v>152</v>
      </c>
      <c r="I20">
        <f t="shared" si="0"/>
        <v>-3.4199999999999875</v>
      </c>
      <c r="J20" t="s">
        <v>169</v>
      </c>
      <c r="K20">
        <v>155.41999999999999</v>
      </c>
      <c r="M20" t="s">
        <v>3833</v>
      </c>
      <c r="N20" t="s">
        <v>3901</v>
      </c>
      <c r="O20" t="s">
        <v>3902</v>
      </c>
      <c r="P20" t="s">
        <v>3903</v>
      </c>
      <c r="Q20" t="s">
        <v>3904</v>
      </c>
    </row>
    <row r="21" spans="1:17" x14ac:dyDescent="0.3">
      <c r="A21" t="s">
        <v>172</v>
      </c>
      <c r="B21">
        <v>0</v>
      </c>
      <c r="I21">
        <f t="shared" si="0"/>
        <v>-56.04</v>
      </c>
      <c r="J21" t="s">
        <v>172</v>
      </c>
      <c r="K21">
        <v>56.04</v>
      </c>
      <c r="M21" t="s">
        <v>3905</v>
      </c>
      <c r="N21" t="s">
        <v>3906</v>
      </c>
      <c r="O21" t="s">
        <v>3907</v>
      </c>
      <c r="P21" t="s">
        <v>3908</v>
      </c>
    </row>
    <row r="22" spans="1:17" x14ac:dyDescent="0.3">
      <c r="A22" s="20" t="s">
        <v>175</v>
      </c>
      <c r="B22">
        <v>147.5</v>
      </c>
      <c r="D22" t="s">
        <v>3811</v>
      </c>
      <c r="E22" t="s">
        <v>3813</v>
      </c>
      <c r="F22" t="s">
        <v>3814</v>
      </c>
      <c r="G22" t="s">
        <v>3815</v>
      </c>
      <c r="I22">
        <f t="shared" si="0"/>
        <v>5.6099999999999852</v>
      </c>
      <c r="J22" t="s">
        <v>175</v>
      </c>
      <c r="K22">
        <v>141.89000000000001</v>
      </c>
      <c r="M22" t="s">
        <v>3833</v>
      </c>
      <c r="N22" t="s">
        <v>3909</v>
      </c>
      <c r="O22" t="s">
        <v>3910</v>
      </c>
      <c r="P22" t="s">
        <v>3911</v>
      </c>
      <c r="Q22" t="s">
        <v>3912</v>
      </c>
    </row>
    <row r="23" spans="1:17" x14ac:dyDescent="0.3">
      <c r="A23" t="s">
        <v>188</v>
      </c>
      <c r="B23">
        <v>0</v>
      </c>
      <c r="I23">
        <f t="shared" si="0"/>
        <v>-168</v>
      </c>
      <c r="J23" t="s">
        <v>188</v>
      </c>
      <c r="K23">
        <v>168</v>
      </c>
      <c r="M23" t="s">
        <v>3833</v>
      </c>
      <c r="N23" t="s">
        <v>3852</v>
      </c>
      <c r="O23" t="s">
        <v>3852</v>
      </c>
      <c r="P23" t="s">
        <v>3852</v>
      </c>
      <c r="Q23" t="s">
        <v>3852</v>
      </c>
    </row>
    <row r="24" spans="1:17" x14ac:dyDescent="0.3">
      <c r="A24" s="20" t="s">
        <v>190</v>
      </c>
      <c r="B24">
        <v>0</v>
      </c>
      <c r="I24">
        <f t="shared" si="0"/>
        <v>0</v>
      </c>
      <c r="J24" t="s">
        <v>190</v>
      </c>
      <c r="K24">
        <v>0</v>
      </c>
      <c r="M24" t="s">
        <v>3833</v>
      </c>
      <c r="N24" t="s">
        <v>3852</v>
      </c>
      <c r="O24" t="s">
        <v>3852</v>
      </c>
      <c r="P24" t="s">
        <v>3852</v>
      </c>
      <c r="Q24" t="s">
        <v>3852</v>
      </c>
    </row>
    <row r="25" spans="1:17" x14ac:dyDescent="0.3">
      <c r="A25" t="s">
        <v>191</v>
      </c>
      <c r="B25">
        <v>0</v>
      </c>
      <c r="I25">
        <f t="shared" si="0"/>
        <v>-168</v>
      </c>
      <c r="J25" t="s">
        <v>191</v>
      </c>
      <c r="K25">
        <v>168</v>
      </c>
      <c r="M25" t="s">
        <v>3833</v>
      </c>
      <c r="N25" t="s">
        <v>3852</v>
      </c>
      <c r="O25" t="s">
        <v>3852</v>
      </c>
      <c r="P25" t="s">
        <v>3852</v>
      </c>
      <c r="Q25" t="s">
        <v>3852</v>
      </c>
    </row>
    <row r="26" spans="1:17" x14ac:dyDescent="0.3">
      <c r="A26" t="s">
        <v>193</v>
      </c>
      <c r="B26">
        <v>0</v>
      </c>
      <c r="I26">
        <f t="shared" si="0"/>
        <v>-150.51000000000002</v>
      </c>
      <c r="J26" t="s">
        <v>193</v>
      </c>
      <c r="K26">
        <v>150.51000000000002</v>
      </c>
      <c r="M26" t="s">
        <v>3913</v>
      </c>
      <c r="N26" t="s">
        <v>3914</v>
      </c>
      <c r="O26" t="s">
        <v>3915</v>
      </c>
      <c r="P26" t="s">
        <v>3916</v>
      </c>
      <c r="Q26" t="s">
        <v>3917</v>
      </c>
    </row>
    <row r="27" spans="1:17" x14ac:dyDescent="0.3">
      <c r="A27" t="s">
        <v>212</v>
      </c>
      <c r="B27">
        <v>0</v>
      </c>
      <c r="I27">
        <f t="shared" si="0"/>
        <v>-168.17999999999998</v>
      </c>
      <c r="J27" t="s">
        <v>212</v>
      </c>
      <c r="K27">
        <v>168.17999999999998</v>
      </c>
      <c r="M27" t="s">
        <v>3833</v>
      </c>
      <c r="N27" t="s">
        <v>3918</v>
      </c>
      <c r="O27" t="s">
        <v>3919</v>
      </c>
      <c r="P27" t="s">
        <v>3920</v>
      </c>
      <c r="Q27" t="s">
        <v>3852</v>
      </c>
    </row>
    <row r="28" spans="1:17" x14ac:dyDescent="0.3">
      <c r="A28" t="s">
        <v>498</v>
      </c>
      <c r="B28">
        <v>0</v>
      </c>
      <c r="I28">
        <f t="shared" si="0"/>
        <v>-107.5</v>
      </c>
      <c r="J28" t="s">
        <v>498</v>
      </c>
      <c r="K28">
        <v>107.5</v>
      </c>
      <c r="M28" t="s">
        <v>3921</v>
      </c>
      <c r="N28" t="s">
        <v>3922</v>
      </c>
      <c r="O28" t="s">
        <v>3923</v>
      </c>
      <c r="P28" t="s">
        <v>3924</v>
      </c>
      <c r="Q28" t="s">
        <v>3925</v>
      </c>
    </row>
    <row r="29" spans="1:17" x14ac:dyDescent="0.3">
      <c r="A29" s="20" t="s">
        <v>240</v>
      </c>
      <c r="B29">
        <v>160</v>
      </c>
      <c r="I29">
        <f t="shared" si="0"/>
        <v>2.3900000000000148</v>
      </c>
      <c r="J29" t="s">
        <v>240</v>
      </c>
      <c r="K29">
        <v>157.60999999999999</v>
      </c>
      <c r="M29" t="s">
        <v>3926</v>
      </c>
      <c r="N29" t="s">
        <v>3927</v>
      </c>
      <c r="O29" t="s">
        <v>3928</v>
      </c>
      <c r="P29" t="s">
        <v>3929</v>
      </c>
      <c r="Q29" t="s">
        <v>3930</v>
      </c>
    </row>
    <row r="30" spans="1:17" x14ac:dyDescent="0.3">
      <c r="A30" t="s">
        <v>245</v>
      </c>
      <c r="B30">
        <v>0</v>
      </c>
      <c r="I30">
        <f t="shared" si="0"/>
        <v>-10.15</v>
      </c>
      <c r="J30" t="s">
        <v>245</v>
      </c>
      <c r="K30">
        <v>10.15</v>
      </c>
      <c r="M30" t="s">
        <v>3931</v>
      </c>
      <c r="N30" t="s">
        <v>3932</v>
      </c>
      <c r="O30" t="s">
        <v>3933</v>
      </c>
      <c r="P30" t="s">
        <v>3934</v>
      </c>
    </row>
    <row r="31" spans="1:17" x14ac:dyDescent="0.3">
      <c r="A31" s="20" t="s">
        <v>249</v>
      </c>
      <c r="B31">
        <v>68</v>
      </c>
      <c r="D31" t="s">
        <v>3816</v>
      </c>
      <c r="E31" t="s">
        <v>3816</v>
      </c>
      <c r="F31" t="s">
        <v>3816</v>
      </c>
      <c r="G31" t="s">
        <v>3816</v>
      </c>
      <c r="I31">
        <f t="shared" si="0"/>
        <v>-27.769999999999996</v>
      </c>
      <c r="J31" t="s">
        <v>249</v>
      </c>
      <c r="K31">
        <v>95.77</v>
      </c>
      <c r="M31" t="s">
        <v>3833</v>
      </c>
      <c r="N31" t="s">
        <v>3852</v>
      </c>
      <c r="O31" t="s">
        <v>3852</v>
      </c>
      <c r="P31" t="s">
        <v>3852</v>
      </c>
      <c r="Q31" t="s">
        <v>3852</v>
      </c>
    </row>
    <row r="32" spans="1:17" x14ac:dyDescent="0.3">
      <c r="A32" t="s">
        <v>256</v>
      </c>
      <c r="B32">
        <v>0</v>
      </c>
      <c r="I32">
        <f t="shared" si="0"/>
        <v>-94.14</v>
      </c>
      <c r="J32" t="s">
        <v>256</v>
      </c>
      <c r="K32">
        <v>94.14</v>
      </c>
      <c r="M32" t="s">
        <v>3845</v>
      </c>
      <c r="N32" t="s">
        <v>3935</v>
      </c>
      <c r="O32" t="s">
        <v>3936</v>
      </c>
      <c r="P32" t="s">
        <v>3937</v>
      </c>
    </row>
    <row r="33" spans="1:17" x14ac:dyDescent="0.3">
      <c r="A33" s="20" t="s">
        <v>262</v>
      </c>
      <c r="B33">
        <v>130.75</v>
      </c>
      <c r="D33" t="s">
        <v>3817</v>
      </c>
      <c r="E33" t="s">
        <v>3817</v>
      </c>
      <c r="F33" t="s">
        <v>3817</v>
      </c>
      <c r="G33" t="s">
        <v>3817</v>
      </c>
      <c r="I33">
        <f t="shared" si="0"/>
        <v>1.6100000000000136</v>
      </c>
      <c r="J33" t="s">
        <v>262</v>
      </c>
      <c r="K33">
        <v>129.13999999999999</v>
      </c>
      <c r="M33" t="s">
        <v>3938</v>
      </c>
      <c r="N33" t="s">
        <v>3939</v>
      </c>
      <c r="O33" t="s">
        <v>3940</v>
      </c>
      <c r="P33" t="s">
        <v>3941</v>
      </c>
      <c r="Q33" t="s">
        <v>3942</v>
      </c>
    </row>
    <row r="34" spans="1:17" x14ac:dyDescent="0.3">
      <c r="A34" t="s">
        <v>266</v>
      </c>
      <c r="B34">
        <v>0</v>
      </c>
      <c r="I34">
        <f t="shared" si="0"/>
        <v>-184</v>
      </c>
      <c r="J34" t="s">
        <v>266</v>
      </c>
      <c r="K34">
        <v>184</v>
      </c>
      <c r="M34" t="s">
        <v>3838</v>
      </c>
      <c r="N34" t="s">
        <v>3943</v>
      </c>
      <c r="O34" t="s">
        <v>3944</v>
      </c>
      <c r="P34" t="s">
        <v>3945</v>
      </c>
      <c r="Q34" t="s">
        <v>3946</v>
      </c>
    </row>
    <row r="35" spans="1:17" x14ac:dyDescent="0.3">
      <c r="A35" s="20" t="s">
        <v>269</v>
      </c>
      <c r="B35">
        <v>112</v>
      </c>
      <c r="D35" t="s">
        <v>3818</v>
      </c>
      <c r="E35" t="s">
        <v>3818</v>
      </c>
      <c r="F35" t="s">
        <v>3818</v>
      </c>
      <c r="G35" t="s">
        <v>3818</v>
      </c>
      <c r="I35">
        <f t="shared" si="0"/>
        <v>17.849999999999994</v>
      </c>
      <c r="J35" t="s">
        <v>269</v>
      </c>
      <c r="K35">
        <v>94.15</v>
      </c>
      <c r="M35" t="s">
        <v>3947</v>
      </c>
      <c r="N35" t="s">
        <v>3948</v>
      </c>
      <c r="O35" t="s">
        <v>3949</v>
      </c>
      <c r="P35" t="s">
        <v>3950</v>
      </c>
      <c r="Q35" t="s">
        <v>3951</v>
      </c>
    </row>
    <row r="36" spans="1:17" x14ac:dyDescent="0.3">
      <c r="A36" t="s">
        <v>278</v>
      </c>
      <c r="B36">
        <v>0</v>
      </c>
      <c r="I36">
        <f t="shared" si="0"/>
        <v>-182.27</v>
      </c>
      <c r="J36" t="s">
        <v>278</v>
      </c>
      <c r="K36">
        <v>182.27</v>
      </c>
      <c r="M36" t="s">
        <v>3952</v>
      </c>
      <c r="N36" t="s">
        <v>3953</v>
      </c>
      <c r="O36" t="s">
        <v>3954</v>
      </c>
      <c r="P36" t="s">
        <v>3955</v>
      </c>
      <c r="Q36" t="s">
        <v>3956</v>
      </c>
    </row>
    <row r="37" spans="1:17" x14ac:dyDescent="0.3">
      <c r="A37" t="s">
        <v>286</v>
      </c>
      <c r="B37">
        <v>0</v>
      </c>
      <c r="I37">
        <f t="shared" si="0"/>
        <v>-207</v>
      </c>
      <c r="J37" t="s">
        <v>286</v>
      </c>
      <c r="K37">
        <v>207</v>
      </c>
      <c r="M37" t="s">
        <v>3957</v>
      </c>
      <c r="N37" t="s">
        <v>3958</v>
      </c>
      <c r="O37" t="s">
        <v>3958</v>
      </c>
      <c r="P37" t="s">
        <v>3959</v>
      </c>
      <c r="Q37" t="s">
        <v>3960</v>
      </c>
    </row>
    <row r="38" spans="1:17" x14ac:dyDescent="0.3">
      <c r="A38" s="20" t="s">
        <v>289</v>
      </c>
      <c r="B38">
        <v>104</v>
      </c>
      <c r="D38" t="s">
        <v>3819</v>
      </c>
      <c r="E38" t="s">
        <v>3820</v>
      </c>
      <c r="F38" t="s">
        <v>3819</v>
      </c>
      <c r="G38" t="s">
        <v>3820</v>
      </c>
      <c r="I38">
        <f t="shared" si="0"/>
        <v>18.25</v>
      </c>
      <c r="J38" t="s">
        <v>289</v>
      </c>
      <c r="K38">
        <v>85.75</v>
      </c>
      <c r="M38" t="s">
        <v>3961</v>
      </c>
      <c r="N38" t="s">
        <v>3962</v>
      </c>
      <c r="O38" t="s">
        <v>3963</v>
      </c>
      <c r="P38" t="s">
        <v>3962</v>
      </c>
      <c r="Q38" t="s">
        <v>3964</v>
      </c>
    </row>
    <row r="39" spans="1:17" x14ac:dyDescent="0.3">
      <c r="A39" t="s">
        <v>294</v>
      </c>
      <c r="B39">
        <v>0</v>
      </c>
      <c r="I39">
        <f t="shared" si="0"/>
        <v>-119.97</v>
      </c>
      <c r="J39" t="s">
        <v>294</v>
      </c>
      <c r="K39">
        <v>119.97</v>
      </c>
      <c r="M39" t="s">
        <v>3965</v>
      </c>
      <c r="N39" t="s">
        <v>3966</v>
      </c>
      <c r="O39" t="s">
        <v>3967</v>
      </c>
      <c r="P39" t="s">
        <v>3968</v>
      </c>
      <c r="Q39" t="s">
        <v>3969</v>
      </c>
    </row>
    <row r="40" spans="1:17" x14ac:dyDescent="0.3">
      <c r="A40" s="20" t="s">
        <v>301</v>
      </c>
      <c r="B40">
        <v>145</v>
      </c>
      <c r="E40" t="s">
        <v>3821</v>
      </c>
      <c r="F40" t="s">
        <v>3821</v>
      </c>
      <c r="G40" t="s">
        <v>3821</v>
      </c>
      <c r="I40">
        <f t="shared" si="0"/>
        <v>9.4399999999999693</v>
      </c>
      <c r="J40" t="s">
        <v>301</v>
      </c>
      <c r="K40">
        <v>135.56000000000003</v>
      </c>
      <c r="M40" t="s">
        <v>3970</v>
      </c>
      <c r="N40" t="s">
        <v>3971</v>
      </c>
      <c r="O40" t="s">
        <v>3972</v>
      </c>
      <c r="P40" t="s">
        <v>3973</v>
      </c>
      <c r="Q40" t="s">
        <v>3974</v>
      </c>
    </row>
    <row r="41" spans="1:17" x14ac:dyDescent="0.3">
      <c r="A41" s="20" t="s">
        <v>313</v>
      </c>
      <c r="B41">
        <v>138</v>
      </c>
      <c r="D41" t="s">
        <v>3822</v>
      </c>
      <c r="E41" t="s">
        <v>3822</v>
      </c>
      <c r="F41" t="s">
        <v>3822</v>
      </c>
      <c r="G41" t="s">
        <v>3822</v>
      </c>
      <c r="I41">
        <f t="shared" si="0"/>
        <v>-25.819999999999993</v>
      </c>
      <c r="J41" t="s">
        <v>313</v>
      </c>
      <c r="K41">
        <v>163.82</v>
      </c>
      <c r="M41" t="s">
        <v>3975</v>
      </c>
      <c r="N41" t="s">
        <v>3976</v>
      </c>
      <c r="O41" t="s">
        <v>3977</v>
      </c>
      <c r="P41" t="s">
        <v>3978</v>
      </c>
      <c r="Q41" t="s">
        <v>3979</v>
      </c>
    </row>
    <row r="42" spans="1:17" x14ac:dyDescent="0.3">
      <c r="A42" t="s">
        <v>318</v>
      </c>
      <c r="B42">
        <v>0</v>
      </c>
      <c r="I42">
        <f t="shared" si="0"/>
        <v>-181.95</v>
      </c>
      <c r="J42" t="s">
        <v>318</v>
      </c>
      <c r="K42">
        <v>181.95</v>
      </c>
      <c r="M42" t="s">
        <v>3980</v>
      </c>
      <c r="N42" t="s">
        <v>3981</v>
      </c>
      <c r="O42" t="s">
        <v>3982</v>
      </c>
      <c r="P42" t="s">
        <v>3983</v>
      </c>
      <c r="Q42" t="s">
        <v>3984</v>
      </c>
    </row>
    <row r="43" spans="1:17" x14ac:dyDescent="0.3">
      <c r="A43" s="20" t="s">
        <v>324</v>
      </c>
      <c r="B43">
        <v>160</v>
      </c>
      <c r="I43">
        <f t="shared" si="0"/>
        <v>-14.610000000000014</v>
      </c>
      <c r="J43" t="s">
        <v>324</v>
      </c>
      <c r="K43">
        <v>174.61</v>
      </c>
      <c r="M43" t="s">
        <v>3970</v>
      </c>
      <c r="N43" t="s">
        <v>3985</v>
      </c>
      <c r="O43" t="s">
        <v>3986</v>
      </c>
      <c r="P43" t="s">
        <v>3987</v>
      </c>
      <c r="Q43" t="s">
        <v>3988</v>
      </c>
    </row>
    <row r="44" spans="1:17" x14ac:dyDescent="0.3">
      <c r="A44" t="s">
        <v>328</v>
      </c>
      <c r="B44">
        <v>0</v>
      </c>
      <c r="I44">
        <f t="shared" si="0"/>
        <v>-169.75</v>
      </c>
      <c r="J44" t="s">
        <v>328</v>
      </c>
      <c r="K44">
        <v>169.75</v>
      </c>
      <c r="M44" t="s">
        <v>3833</v>
      </c>
      <c r="N44" t="s">
        <v>3989</v>
      </c>
      <c r="O44" t="s">
        <v>3990</v>
      </c>
      <c r="P44" t="s">
        <v>3991</v>
      </c>
      <c r="Q44" t="s">
        <v>3992</v>
      </c>
    </row>
    <row r="45" spans="1:17" x14ac:dyDescent="0.3">
      <c r="A45" t="s">
        <v>329</v>
      </c>
      <c r="B45">
        <v>0</v>
      </c>
      <c r="I45">
        <f t="shared" si="0"/>
        <v>-15.200000000000001</v>
      </c>
      <c r="J45" t="s">
        <v>329</v>
      </c>
      <c r="K45">
        <v>15.200000000000001</v>
      </c>
      <c r="M45" t="s">
        <v>3993</v>
      </c>
      <c r="N45" t="s">
        <v>3994</v>
      </c>
      <c r="O45" t="s">
        <v>3995</v>
      </c>
      <c r="P45" t="s">
        <v>3996</v>
      </c>
      <c r="Q45" t="s">
        <v>3997</v>
      </c>
    </row>
    <row r="46" spans="1:17" x14ac:dyDescent="0.3">
      <c r="A46" s="20" t="s">
        <v>331</v>
      </c>
      <c r="B46">
        <v>190</v>
      </c>
      <c r="I46">
        <f t="shared" si="0"/>
        <v>68.66</v>
      </c>
      <c r="J46" t="s">
        <v>331</v>
      </c>
      <c r="K46">
        <v>121.34</v>
      </c>
      <c r="M46" t="s">
        <v>3892</v>
      </c>
      <c r="N46" t="s">
        <v>3998</v>
      </c>
      <c r="O46" t="s">
        <v>3999</v>
      </c>
      <c r="P46" t="s">
        <v>4000</v>
      </c>
      <c r="Q46" t="s">
        <v>4001</v>
      </c>
    </row>
    <row r="47" spans="1:17" x14ac:dyDescent="0.3">
      <c r="A47" t="s">
        <v>340</v>
      </c>
      <c r="B47">
        <v>0</v>
      </c>
      <c r="I47">
        <f t="shared" si="0"/>
        <v>-164.77000000000004</v>
      </c>
      <c r="J47" t="s">
        <v>340</v>
      </c>
      <c r="K47">
        <v>164.77000000000004</v>
      </c>
      <c r="M47" t="s">
        <v>4002</v>
      </c>
      <c r="N47" t="s">
        <v>4003</v>
      </c>
      <c r="O47" t="s">
        <v>4004</v>
      </c>
      <c r="P47" t="s">
        <v>4005</v>
      </c>
      <c r="Q47" t="s">
        <v>4006</v>
      </c>
    </row>
    <row r="48" spans="1:17" x14ac:dyDescent="0.3">
      <c r="A48" t="s">
        <v>351</v>
      </c>
      <c r="B48">
        <v>0</v>
      </c>
      <c r="I48">
        <f t="shared" si="0"/>
        <v>-173.03</v>
      </c>
      <c r="J48" t="s">
        <v>351</v>
      </c>
      <c r="K48">
        <v>173.03</v>
      </c>
      <c r="M48" t="s">
        <v>4007</v>
      </c>
      <c r="N48" t="s">
        <v>4008</v>
      </c>
      <c r="O48" t="s">
        <v>4009</v>
      </c>
      <c r="P48" t="s">
        <v>4010</v>
      </c>
      <c r="Q48" t="s">
        <v>3852</v>
      </c>
    </row>
    <row r="49" spans="1:17" x14ac:dyDescent="0.3">
      <c r="A49" t="s">
        <v>355</v>
      </c>
      <c r="B49">
        <v>0</v>
      </c>
      <c r="I49">
        <f t="shared" si="0"/>
        <v>-139.45999999999998</v>
      </c>
      <c r="J49" t="s">
        <v>355</v>
      </c>
      <c r="K49">
        <v>139.45999999999998</v>
      </c>
      <c r="M49" t="s">
        <v>4011</v>
      </c>
      <c r="N49" t="s">
        <v>4012</v>
      </c>
      <c r="O49" t="s">
        <v>4013</v>
      </c>
      <c r="P49" t="s">
        <v>4014</v>
      </c>
      <c r="Q49" t="s">
        <v>4015</v>
      </c>
    </row>
    <row r="52" spans="1:17" x14ac:dyDescent="0.3">
      <c r="A52" s="1" t="s">
        <v>3800</v>
      </c>
      <c r="B52">
        <f>AVERAGE(B2:B49)</f>
        <v>48.942708333333336</v>
      </c>
    </row>
    <row r="55" spans="1:17" x14ac:dyDescent="0.3">
      <c r="L55" s="1"/>
      <c r="M55" s="1"/>
    </row>
    <row r="56" spans="1:17" x14ac:dyDescent="0.3">
      <c r="B56" s="1"/>
      <c r="D56" s="1"/>
      <c r="F56" s="1"/>
      <c r="H56" s="1"/>
      <c r="J56" s="1"/>
    </row>
    <row r="57" spans="1:17" x14ac:dyDescent="0.3">
      <c r="A57" s="1"/>
    </row>
  </sheetData>
  <hyperlinks>
    <hyperlink ref="A2" location="'Aileen Fajardo'!A2" display="Aileen Fajardo" xr:uid="{8FD3FFA8-C7D2-48F3-ABA1-A7B28EF279DC}"/>
    <hyperlink ref="A4" location="'Ann Morei Narag'!A2" display="Ann Morei Narag" xr:uid="{DD42BBEA-0204-4998-B5AB-E63A0001FC86}"/>
    <hyperlink ref="A12" location="'Efleda Reyes'!A2" display="Efleda Reyes" xr:uid="{D5C19D42-F156-42EF-BEE0-C414BC68B29B}"/>
    <hyperlink ref="A15" location="'Franz Xavier Cruz'!A2" display="Franz Xavier Cruz" xr:uid="{9C9D2B50-9313-434D-B9D9-C542CA337219}"/>
    <hyperlink ref="A17" location="'Gerardo Macawile'!A2" display="Gerardo Macawile" xr:uid="{C4B35CBA-2E48-4F07-AC16-5175E403F010}"/>
    <hyperlink ref="A18" location="'Irish Guia Medel'!A2" display="Irish Guia Medel" xr:uid="{62621893-1656-4824-8F25-9AA0CDAE5C96}"/>
    <hyperlink ref="A19" location="'Jennica Felipe'!A2" display="Jennica Felipe" xr:uid="{7ABA7CFC-D92C-403A-A510-262EEF98040C}"/>
    <hyperlink ref="A20" location="'Jeric Rivera'!A2" display="Jeric Rivera" xr:uid="{CD8D3A90-A01A-448A-BF9B-6228DCA21B05}"/>
    <hyperlink ref="A22" location="'Jimwelle Villon'!A2" display="Jimwelle Villon" xr:uid="{95579F93-F8BC-49CD-9B1C-B3B9F35C3708}"/>
    <hyperlink ref="A24" location="'Jordan Martinez'!A2" display="Jordan Martinez" xr:uid="{143BDE01-2455-4A25-A17C-46C2EEB7F58D}"/>
    <hyperlink ref="A29" location="'Lindsay Casero'!A2" display="Lindsay Casero" xr:uid="{8D5437A5-E7FB-42FB-8791-D23D5C5F40CE}"/>
    <hyperlink ref="A31" location="'Ma Angela Ibanez'!A2" display="Ma Angela Ibanez" xr:uid="{9442BBEA-0D1B-4D97-AA83-EB52DFABA6B7}"/>
    <hyperlink ref="A33" location="'Marie Ann Ticzon'!A2" display="Marie Ann Ticzon" xr:uid="{A5FA130D-12C3-42DA-ABF4-14C5A48CC5A0}"/>
    <hyperlink ref="A35" location="'Mary Ann Carpio'!A2" display="Mary Ann Carpio" xr:uid="{5C779F98-400E-4310-99B1-10B200CEFC35}"/>
    <hyperlink ref="A38" location="'Neeti Gambhir'!A2" display="Neeti Gambhir" xr:uid="{B4340AEB-75DB-494B-8372-AF4443A4D08C}"/>
    <hyperlink ref="A40" location="'Princess Halili'!A2" display="Princess Halili" xr:uid="{2CE7CAF3-04BF-4561-A5FB-76E6FAEA1B58}"/>
    <hyperlink ref="A41" location="'Rachele Anne Nicdao'!A2" display="Rachele Anne Nicdao" xr:uid="{57B6BDDB-96A9-4EC4-8D5F-69A4EC3EB8FA}"/>
    <hyperlink ref="A43" location="'Rejie Montemor'!A2" display="Rejie Montemor" xr:uid="{1D244B9F-9354-4B4C-B2AA-6C151F95E188}"/>
    <hyperlink ref="A46" location="'Sarah Angelica Medrano'!A2" display="Sarah Angelica Medrano" xr:uid="{2EC5F9BD-ADD1-475E-A84D-05AFFFF1755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C59DE-7E31-42FF-BFD1-05AEF52EF4C9}">
  <sheetPr codeName="Sheet7"/>
  <dimension ref="A1:Q57"/>
  <sheetViews>
    <sheetView zoomScale="85" zoomScaleNormal="85" workbookViewId="0">
      <selection activeCell="B30" sqref="B30"/>
    </sheetView>
  </sheetViews>
  <sheetFormatPr defaultRowHeight="14.4" x14ac:dyDescent="0.3"/>
  <cols>
    <col min="1" max="1" width="16.109375" bestFit="1" customWidth="1"/>
    <col min="2" max="2" width="11.6640625" customWidth="1"/>
    <col min="3" max="3" width="9.109375" style="16" hidden="1" customWidth="1"/>
    <col min="4" max="4" width="24.6640625" customWidth="1"/>
    <col min="5" max="5" width="27.5546875" customWidth="1"/>
    <col min="6" max="6" width="30" customWidth="1"/>
    <col min="7" max="7" width="29.33203125" customWidth="1"/>
    <col min="9" max="9" width="15.44140625" customWidth="1"/>
    <col min="10" max="11" width="18.109375" customWidth="1"/>
    <col min="12" max="12" width="16" customWidth="1"/>
    <col min="13" max="13" width="42.6640625" customWidth="1"/>
    <col min="14" max="14" width="34.33203125" customWidth="1"/>
    <col min="15" max="15" width="44.109375" customWidth="1"/>
    <col min="16" max="16" width="38.5546875" customWidth="1"/>
    <col min="17" max="17" width="39.44140625" customWidth="1"/>
  </cols>
  <sheetData>
    <row r="1" spans="1:17" ht="34.200000000000003" customHeight="1" thickBot="1" x14ac:dyDescent="0.35">
      <c r="A1" s="39" t="s">
        <v>10</v>
      </c>
      <c r="B1" s="40" t="s">
        <v>11</v>
      </c>
      <c r="C1" s="41" t="s">
        <v>12</v>
      </c>
      <c r="D1" s="42" t="s">
        <v>13</v>
      </c>
      <c r="E1" s="42" t="s">
        <v>14</v>
      </c>
      <c r="F1" s="42" t="s">
        <v>15</v>
      </c>
      <c r="G1" s="43" t="s">
        <v>16</v>
      </c>
      <c r="I1" s="57" t="s">
        <v>7</v>
      </c>
      <c r="J1" s="39" t="s">
        <v>10</v>
      </c>
      <c r="K1" s="40" t="s">
        <v>17</v>
      </c>
      <c r="L1" s="42" t="s">
        <v>12</v>
      </c>
      <c r="M1" s="42" t="s">
        <v>13</v>
      </c>
      <c r="N1" s="42" t="s">
        <v>14</v>
      </c>
      <c r="O1" s="42" t="s">
        <v>15</v>
      </c>
      <c r="P1" s="42" t="s">
        <v>16</v>
      </c>
      <c r="Q1" s="43" t="s">
        <v>18</v>
      </c>
    </row>
    <row r="2" spans="1:17" x14ac:dyDescent="0.3">
      <c r="A2" s="20" t="s">
        <v>28</v>
      </c>
      <c r="B2">
        <v>152.80000000000001</v>
      </c>
      <c r="E2" t="s">
        <v>4020</v>
      </c>
      <c r="F2" t="s">
        <v>4021</v>
      </c>
      <c r="G2" t="s">
        <v>4022</v>
      </c>
      <c r="I2">
        <f t="shared" ref="I2:I49" si="0">B2-K2</f>
        <v>-15.239999999999952</v>
      </c>
      <c r="J2" t="s">
        <v>28</v>
      </c>
      <c r="K2">
        <v>168.03999999999996</v>
      </c>
      <c r="L2" s="16"/>
      <c r="M2" t="s">
        <v>3823</v>
      </c>
      <c r="N2" t="s">
        <v>3824</v>
      </c>
      <c r="O2" t="s">
        <v>3825</v>
      </c>
      <c r="P2" t="s">
        <v>3826</v>
      </c>
      <c r="Q2" t="s">
        <v>3827</v>
      </c>
    </row>
    <row r="3" spans="1:17" x14ac:dyDescent="0.3">
      <c r="A3" t="s">
        <v>64</v>
      </c>
      <c r="B3">
        <v>0</v>
      </c>
      <c r="I3">
        <f t="shared" si="0"/>
        <v>-99.030000000000015</v>
      </c>
      <c r="J3" t="s">
        <v>64</v>
      </c>
      <c r="K3">
        <v>99.030000000000015</v>
      </c>
      <c r="L3" s="16"/>
      <c r="M3" t="s">
        <v>3828</v>
      </c>
      <c r="N3" t="s">
        <v>3829</v>
      </c>
      <c r="O3" t="s">
        <v>3830</v>
      </c>
      <c r="P3" t="s">
        <v>3831</v>
      </c>
      <c r="Q3" t="s">
        <v>3832</v>
      </c>
    </row>
    <row r="4" spans="1:17" x14ac:dyDescent="0.3">
      <c r="A4" s="20" t="s">
        <v>72</v>
      </c>
      <c r="B4">
        <v>160</v>
      </c>
      <c r="I4">
        <f t="shared" si="0"/>
        <v>-9.1299999999999955</v>
      </c>
      <c r="J4" t="s">
        <v>72</v>
      </c>
      <c r="K4">
        <v>169.13</v>
      </c>
      <c r="L4" s="16"/>
      <c r="M4" t="s">
        <v>3833</v>
      </c>
      <c r="N4" t="s">
        <v>3834</v>
      </c>
      <c r="O4" t="s">
        <v>3835</v>
      </c>
      <c r="P4" t="s">
        <v>3836</v>
      </c>
      <c r="Q4" t="s">
        <v>3837</v>
      </c>
    </row>
    <row r="5" spans="1:17" x14ac:dyDescent="0.3">
      <c r="A5" t="s">
        <v>75</v>
      </c>
      <c r="B5">
        <v>0</v>
      </c>
      <c r="I5">
        <f t="shared" si="0"/>
        <v>-132</v>
      </c>
      <c r="J5" t="s">
        <v>75</v>
      </c>
      <c r="K5">
        <v>132</v>
      </c>
      <c r="M5" t="s">
        <v>3838</v>
      </c>
      <c r="N5" t="s">
        <v>3839</v>
      </c>
      <c r="O5" t="s">
        <v>3839</v>
      </c>
      <c r="P5" t="s">
        <v>3840</v>
      </c>
      <c r="Q5" t="s">
        <v>3841</v>
      </c>
    </row>
    <row r="6" spans="1:17" x14ac:dyDescent="0.3">
      <c r="A6" t="s">
        <v>79</v>
      </c>
      <c r="B6">
        <v>0</v>
      </c>
      <c r="I6">
        <f t="shared" si="0"/>
        <v>-163</v>
      </c>
      <c r="J6" t="s">
        <v>79</v>
      </c>
      <c r="K6">
        <v>163</v>
      </c>
      <c r="M6" t="s">
        <v>3833</v>
      </c>
      <c r="N6" t="s">
        <v>3842</v>
      </c>
      <c r="O6" t="s">
        <v>3842</v>
      </c>
      <c r="P6" t="s">
        <v>3843</v>
      </c>
      <c r="Q6" t="s">
        <v>3844</v>
      </c>
    </row>
    <row r="7" spans="1:17" x14ac:dyDescent="0.3">
      <c r="A7" t="s">
        <v>80</v>
      </c>
      <c r="B7">
        <v>0</v>
      </c>
      <c r="I7">
        <f t="shared" si="0"/>
        <v>-131.72999999999999</v>
      </c>
      <c r="J7" t="s">
        <v>80</v>
      </c>
      <c r="K7">
        <v>131.72999999999999</v>
      </c>
      <c r="M7" t="s">
        <v>3845</v>
      </c>
      <c r="N7" t="s">
        <v>3846</v>
      </c>
      <c r="O7" t="s">
        <v>3847</v>
      </c>
      <c r="P7" t="s">
        <v>3848</v>
      </c>
      <c r="Q7" t="s">
        <v>3849</v>
      </c>
    </row>
    <row r="8" spans="1:17" x14ac:dyDescent="0.3">
      <c r="A8" t="s">
        <v>88</v>
      </c>
      <c r="B8">
        <v>0</v>
      </c>
      <c r="I8">
        <f t="shared" si="0"/>
        <v>-175.63</v>
      </c>
      <c r="J8" t="s">
        <v>88</v>
      </c>
      <c r="K8">
        <v>175.63</v>
      </c>
      <c r="M8" t="s">
        <v>3850</v>
      </c>
      <c r="N8" t="s">
        <v>3851</v>
      </c>
      <c r="O8" t="s">
        <v>3852</v>
      </c>
      <c r="P8" t="s">
        <v>3852</v>
      </c>
      <c r="Q8" t="s">
        <v>3852</v>
      </c>
    </row>
    <row r="9" spans="1:17" x14ac:dyDescent="0.3">
      <c r="A9" t="s">
        <v>93</v>
      </c>
      <c r="B9">
        <v>0</v>
      </c>
      <c r="I9">
        <f t="shared" si="0"/>
        <v>-0.27999999999999997</v>
      </c>
      <c r="J9" t="s">
        <v>93</v>
      </c>
      <c r="K9">
        <v>0.27999999999999997</v>
      </c>
      <c r="M9" t="s">
        <v>3853</v>
      </c>
      <c r="N9" t="s">
        <v>3854</v>
      </c>
      <c r="O9" t="s">
        <v>3855</v>
      </c>
      <c r="P9" t="s">
        <v>3856</v>
      </c>
    </row>
    <row r="10" spans="1:17" x14ac:dyDescent="0.3">
      <c r="A10" t="s">
        <v>97</v>
      </c>
      <c r="B10">
        <v>0</v>
      </c>
      <c r="I10">
        <f t="shared" si="0"/>
        <v>-43.5</v>
      </c>
      <c r="J10" t="s">
        <v>97</v>
      </c>
      <c r="K10">
        <v>43.5</v>
      </c>
      <c r="M10" t="s">
        <v>3857</v>
      </c>
      <c r="N10" t="s">
        <v>3858</v>
      </c>
      <c r="O10" t="s">
        <v>3859</v>
      </c>
      <c r="P10" t="s">
        <v>3860</v>
      </c>
      <c r="Q10" t="s">
        <v>3861</v>
      </c>
    </row>
    <row r="11" spans="1:17" x14ac:dyDescent="0.3">
      <c r="A11" t="s">
        <v>99</v>
      </c>
      <c r="B11">
        <v>0</v>
      </c>
      <c r="I11">
        <f t="shared" si="0"/>
        <v>-191.71</v>
      </c>
      <c r="J11" t="s">
        <v>99</v>
      </c>
      <c r="K11">
        <v>191.71</v>
      </c>
      <c r="M11" t="s">
        <v>3862</v>
      </c>
      <c r="N11" t="s">
        <v>3863</v>
      </c>
      <c r="O11" t="s">
        <v>3864</v>
      </c>
      <c r="P11" t="s">
        <v>3865</v>
      </c>
      <c r="Q11" t="s">
        <v>3866</v>
      </c>
    </row>
    <row r="12" spans="1:17" x14ac:dyDescent="0.3">
      <c r="A12" s="20" t="s">
        <v>101</v>
      </c>
      <c r="B12">
        <v>177</v>
      </c>
      <c r="I12">
        <f t="shared" si="0"/>
        <v>8.9900000000000091</v>
      </c>
      <c r="J12" t="s">
        <v>101</v>
      </c>
      <c r="K12">
        <v>168.01</v>
      </c>
      <c r="M12" t="s">
        <v>3833</v>
      </c>
      <c r="N12" t="s">
        <v>3867</v>
      </c>
      <c r="O12" t="s">
        <v>3868</v>
      </c>
      <c r="P12" t="s">
        <v>3869</v>
      </c>
      <c r="Q12" t="s">
        <v>3852</v>
      </c>
    </row>
    <row r="13" spans="1:17" x14ac:dyDescent="0.3">
      <c r="A13" t="s">
        <v>402</v>
      </c>
      <c r="B13">
        <v>0</v>
      </c>
      <c r="I13">
        <f t="shared" si="0"/>
        <v>-34</v>
      </c>
      <c r="J13" t="s">
        <v>402</v>
      </c>
      <c r="K13">
        <v>34</v>
      </c>
      <c r="M13" t="s">
        <v>3870</v>
      </c>
      <c r="N13" t="s">
        <v>3871</v>
      </c>
      <c r="O13" t="s">
        <v>3872</v>
      </c>
      <c r="P13" t="s">
        <v>3873</v>
      </c>
      <c r="Q13" t="s">
        <v>3874</v>
      </c>
    </row>
    <row r="14" spans="1:17" x14ac:dyDescent="0.3">
      <c r="A14" t="s">
        <v>407</v>
      </c>
      <c r="B14">
        <v>0</v>
      </c>
      <c r="I14">
        <f t="shared" si="0"/>
        <v>-3</v>
      </c>
      <c r="J14" t="s">
        <v>407</v>
      </c>
      <c r="K14">
        <v>3</v>
      </c>
      <c r="M14" t="s">
        <v>3875</v>
      </c>
      <c r="N14" t="s">
        <v>3876</v>
      </c>
      <c r="O14" t="s">
        <v>3877</v>
      </c>
    </row>
    <row r="15" spans="1:17" x14ac:dyDescent="0.3">
      <c r="A15" s="20" t="s">
        <v>113</v>
      </c>
      <c r="B15">
        <v>128</v>
      </c>
      <c r="D15" t="s">
        <v>4023</v>
      </c>
      <c r="E15" t="s">
        <v>4023</v>
      </c>
      <c r="F15" t="s">
        <v>4023</v>
      </c>
      <c r="G15" t="s">
        <v>4023</v>
      </c>
      <c r="I15">
        <f t="shared" si="0"/>
        <v>-40.350000000000023</v>
      </c>
      <c r="J15" t="s">
        <v>113</v>
      </c>
      <c r="K15">
        <v>168.35000000000002</v>
      </c>
      <c r="M15" t="s">
        <v>3833</v>
      </c>
      <c r="N15" t="s">
        <v>3878</v>
      </c>
      <c r="O15" t="s">
        <v>3879</v>
      </c>
      <c r="P15" t="s">
        <v>3880</v>
      </c>
      <c r="Q15" t="s">
        <v>3881</v>
      </c>
    </row>
    <row r="16" spans="1:17" x14ac:dyDescent="0.3">
      <c r="A16" t="s">
        <v>132</v>
      </c>
      <c r="B16">
        <v>0</v>
      </c>
      <c r="I16">
        <f t="shared" si="0"/>
        <v>-195.04000000000002</v>
      </c>
      <c r="J16" t="s">
        <v>132</v>
      </c>
      <c r="K16">
        <v>195.04000000000002</v>
      </c>
      <c r="M16" t="s">
        <v>3882</v>
      </c>
      <c r="N16" t="s">
        <v>3883</v>
      </c>
      <c r="O16" t="s">
        <v>3884</v>
      </c>
      <c r="P16" t="s">
        <v>3885</v>
      </c>
      <c r="Q16" t="s">
        <v>3886</v>
      </c>
    </row>
    <row r="17" spans="1:17" x14ac:dyDescent="0.3">
      <c r="A17" s="20" t="s">
        <v>134</v>
      </c>
      <c r="B17">
        <v>160</v>
      </c>
      <c r="I17">
        <f t="shared" si="0"/>
        <v>-7.9900000000000091</v>
      </c>
      <c r="J17" t="s">
        <v>134</v>
      </c>
      <c r="K17">
        <v>167.99</v>
      </c>
      <c r="M17" t="s">
        <v>3887</v>
      </c>
      <c r="N17" t="s">
        <v>3888</v>
      </c>
      <c r="O17" t="s">
        <v>3889</v>
      </c>
      <c r="P17" t="s">
        <v>3890</v>
      </c>
      <c r="Q17" t="s">
        <v>3891</v>
      </c>
    </row>
    <row r="18" spans="1:17" x14ac:dyDescent="0.3">
      <c r="A18" s="20" t="s">
        <v>150</v>
      </c>
      <c r="B18">
        <v>160.19999999999999</v>
      </c>
      <c r="D18" t="s">
        <v>3810</v>
      </c>
      <c r="E18" t="s">
        <v>3810</v>
      </c>
      <c r="F18" t="s">
        <v>3810</v>
      </c>
      <c r="G18" t="s">
        <v>3810</v>
      </c>
      <c r="I18">
        <f t="shared" si="0"/>
        <v>-16.710000000000008</v>
      </c>
      <c r="J18" t="s">
        <v>150</v>
      </c>
      <c r="K18">
        <v>176.91</v>
      </c>
      <c r="M18" t="s">
        <v>3892</v>
      </c>
      <c r="N18" t="s">
        <v>3893</v>
      </c>
      <c r="O18" t="s">
        <v>3894</v>
      </c>
      <c r="P18" t="s">
        <v>3895</v>
      </c>
      <c r="Q18" t="s">
        <v>3896</v>
      </c>
    </row>
    <row r="19" spans="1:17" x14ac:dyDescent="0.3">
      <c r="A19" s="20" t="s">
        <v>164</v>
      </c>
      <c r="B19">
        <v>155</v>
      </c>
      <c r="D19" t="s">
        <v>3811</v>
      </c>
      <c r="F19" t="s">
        <v>3812</v>
      </c>
      <c r="I19">
        <f t="shared" si="0"/>
        <v>-14.139999999999986</v>
      </c>
      <c r="J19" t="s">
        <v>164</v>
      </c>
      <c r="K19">
        <v>169.14</v>
      </c>
      <c r="M19" t="s">
        <v>3897</v>
      </c>
      <c r="N19" t="s">
        <v>3898</v>
      </c>
      <c r="O19" t="s">
        <v>3899</v>
      </c>
      <c r="P19" t="s">
        <v>3900</v>
      </c>
      <c r="Q19" t="s">
        <v>3852</v>
      </c>
    </row>
    <row r="20" spans="1:17" x14ac:dyDescent="0.3">
      <c r="A20" s="20" t="s">
        <v>169</v>
      </c>
      <c r="B20">
        <v>163</v>
      </c>
      <c r="I20">
        <f t="shared" si="0"/>
        <v>-5.7599999999999909</v>
      </c>
      <c r="J20" t="s">
        <v>169</v>
      </c>
      <c r="K20">
        <v>168.76</v>
      </c>
      <c r="M20" t="s">
        <v>3833</v>
      </c>
      <c r="N20" t="s">
        <v>3901</v>
      </c>
      <c r="O20" t="s">
        <v>3902</v>
      </c>
      <c r="P20" t="s">
        <v>3903</v>
      </c>
      <c r="Q20" t="s">
        <v>3904</v>
      </c>
    </row>
    <row r="21" spans="1:17" x14ac:dyDescent="0.3">
      <c r="A21" t="s">
        <v>172</v>
      </c>
      <c r="B21">
        <v>0</v>
      </c>
      <c r="I21">
        <f t="shared" si="0"/>
        <v>-56.04</v>
      </c>
      <c r="J21" t="s">
        <v>172</v>
      </c>
      <c r="K21">
        <v>56.04</v>
      </c>
      <c r="M21" t="s">
        <v>3905</v>
      </c>
      <c r="N21" t="s">
        <v>3906</v>
      </c>
      <c r="O21" t="s">
        <v>3907</v>
      </c>
      <c r="P21" t="s">
        <v>3908</v>
      </c>
    </row>
    <row r="22" spans="1:17" x14ac:dyDescent="0.3">
      <c r="A22" s="20" t="s">
        <v>175</v>
      </c>
      <c r="B22">
        <v>155.5</v>
      </c>
      <c r="D22" t="s">
        <v>3811</v>
      </c>
      <c r="E22" t="s">
        <v>3813</v>
      </c>
      <c r="F22" t="s">
        <v>3814</v>
      </c>
      <c r="G22" t="s">
        <v>3815</v>
      </c>
      <c r="I22">
        <f t="shared" si="0"/>
        <v>-13.930000000000007</v>
      </c>
      <c r="J22" t="s">
        <v>175</v>
      </c>
      <c r="K22">
        <v>169.43</v>
      </c>
      <c r="M22" t="s">
        <v>3833</v>
      </c>
      <c r="N22" t="s">
        <v>3909</v>
      </c>
      <c r="O22" t="s">
        <v>3910</v>
      </c>
      <c r="P22" t="s">
        <v>3911</v>
      </c>
      <c r="Q22" t="s">
        <v>3912</v>
      </c>
    </row>
    <row r="23" spans="1:17" x14ac:dyDescent="0.3">
      <c r="A23" t="s">
        <v>188</v>
      </c>
      <c r="B23">
        <v>0</v>
      </c>
      <c r="I23">
        <f t="shared" si="0"/>
        <v>-168</v>
      </c>
      <c r="J23" t="s">
        <v>188</v>
      </c>
      <c r="K23">
        <v>168</v>
      </c>
      <c r="M23" t="s">
        <v>3833</v>
      </c>
      <c r="N23" t="s">
        <v>3852</v>
      </c>
      <c r="O23" t="s">
        <v>3852</v>
      </c>
      <c r="P23" t="s">
        <v>3852</v>
      </c>
      <c r="Q23" t="s">
        <v>3852</v>
      </c>
    </row>
    <row r="24" spans="1:17" x14ac:dyDescent="0.3">
      <c r="A24" s="20" t="s">
        <v>190</v>
      </c>
      <c r="B24">
        <v>160</v>
      </c>
      <c r="I24">
        <f t="shared" si="0"/>
        <v>-8</v>
      </c>
      <c r="J24" t="s">
        <v>190</v>
      </c>
      <c r="K24">
        <v>168</v>
      </c>
      <c r="M24" t="s">
        <v>3833</v>
      </c>
      <c r="N24" t="s">
        <v>3852</v>
      </c>
      <c r="O24" t="s">
        <v>3852</v>
      </c>
      <c r="P24" t="s">
        <v>3852</v>
      </c>
      <c r="Q24" t="s">
        <v>3852</v>
      </c>
    </row>
    <row r="25" spans="1:17" x14ac:dyDescent="0.3">
      <c r="A25" t="s">
        <v>191</v>
      </c>
      <c r="B25">
        <v>0</v>
      </c>
      <c r="I25">
        <f t="shared" si="0"/>
        <v>-168</v>
      </c>
      <c r="J25" t="s">
        <v>191</v>
      </c>
      <c r="K25">
        <v>168</v>
      </c>
      <c r="M25" t="s">
        <v>3833</v>
      </c>
      <c r="N25" t="s">
        <v>3852</v>
      </c>
      <c r="O25" t="s">
        <v>3852</v>
      </c>
      <c r="P25" t="s">
        <v>3852</v>
      </c>
      <c r="Q25" t="s">
        <v>3852</v>
      </c>
    </row>
    <row r="26" spans="1:17" x14ac:dyDescent="0.3">
      <c r="A26" t="s">
        <v>193</v>
      </c>
      <c r="B26">
        <v>0</v>
      </c>
      <c r="I26">
        <f t="shared" si="0"/>
        <v>-150.51000000000002</v>
      </c>
      <c r="J26" t="s">
        <v>193</v>
      </c>
      <c r="K26">
        <v>150.51000000000002</v>
      </c>
      <c r="M26" t="s">
        <v>3913</v>
      </c>
      <c r="N26" t="s">
        <v>3914</v>
      </c>
      <c r="O26" t="s">
        <v>3915</v>
      </c>
      <c r="P26" t="s">
        <v>3916</v>
      </c>
      <c r="Q26" t="s">
        <v>3917</v>
      </c>
    </row>
    <row r="27" spans="1:17" x14ac:dyDescent="0.3">
      <c r="A27" t="s">
        <v>212</v>
      </c>
      <c r="B27">
        <v>0</v>
      </c>
      <c r="I27">
        <f t="shared" si="0"/>
        <v>-168.17999999999998</v>
      </c>
      <c r="J27" t="s">
        <v>212</v>
      </c>
      <c r="K27">
        <v>168.17999999999998</v>
      </c>
      <c r="M27" t="s">
        <v>3833</v>
      </c>
      <c r="N27" t="s">
        <v>3918</v>
      </c>
      <c r="O27" t="s">
        <v>3919</v>
      </c>
      <c r="P27" t="s">
        <v>3920</v>
      </c>
      <c r="Q27" t="s">
        <v>3852</v>
      </c>
    </row>
    <row r="28" spans="1:17" x14ac:dyDescent="0.3">
      <c r="A28" t="s">
        <v>498</v>
      </c>
      <c r="B28">
        <v>0</v>
      </c>
      <c r="I28">
        <f t="shared" si="0"/>
        <v>-107.5</v>
      </c>
      <c r="J28" t="s">
        <v>498</v>
      </c>
      <c r="K28">
        <v>107.5</v>
      </c>
      <c r="M28" t="s">
        <v>3921</v>
      </c>
      <c r="N28" t="s">
        <v>3922</v>
      </c>
      <c r="O28" t="s">
        <v>3923</v>
      </c>
      <c r="P28" t="s">
        <v>3924</v>
      </c>
      <c r="Q28" t="s">
        <v>3925</v>
      </c>
    </row>
    <row r="29" spans="1:17" x14ac:dyDescent="0.3">
      <c r="A29" s="20" t="s">
        <v>240</v>
      </c>
      <c r="B29">
        <v>160</v>
      </c>
      <c r="I29">
        <f t="shared" si="0"/>
        <v>-21.899999999999977</v>
      </c>
      <c r="J29" t="s">
        <v>240</v>
      </c>
      <c r="K29">
        <v>181.89999999999998</v>
      </c>
      <c r="M29" t="s">
        <v>3926</v>
      </c>
      <c r="N29" t="s">
        <v>3927</v>
      </c>
      <c r="O29" t="s">
        <v>3928</v>
      </c>
      <c r="P29" t="s">
        <v>3929</v>
      </c>
      <c r="Q29" t="s">
        <v>3930</v>
      </c>
    </row>
    <row r="30" spans="1:17" x14ac:dyDescent="0.3">
      <c r="A30" t="s">
        <v>245</v>
      </c>
      <c r="B30">
        <v>0</v>
      </c>
      <c r="I30">
        <f t="shared" si="0"/>
        <v>-10.15</v>
      </c>
      <c r="J30" t="s">
        <v>245</v>
      </c>
      <c r="K30">
        <v>10.15</v>
      </c>
      <c r="M30" t="s">
        <v>3931</v>
      </c>
      <c r="N30" t="s">
        <v>3932</v>
      </c>
      <c r="O30" t="s">
        <v>3933</v>
      </c>
      <c r="P30" t="s">
        <v>3934</v>
      </c>
    </row>
    <row r="31" spans="1:17" x14ac:dyDescent="0.3">
      <c r="A31" s="20" t="s">
        <v>249</v>
      </c>
      <c r="B31">
        <v>118</v>
      </c>
      <c r="D31" t="s">
        <v>3816</v>
      </c>
      <c r="E31" t="s">
        <v>3816</v>
      </c>
      <c r="F31" t="s">
        <v>3816</v>
      </c>
      <c r="G31" t="s">
        <v>3816</v>
      </c>
      <c r="I31">
        <f t="shared" si="0"/>
        <v>-50</v>
      </c>
      <c r="J31" t="s">
        <v>249</v>
      </c>
      <c r="K31">
        <v>168</v>
      </c>
      <c r="M31" t="s">
        <v>3833</v>
      </c>
      <c r="N31" t="s">
        <v>3852</v>
      </c>
      <c r="O31" t="s">
        <v>3852</v>
      </c>
      <c r="P31" t="s">
        <v>3852</v>
      </c>
      <c r="Q31" t="s">
        <v>3852</v>
      </c>
    </row>
    <row r="32" spans="1:17" x14ac:dyDescent="0.3">
      <c r="A32" t="s">
        <v>256</v>
      </c>
      <c r="B32">
        <v>0</v>
      </c>
      <c r="I32">
        <f t="shared" si="0"/>
        <v>-94.14</v>
      </c>
      <c r="J32" t="s">
        <v>256</v>
      </c>
      <c r="K32">
        <v>94.14</v>
      </c>
      <c r="M32" t="s">
        <v>3845</v>
      </c>
      <c r="N32" t="s">
        <v>3935</v>
      </c>
      <c r="O32" t="s">
        <v>3936</v>
      </c>
      <c r="P32" t="s">
        <v>3937</v>
      </c>
    </row>
    <row r="33" spans="1:17" x14ac:dyDescent="0.3">
      <c r="A33" s="20" t="s">
        <v>262</v>
      </c>
      <c r="B33">
        <v>130.75</v>
      </c>
      <c r="D33" t="s">
        <v>3817</v>
      </c>
      <c r="E33" t="s">
        <v>3817</v>
      </c>
      <c r="F33" t="s">
        <v>3817</v>
      </c>
      <c r="G33" t="s">
        <v>3817</v>
      </c>
      <c r="I33">
        <f t="shared" si="0"/>
        <v>-37.519999999999982</v>
      </c>
      <c r="J33" t="s">
        <v>262</v>
      </c>
      <c r="K33">
        <v>168.26999999999998</v>
      </c>
      <c r="M33" t="s">
        <v>3938</v>
      </c>
      <c r="N33" t="s">
        <v>3939</v>
      </c>
      <c r="O33" t="s">
        <v>3940</v>
      </c>
      <c r="P33" t="s">
        <v>3941</v>
      </c>
      <c r="Q33" t="s">
        <v>3942</v>
      </c>
    </row>
    <row r="34" spans="1:17" x14ac:dyDescent="0.3">
      <c r="A34" t="s">
        <v>266</v>
      </c>
      <c r="B34">
        <v>0</v>
      </c>
      <c r="I34">
        <f t="shared" si="0"/>
        <v>-184</v>
      </c>
      <c r="J34" t="s">
        <v>266</v>
      </c>
      <c r="K34">
        <v>184</v>
      </c>
      <c r="M34" t="s">
        <v>3838</v>
      </c>
      <c r="N34" t="s">
        <v>3943</v>
      </c>
      <c r="O34" t="s">
        <v>3944</v>
      </c>
      <c r="P34" t="s">
        <v>3945</v>
      </c>
      <c r="Q34" t="s">
        <v>3946</v>
      </c>
    </row>
    <row r="35" spans="1:17" x14ac:dyDescent="0.3">
      <c r="A35" s="20" t="s">
        <v>269</v>
      </c>
      <c r="B35">
        <v>130</v>
      </c>
      <c r="D35" t="s">
        <v>3818</v>
      </c>
      <c r="E35" t="s">
        <v>3818</v>
      </c>
      <c r="F35" t="s">
        <v>3818</v>
      </c>
      <c r="G35" t="s">
        <v>3818</v>
      </c>
      <c r="I35">
        <f t="shared" si="0"/>
        <v>-39.129999999999995</v>
      </c>
      <c r="J35" t="s">
        <v>269</v>
      </c>
      <c r="K35">
        <v>169.13</v>
      </c>
      <c r="M35" t="s">
        <v>3947</v>
      </c>
      <c r="N35" t="s">
        <v>3948</v>
      </c>
      <c r="O35" t="s">
        <v>3949</v>
      </c>
      <c r="P35" t="s">
        <v>3950</v>
      </c>
      <c r="Q35" t="s">
        <v>3951</v>
      </c>
    </row>
    <row r="36" spans="1:17" x14ac:dyDescent="0.3">
      <c r="A36" t="s">
        <v>278</v>
      </c>
      <c r="B36">
        <v>0</v>
      </c>
      <c r="I36">
        <f t="shared" si="0"/>
        <v>-182.27</v>
      </c>
      <c r="J36" t="s">
        <v>278</v>
      </c>
      <c r="K36">
        <v>182.27</v>
      </c>
      <c r="M36" t="s">
        <v>3952</v>
      </c>
      <c r="N36" t="s">
        <v>3953</v>
      </c>
      <c r="O36" t="s">
        <v>3954</v>
      </c>
      <c r="P36" t="s">
        <v>3955</v>
      </c>
      <c r="Q36" t="s">
        <v>3956</v>
      </c>
    </row>
    <row r="37" spans="1:17" x14ac:dyDescent="0.3">
      <c r="A37" t="s">
        <v>286</v>
      </c>
      <c r="B37">
        <v>0</v>
      </c>
      <c r="I37">
        <f t="shared" si="0"/>
        <v>-207</v>
      </c>
      <c r="J37" t="s">
        <v>286</v>
      </c>
      <c r="K37">
        <v>207</v>
      </c>
      <c r="M37" t="s">
        <v>3957</v>
      </c>
      <c r="N37" t="s">
        <v>3958</v>
      </c>
      <c r="O37" t="s">
        <v>3958</v>
      </c>
      <c r="P37" t="s">
        <v>3959</v>
      </c>
      <c r="Q37" t="s">
        <v>3960</v>
      </c>
    </row>
    <row r="38" spans="1:17" x14ac:dyDescent="0.3">
      <c r="A38" s="20" t="s">
        <v>289</v>
      </c>
      <c r="B38">
        <v>106</v>
      </c>
      <c r="D38" t="s">
        <v>3819</v>
      </c>
      <c r="E38" t="s">
        <v>3820</v>
      </c>
      <c r="F38" t="s">
        <v>3819</v>
      </c>
      <c r="G38" t="s">
        <v>3820</v>
      </c>
      <c r="I38">
        <f t="shared" si="0"/>
        <v>-5</v>
      </c>
      <c r="J38" t="s">
        <v>289</v>
      </c>
      <c r="K38">
        <v>111</v>
      </c>
      <c r="M38" t="s">
        <v>3961</v>
      </c>
      <c r="N38" t="s">
        <v>3962</v>
      </c>
      <c r="O38" t="s">
        <v>3963</v>
      </c>
      <c r="P38" t="s">
        <v>3962</v>
      </c>
      <c r="Q38" t="s">
        <v>3964</v>
      </c>
    </row>
    <row r="39" spans="1:17" x14ac:dyDescent="0.3">
      <c r="A39" t="s">
        <v>294</v>
      </c>
      <c r="B39">
        <v>0</v>
      </c>
      <c r="I39">
        <f t="shared" si="0"/>
        <v>-119.97</v>
      </c>
      <c r="J39" t="s">
        <v>294</v>
      </c>
      <c r="K39">
        <v>119.97</v>
      </c>
      <c r="M39" t="s">
        <v>3965</v>
      </c>
      <c r="N39" t="s">
        <v>3966</v>
      </c>
      <c r="O39" t="s">
        <v>3967</v>
      </c>
      <c r="P39" t="s">
        <v>3968</v>
      </c>
      <c r="Q39" t="s">
        <v>3969</v>
      </c>
    </row>
    <row r="40" spans="1:17" x14ac:dyDescent="0.3">
      <c r="A40" s="20" t="s">
        <v>301</v>
      </c>
      <c r="B40">
        <v>160</v>
      </c>
      <c r="E40" t="s">
        <v>3821</v>
      </c>
      <c r="F40" t="s">
        <v>3821</v>
      </c>
      <c r="G40" t="s">
        <v>3821</v>
      </c>
      <c r="I40">
        <f t="shared" si="0"/>
        <v>-8.9600000000000364</v>
      </c>
      <c r="J40" t="s">
        <v>301</v>
      </c>
      <c r="K40">
        <v>168.96000000000004</v>
      </c>
      <c r="M40" t="s">
        <v>3970</v>
      </c>
      <c r="N40" t="s">
        <v>3971</v>
      </c>
      <c r="O40" t="s">
        <v>3972</v>
      </c>
      <c r="P40" t="s">
        <v>3973</v>
      </c>
      <c r="Q40" t="s">
        <v>3974</v>
      </c>
    </row>
    <row r="41" spans="1:17" x14ac:dyDescent="0.3">
      <c r="A41" s="20" t="s">
        <v>313</v>
      </c>
      <c r="B41">
        <v>138</v>
      </c>
      <c r="D41" t="s">
        <v>3822</v>
      </c>
      <c r="E41" t="s">
        <v>3822</v>
      </c>
      <c r="F41" t="s">
        <v>3822</v>
      </c>
      <c r="G41" t="s">
        <v>3822</v>
      </c>
      <c r="I41">
        <f t="shared" si="0"/>
        <v>-48.299999999999983</v>
      </c>
      <c r="J41" t="s">
        <v>313</v>
      </c>
      <c r="K41">
        <v>186.29999999999998</v>
      </c>
      <c r="M41" t="s">
        <v>3975</v>
      </c>
      <c r="N41" t="s">
        <v>3976</v>
      </c>
      <c r="O41" t="s">
        <v>3977</v>
      </c>
      <c r="P41" t="s">
        <v>3978</v>
      </c>
      <c r="Q41" t="s">
        <v>3979</v>
      </c>
    </row>
    <row r="42" spans="1:17" x14ac:dyDescent="0.3">
      <c r="A42" t="s">
        <v>318</v>
      </c>
      <c r="B42">
        <v>0</v>
      </c>
      <c r="I42">
        <f t="shared" si="0"/>
        <v>-181.95</v>
      </c>
      <c r="J42" t="s">
        <v>318</v>
      </c>
      <c r="K42">
        <v>181.95</v>
      </c>
      <c r="M42" t="s">
        <v>3980</v>
      </c>
      <c r="N42" t="s">
        <v>3981</v>
      </c>
      <c r="O42" t="s">
        <v>3982</v>
      </c>
      <c r="P42" t="s">
        <v>3983</v>
      </c>
      <c r="Q42" t="s">
        <v>3984</v>
      </c>
    </row>
    <row r="43" spans="1:17" x14ac:dyDescent="0.3">
      <c r="A43" s="20" t="s">
        <v>324</v>
      </c>
      <c r="B43">
        <v>160</v>
      </c>
      <c r="I43">
        <f t="shared" si="0"/>
        <v>-26.620000000000005</v>
      </c>
      <c r="J43" t="s">
        <v>324</v>
      </c>
      <c r="K43">
        <v>186.62</v>
      </c>
      <c r="M43" t="s">
        <v>3970</v>
      </c>
      <c r="N43" t="s">
        <v>3985</v>
      </c>
      <c r="O43" t="s">
        <v>3986</v>
      </c>
      <c r="P43" t="s">
        <v>3987</v>
      </c>
      <c r="Q43" t="s">
        <v>3988</v>
      </c>
    </row>
    <row r="44" spans="1:17" x14ac:dyDescent="0.3">
      <c r="A44" t="s">
        <v>328</v>
      </c>
      <c r="B44">
        <v>0</v>
      </c>
      <c r="I44">
        <f t="shared" si="0"/>
        <v>-169.75</v>
      </c>
      <c r="J44" t="s">
        <v>328</v>
      </c>
      <c r="K44">
        <v>169.75</v>
      </c>
      <c r="M44" t="s">
        <v>3833</v>
      </c>
      <c r="N44" t="s">
        <v>3989</v>
      </c>
      <c r="O44" t="s">
        <v>3990</v>
      </c>
      <c r="P44" t="s">
        <v>3991</v>
      </c>
      <c r="Q44" t="s">
        <v>3992</v>
      </c>
    </row>
    <row r="45" spans="1:17" x14ac:dyDescent="0.3">
      <c r="A45" t="s">
        <v>329</v>
      </c>
      <c r="B45">
        <v>0</v>
      </c>
      <c r="I45">
        <f t="shared" si="0"/>
        <v>-15.200000000000001</v>
      </c>
      <c r="J45" t="s">
        <v>329</v>
      </c>
      <c r="K45">
        <v>15.200000000000001</v>
      </c>
      <c r="M45" t="s">
        <v>3993</v>
      </c>
      <c r="N45" t="s">
        <v>3994</v>
      </c>
      <c r="O45" t="s">
        <v>3995</v>
      </c>
      <c r="P45" t="s">
        <v>3996</v>
      </c>
      <c r="Q45" t="s">
        <v>3997</v>
      </c>
    </row>
    <row r="46" spans="1:17" x14ac:dyDescent="0.3">
      <c r="A46" s="20" t="s">
        <v>331</v>
      </c>
      <c r="B46">
        <v>192</v>
      </c>
      <c r="I46">
        <f t="shared" si="0"/>
        <v>20.560000000000002</v>
      </c>
      <c r="J46" t="s">
        <v>331</v>
      </c>
      <c r="K46">
        <v>171.44</v>
      </c>
      <c r="M46" t="s">
        <v>3892</v>
      </c>
      <c r="N46" t="s">
        <v>3998</v>
      </c>
      <c r="O46" t="s">
        <v>3999</v>
      </c>
      <c r="P46" t="s">
        <v>4000</v>
      </c>
      <c r="Q46" t="s">
        <v>4001</v>
      </c>
    </row>
    <row r="47" spans="1:17" x14ac:dyDescent="0.3">
      <c r="A47" t="s">
        <v>340</v>
      </c>
      <c r="B47">
        <v>0</v>
      </c>
      <c r="I47">
        <f t="shared" si="0"/>
        <v>-164.77000000000004</v>
      </c>
      <c r="J47" t="s">
        <v>340</v>
      </c>
      <c r="K47">
        <v>164.77000000000004</v>
      </c>
      <c r="M47" t="s">
        <v>4002</v>
      </c>
      <c r="N47" t="s">
        <v>4003</v>
      </c>
      <c r="O47" t="s">
        <v>4004</v>
      </c>
      <c r="P47" t="s">
        <v>4005</v>
      </c>
      <c r="Q47" t="s">
        <v>4006</v>
      </c>
    </row>
    <row r="48" spans="1:17" x14ac:dyDescent="0.3">
      <c r="A48" t="s">
        <v>351</v>
      </c>
      <c r="B48">
        <v>0</v>
      </c>
      <c r="I48">
        <f t="shared" si="0"/>
        <v>-173.03</v>
      </c>
      <c r="J48" t="s">
        <v>351</v>
      </c>
      <c r="K48">
        <v>173.03</v>
      </c>
      <c r="M48" t="s">
        <v>4007</v>
      </c>
      <c r="N48" t="s">
        <v>4008</v>
      </c>
      <c r="O48" t="s">
        <v>4009</v>
      </c>
      <c r="P48" t="s">
        <v>4010</v>
      </c>
      <c r="Q48" t="s">
        <v>3852</v>
      </c>
    </row>
    <row r="49" spans="1:17" x14ac:dyDescent="0.3">
      <c r="A49" t="s">
        <v>355</v>
      </c>
      <c r="B49">
        <v>0</v>
      </c>
      <c r="I49">
        <f t="shared" si="0"/>
        <v>-139.45999999999998</v>
      </c>
      <c r="J49" t="s">
        <v>355</v>
      </c>
      <c r="K49">
        <v>139.45999999999998</v>
      </c>
      <c r="M49" t="s">
        <v>4011</v>
      </c>
      <c r="N49" t="s">
        <v>4012</v>
      </c>
      <c r="O49" t="s">
        <v>4013</v>
      </c>
      <c r="P49" t="s">
        <v>4014</v>
      </c>
      <c r="Q49" t="s">
        <v>4015</v>
      </c>
    </row>
    <row r="52" spans="1:17" x14ac:dyDescent="0.3">
      <c r="A52" s="1" t="s">
        <v>3800</v>
      </c>
      <c r="B52">
        <f>AVERAGE(B2:B49)</f>
        <v>59.713541666666664</v>
      </c>
    </row>
    <row r="57" spans="1:17" x14ac:dyDescent="0.3">
      <c r="A57" s="1"/>
    </row>
  </sheetData>
  <sortState xmlns:xlrd2="http://schemas.microsoft.com/office/spreadsheetml/2017/richdata2" ref="A2:G21">
    <sortCondition ref="A2"/>
  </sortState>
  <phoneticPr fontId="9" type="noConversion"/>
  <hyperlinks>
    <hyperlink ref="A2" location="'Aileen Fajardo'!A2" display="Aileen Fajardo" xr:uid="{468C4D1C-26AF-42C3-B72A-F5FADD8249AD}"/>
    <hyperlink ref="A4" location="'Ann Morei Narag'!A2" display="Ann Morei Narag" xr:uid="{78A686CF-5D13-4307-AFCA-12219D8527F3}"/>
    <hyperlink ref="A12" location="'Efleda Reyes'!A2" display="Efleda Reyes" xr:uid="{46012763-9DEB-4C0B-8461-4E077B2EDF57}"/>
    <hyperlink ref="A15" location="'Franz Xavier Cruz'!A2" display="Franz Xavier Cruz" xr:uid="{7A0C532B-1F6E-4437-95EC-BE5D4FC9E441}"/>
    <hyperlink ref="A17" location="'Gerardo Macawile'!A2" display="Gerardo Macawile" xr:uid="{59A9B143-D43E-402B-9656-C48460085306}"/>
    <hyperlink ref="A18" location="'Irish Guia Medel'!A2" display="Irish Guia Medel" xr:uid="{302216B7-7082-402A-AB60-038C4B2195E9}"/>
    <hyperlink ref="A19" location="'Jennica Felipe'!A2" display="Jennica Felipe" xr:uid="{9079809F-8C5E-4284-8F9D-A74BBEEE75F5}"/>
    <hyperlink ref="A20" location="'Jeric Rivera'!A2" display="Jeric Rivera" xr:uid="{C8E6B493-0D97-42A6-A52B-ADAC8956E5D2}"/>
    <hyperlink ref="A22" location="'Jimwelle Villon'!A2" display="Jimwelle Villon" xr:uid="{31429DAB-41FE-4510-8EFD-A40B6D912393}"/>
    <hyperlink ref="A24" location="'Jordan Martinez'!A2" display="Jordan Martinez" xr:uid="{05093F5F-2959-427C-BD63-BF7E191D791C}"/>
    <hyperlink ref="A29" location="'Lindsay Casero'!A2" display="Lindsay Casero" xr:uid="{AF00CF36-9E3D-483B-B190-18D9D89549D3}"/>
    <hyperlink ref="A31" location="'Ma Angela Ibanez'!A2" display="Ma Angela Ibanez" xr:uid="{FC41F73F-FF1A-4B72-A7C5-5569E7D04E03}"/>
    <hyperlink ref="A33" location="'Marie Ann Ticzon'!A2" display="Marie Ann Ticzon" xr:uid="{18D24216-7882-4A83-B102-2CA7444065DC}"/>
    <hyperlink ref="A35" location="'Mary Ann Carpio'!A2" display="Mary Ann Carpio" xr:uid="{AD8E437D-7BD1-41B5-94DB-7BF1523D170B}"/>
    <hyperlink ref="A38" location="'Neeti Gambhir'!A2" display="Neeti Gambhir" xr:uid="{32F68BEB-4008-4467-AE96-4BB92E4442BD}"/>
    <hyperlink ref="A40" location="'Princess Halili'!A2" display="Princess Halili" xr:uid="{4FE58B4E-2D7F-4F6C-8AC7-EB7B2F8F341D}"/>
    <hyperlink ref="A41" location="'Rachele Anne Nicdao'!A2" display="Rachele Anne Nicdao" xr:uid="{971C6BD3-185C-42A9-A5D3-D83BF45B6A7F}"/>
    <hyperlink ref="A43" location="'Rejie Montemor'!A2" display="Rejie Montemor" xr:uid="{88F4D322-4F83-4D1D-95A2-99123BF13E4A}"/>
    <hyperlink ref="A46" location="'Sarah Angelica Medrano'!A2" display="Sarah Angelica Medrano" xr:uid="{6F5004E6-8BEF-496F-8114-BC923E99DB1B}"/>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08EE-DCE7-4C20-8A48-0398442B986D}">
  <sheetPr codeName="Sheet1"/>
  <dimension ref="A1:I5503"/>
  <sheetViews>
    <sheetView topLeftCell="A1887" zoomScale="85" zoomScaleNormal="85" workbookViewId="0">
      <selection activeCell="E1910" sqref="E1910"/>
    </sheetView>
  </sheetViews>
  <sheetFormatPr defaultRowHeight="14.4" x14ac:dyDescent="0.3"/>
  <cols>
    <col min="1" max="1" width="33.109375" customWidth="1"/>
    <col min="2" max="2" width="27.88671875" customWidth="1"/>
    <col min="3" max="3" width="39.6640625" bestFit="1" customWidth="1"/>
    <col min="4" max="4" width="20.5546875" bestFit="1" customWidth="1"/>
    <col min="5" max="5" width="44.5546875" bestFit="1" customWidth="1"/>
    <col min="6" max="6" width="13.6640625" bestFit="1" customWidth="1"/>
    <col min="7" max="7" width="47" customWidth="1"/>
    <col min="8" max="8" width="19.109375" customWidth="1"/>
    <col min="9" max="9" width="28.33203125" style="26" customWidth="1"/>
  </cols>
  <sheetData>
    <row r="1" spans="1:9" ht="56.4" customHeight="1" thickBot="1" x14ac:dyDescent="0.35">
      <c r="A1" s="32" t="s">
        <v>19</v>
      </c>
      <c r="B1" s="34" t="s">
        <v>20</v>
      </c>
      <c r="C1" s="34" t="s">
        <v>21</v>
      </c>
      <c r="D1" s="34" t="s">
        <v>22</v>
      </c>
      <c r="E1" s="34" t="s">
        <v>23</v>
      </c>
      <c r="F1" s="34" t="s">
        <v>24</v>
      </c>
      <c r="G1" s="34" t="s">
        <v>25</v>
      </c>
      <c r="H1" s="34" t="s">
        <v>26</v>
      </c>
      <c r="I1" s="54" t="s">
        <v>27</v>
      </c>
    </row>
    <row r="2" spans="1:9" x14ac:dyDescent="0.3">
      <c r="A2" s="24">
        <v>45352</v>
      </c>
      <c r="B2" t="s">
        <v>28</v>
      </c>
      <c r="C2" t="s">
        <v>29</v>
      </c>
      <c r="D2">
        <v>0.03</v>
      </c>
      <c r="E2" t="s">
        <v>30</v>
      </c>
      <c r="F2" t="s">
        <v>31</v>
      </c>
      <c r="G2" t="s">
        <v>32</v>
      </c>
      <c r="H2" t="s">
        <v>13</v>
      </c>
      <c r="I2" s="26" t="s">
        <v>33</v>
      </c>
    </row>
    <row r="3" spans="1:9" x14ac:dyDescent="0.3">
      <c r="A3" s="24">
        <v>45352</v>
      </c>
      <c r="B3" t="s">
        <v>28</v>
      </c>
      <c r="C3" t="s">
        <v>29</v>
      </c>
      <c r="D3">
        <v>7.0000000000000007E-2</v>
      </c>
      <c r="E3" t="s">
        <v>30</v>
      </c>
      <c r="F3" t="s">
        <v>31</v>
      </c>
      <c r="G3" t="s">
        <v>34</v>
      </c>
      <c r="H3" t="s">
        <v>13</v>
      </c>
      <c r="I3" s="26" t="s">
        <v>33</v>
      </c>
    </row>
    <row r="4" spans="1:9" x14ac:dyDescent="0.3">
      <c r="A4" s="24">
        <v>45352</v>
      </c>
      <c r="B4" t="s">
        <v>28</v>
      </c>
      <c r="C4" t="s">
        <v>29</v>
      </c>
      <c r="D4">
        <v>0.08</v>
      </c>
      <c r="E4" t="s">
        <v>35</v>
      </c>
      <c r="F4" t="s">
        <v>31</v>
      </c>
      <c r="G4" t="s">
        <v>32</v>
      </c>
      <c r="H4" t="s">
        <v>13</v>
      </c>
      <c r="I4" s="26" t="s">
        <v>33</v>
      </c>
    </row>
    <row r="5" spans="1:9" x14ac:dyDescent="0.3">
      <c r="A5" s="24">
        <v>45352</v>
      </c>
      <c r="B5" t="s">
        <v>28</v>
      </c>
      <c r="C5" t="s">
        <v>29</v>
      </c>
      <c r="D5">
        <v>0.1</v>
      </c>
      <c r="E5" t="s">
        <v>35</v>
      </c>
      <c r="F5" t="s">
        <v>31</v>
      </c>
      <c r="G5" t="s">
        <v>36</v>
      </c>
      <c r="H5" t="s">
        <v>13</v>
      </c>
      <c r="I5" s="26" t="s">
        <v>33</v>
      </c>
    </row>
    <row r="6" spans="1:9" x14ac:dyDescent="0.3">
      <c r="A6" s="24">
        <v>45352</v>
      </c>
      <c r="B6" t="s">
        <v>28</v>
      </c>
      <c r="C6" t="s">
        <v>29</v>
      </c>
      <c r="D6">
        <v>0.12</v>
      </c>
      <c r="E6" t="s">
        <v>37</v>
      </c>
      <c r="F6" t="s">
        <v>31</v>
      </c>
      <c r="G6" t="s">
        <v>38</v>
      </c>
      <c r="H6" t="s">
        <v>13</v>
      </c>
      <c r="I6" s="26" t="s">
        <v>33</v>
      </c>
    </row>
    <row r="7" spans="1:9" x14ac:dyDescent="0.3">
      <c r="A7" s="24">
        <v>45352</v>
      </c>
      <c r="B7" t="s">
        <v>28</v>
      </c>
      <c r="C7" t="s">
        <v>29</v>
      </c>
      <c r="D7">
        <v>0.12</v>
      </c>
      <c r="E7" t="s">
        <v>39</v>
      </c>
      <c r="F7" t="s">
        <v>31</v>
      </c>
      <c r="G7" t="s">
        <v>38</v>
      </c>
      <c r="H7" t="s">
        <v>13</v>
      </c>
      <c r="I7" s="26" t="s">
        <v>33</v>
      </c>
    </row>
    <row r="8" spans="1:9" x14ac:dyDescent="0.3">
      <c r="A8" s="24">
        <v>45352</v>
      </c>
      <c r="B8" t="s">
        <v>28</v>
      </c>
      <c r="C8" t="s">
        <v>29</v>
      </c>
      <c r="D8">
        <v>0.15</v>
      </c>
      <c r="E8" t="s">
        <v>40</v>
      </c>
      <c r="F8" t="s">
        <v>31</v>
      </c>
      <c r="G8" t="s">
        <v>41</v>
      </c>
      <c r="H8" t="s">
        <v>13</v>
      </c>
      <c r="I8" s="26" t="s">
        <v>33</v>
      </c>
    </row>
    <row r="9" spans="1:9" x14ac:dyDescent="0.3">
      <c r="A9" s="24">
        <v>45352</v>
      </c>
      <c r="B9" t="s">
        <v>28</v>
      </c>
      <c r="C9" t="s">
        <v>29</v>
      </c>
      <c r="D9">
        <v>0.22</v>
      </c>
      <c r="E9" t="s">
        <v>42</v>
      </c>
      <c r="F9" t="s">
        <v>31</v>
      </c>
      <c r="G9" t="s">
        <v>43</v>
      </c>
      <c r="H9" t="s">
        <v>13</v>
      </c>
      <c r="I9" s="26" t="s">
        <v>33</v>
      </c>
    </row>
    <row r="10" spans="1:9" x14ac:dyDescent="0.3">
      <c r="A10" s="24">
        <v>45352</v>
      </c>
      <c r="B10" t="s">
        <v>28</v>
      </c>
      <c r="C10" t="s">
        <v>29</v>
      </c>
      <c r="D10">
        <v>0.25</v>
      </c>
      <c r="E10" t="s">
        <v>44</v>
      </c>
      <c r="F10" t="s">
        <v>31</v>
      </c>
      <c r="G10" t="s">
        <v>38</v>
      </c>
      <c r="H10" t="s">
        <v>13</v>
      </c>
      <c r="I10" s="26" t="s">
        <v>33</v>
      </c>
    </row>
    <row r="11" spans="1:9" x14ac:dyDescent="0.3">
      <c r="A11" s="24">
        <v>45352</v>
      </c>
      <c r="B11" t="s">
        <v>28</v>
      </c>
      <c r="C11" t="s">
        <v>29</v>
      </c>
      <c r="D11">
        <v>0.32</v>
      </c>
      <c r="E11" t="s">
        <v>45</v>
      </c>
      <c r="F11" t="s">
        <v>31</v>
      </c>
      <c r="G11" t="s">
        <v>46</v>
      </c>
      <c r="H11" t="s">
        <v>13</v>
      </c>
      <c r="I11" s="26" t="s">
        <v>33</v>
      </c>
    </row>
    <row r="12" spans="1:9" x14ac:dyDescent="0.3">
      <c r="A12" s="24">
        <v>45352</v>
      </c>
      <c r="B12" t="s">
        <v>28</v>
      </c>
      <c r="C12" t="s">
        <v>29</v>
      </c>
      <c r="D12">
        <v>0.38</v>
      </c>
      <c r="E12" t="s">
        <v>35</v>
      </c>
      <c r="F12" t="s">
        <v>31</v>
      </c>
      <c r="G12" t="s">
        <v>47</v>
      </c>
      <c r="H12" t="s">
        <v>13</v>
      </c>
      <c r="I12" s="26" t="s">
        <v>33</v>
      </c>
    </row>
    <row r="13" spans="1:9" x14ac:dyDescent="0.3">
      <c r="A13" s="24">
        <v>45352</v>
      </c>
      <c r="B13" t="s">
        <v>28</v>
      </c>
      <c r="C13" t="s">
        <v>29</v>
      </c>
      <c r="D13">
        <v>0.42</v>
      </c>
      <c r="E13" t="s">
        <v>42</v>
      </c>
      <c r="F13" t="s">
        <v>31</v>
      </c>
      <c r="G13" t="s">
        <v>38</v>
      </c>
      <c r="H13" t="s">
        <v>13</v>
      </c>
      <c r="I13" s="26" t="s">
        <v>33</v>
      </c>
    </row>
    <row r="14" spans="1:9" x14ac:dyDescent="0.3">
      <c r="A14" s="24">
        <v>45352</v>
      </c>
      <c r="B14" t="s">
        <v>28</v>
      </c>
      <c r="C14" t="s">
        <v>29</v>
      </c>
      <c r="D14">
        <v>0.47</v>
      </c>
      <c r="E14" t="s">
        <v>48</v>
      </c>
      <c r="F14" t="s">
        <v>31</v>
      </c>
      <c r="G14" t="s">
        <v>38</v>
      </c>
      <c r="H14" t="s">
        <v>13</v>
      </c>
      <c r="I14" s="26" t="s">
        <v>33</v>
      </c>
    </row>
    <row r="15" spans="1:9" x14ac:dyDescent="0.3">
      <c r="A15" s="24">
        <v>45352</v>
      </c>
      <c r="B15" t="s">
        <v>28</v>
      </c>
      <c r="C15" t="s">
        <v>29</v>
      </c>
      <c r="D15">
        <v>0.62</v>
      </c>
      <c r="E15" t="s">
        <v>49</v>
      </c>
      <c r="F15" t="s">
        <v>31</v>
      </c>
      <c r="G15" t="s">
        <v>50</v>
      </c>
      <c r="H15" t="s">
        <v>13</v>
      </c>
      <c r="I15" s="26" t="s">
        <v>33</v>
      </c>
    </row>
    <row r="16" spans="1:9" x14ac:dyDescent="0.3">
      <c r="A16" s="24">
        <v>45352</v>
      </c>
      <c r="B16" t="s">
        <v>28</v>
      </c>
      <c r="C16" t="s">
        <v>29</v>
      </c>
      <c r="D16">
        <v>0.72</v>
      </c>
      <c r="E16" t="s">
        <v>49</v>
      </c>
      <c r="F16" t="s">
        <v>31</v>
      </c>
      <c r="G16" t="s">
        <v>43</v>
      </c>
      <c r="H16" t="s">
        <v>13</v>
      </c>
      <c r="I16" s="26" t="s">
        <v>33</v>
      </c>
    </row>
    <row r="17" spans="1:9" x14ac:dyDescent="0.3">
      <c r="A17" s="24">
        <v>45352</v>
      </c>
      <c r="B17" t="s">
        <v>28</v>
      </c>
      <c r="C17" t="s">
        <v>29</v>
      </c>
      <c r="D17">
        <v>0.8</v>
      </c>
      <c r="E17" t="s">
        <v>37</v>
      </c>
      <c r="F17" t="s">
        <v>31</v>
      </c>
      <c r="G17" t="s">
        <v>51</v>
      </c>
      <c r="H17" t="s">
        <v>13</v>
      </c>
      <c r="I17" s="26" t="s">
        <v>33</v>
      </c>
    </row>
    <row r="18" spans="1:9" x14ac:dyDescent="0.3">
      <c r="A18" s="24">
        <v>45352</v>
      </c>
      <c r="B18" t="s">
        <v>28</v>
      </c>
      <c r="C18" t="s">
        <v>29</v>
      </c>
      <c r="D18">
        <v>0.88</v>
      </c>
      <c r="E18" t="s">
        <v>52</v>
      </c>
      <c r="F18" t="s">
        <v>31</v>
      </c>
      <c r="G18" t="s">
        <v>46</v>
      </c>
      <c r="H18" t="s">
        <v>13</v>
      </c>
      <c r="I18" s="26" t="s">
        <v>33</v>
      </c>
    </row>
    <row r="19" spans="1:9" x14ac:dyDescent="0.3">
      <c r="A19" s="24">
        <v>45352</v>
      </c>
      <c r="B19" t="s">
        <v>28</v>
      </c>
      <c r="C19" t="s">
        <v>53</v>
      </c>
      <c r="D19">
        <v>0.25</v>
      </c>
      <c r="E19" t="s">
        <v>54</v>
      </c>
      <c r="F19" t="s">
        <v>55</v>
      </c>
      <c r="G19" t="s">
        <v>56</v>
      </c>
      <c r="H19" t="s">
        <v>13</v>
      </c>
      <c r="I19" s="26" t="s">
        <v>33</v>
      </c>
    </row>
    <row r="20" spans="1:9" x14ac:dyDescent="0.3">
      <c r="A20" s="24">
        <v>45352</v>
      </c>
      <c r="B20" t="s">
        <v>28</v>
      </c>
      <c r="C20" t="s">
        <v>53</v>
      </c>
      <c r="D20">
        <v>0.25</v>
      </c>
      <c r="E20" t="s">
        <v>54</v>
      </c>
      <c r="F20" t="s">
        <v>55</v>
      </c>
      <c r="G20" t="s">
        <v>57</v>
      </c>
      <c r="H20" t="s">
        <v>13</v>
      </c>
      <c r="I20" s="26" t="s">
        <v>33</v>
      </c>
    </row>
    <row r="21" spans="1:9" x14ac:dyDescent="0.3">
      <c r="A21" s="24">
        <v>45352</v>
      </c>
      <c r="B21" t="s">
        <v>28</v>
      </c>
      <c r="C21" t="s">
        <v>58</v>
      </c>
      <c r="D21">
        <v>1.1299999999999999</v>
      </c>
      <c r="E21" t="s">
        <v>54</v>
      </c>
      <c r="F21" t="s">
        <v>55</v>
      </c>
      <c r="G21" t="s">
        <v>59</v>
      </c>
      <c r="H21" t="s">
        <v>13</v>
      </c>
      <c r="I21" s="26" t="s">
        <v>33</v>
      </c>
    </row>
    <row r="22" spans="1:9" x14ac:dyDescent="0.3">
      <c r="A22" s="24">
        <v>45352</v>
      </c>
      <c r="B22" t="s">
        <v>28</v>
      </c>
      <c r="C22" t="s">
        <v>60</v>
      </c>
      <c r="D22">
        <v>0.03</v>
      </c>
      <c r="E22" t="s">
        <v>37</v>
      </c>
      <c r="F22" t="s">
        <v>31</v>
      </c>
      <c r="H22" t="s">
        <v>13</v>
      </c>
      <c r="I22" s="26" t="s">
        <v>33</v>
      </c>
    </row>
    <row r="23" spans="1:9" x14ac:dyDescent="0.3">
      <c r="A23" s="24">
        <v>45352</v>
      </c>
      <c r="B23" t="s">
        <v>28</v>
      </c>
      <c r="C23" t="s">
        <v>60</v>
      </c>
      <c r="D23">
        <v>0.12</v>
      </c>
      <c r="E23" t="s">
        <v>61</v>
      </c>
      <c r="F23" t="s">
        <v>31</v>
      </c>
      <c r="H23" t="s">
        <v>13</v>
      </c>
      <c r="I23" s="26" t="s">
        <v>33</v>
      </c>
    </row>
    <row r="24" spans="1:9" x14ac:dyDescent="0.3">
      <c r="A24" s="24">
        <v>45352</v>
      </c>
      <c r="B24" t="s">
        <v>28</v>
      </c>
      <c r="C24" t="s">
        <v>60</v>
      </c>
      <c r="D24">
        <v>0.13</v>
      </c>
      <c r="E24" t="s">
        <v>62</v>
      </c>
      <c r="F24" t="s">
        <v>31</v>
      </c>
      <c r="H24" t="s">
        <v>13</v>
      </c>
      <c r="I24" s="26" t="s">
        <v>33</v>
      </c>
    </row>
    <row r="25" spans="1:9" x14ac:dyDescent="0.3">
      <c r="A25" s="24">
        <v>45352</v>
      </c>
      <c r="B25" t="s">
        <v>28</v>
      </c>
      <c r="C25" t="s">
        <v>60</v>
      </c>
      <c r="D25">
        <v>0.35</v>
      </c>
      <c r="E25" t="s">
        <v>61</v>
      </c>
      <c r="F25" t="s">
        <v>31</v>
      </c>
      <c r="G25" t="s">
        <v>63</v>
      </c>
      <c r="H25" t="s">
        <v>13</v>
      </c>
      <c r="I25" s="26" t="s">
        <v>33</v>
      </c>
    </row>
    <row r="26" spans="1:9" x14ac:dyDescent="0.3">
      <c r="A26" s="24">
        <v>45352</v>
      </c>
      <c r="B26" t="s">
        <v>64</v>
      </c>
      <c r="C26" t="s">
        <v>65</v>
      </c>
      <c r="D26">
        <v>0.17</v>
      </c>
      <c r="E26" t="s">
        <v>66</v>
      </c>
      <c r="F26" t="s">
        <v>31</v>
      </c>
      <c r="G26" t="s">
        <v>67</v>
      </c>
      <c r="H26" t="s">
        <v>13</v>
      </c>
      <c r="I26" s="26" t="s">
        <v>33</v>
      </c>
    </row>
    <row r="27" spans="1:9" x14ac:dyDescent="0.3">
      <c r="A27" s="24">
        <v>45352</v>
      </c>
      <c r="B27" t="s">
        <v>64</v>
      </c>
      <c r="C27" t="s">
        <v>68</v>
      </c>
      <c r="D27">
        <v>0.5</v>
      </c>
      <c r="E27" t="s">
        <v>66</v>
      </c>
      <c r="F27" t="s">
        <v>31</v>
      </c>
      <c r="G27" t="s">
        <v>69</v>
      </c>
      <c r="H27" t="s">
        <v>13</v>
      </c>
      <c r="I27" s="26" t="s">
        <v>33</v>
      </c>
    </row>
    <row r="28" spans="1:9" x14ac:dyDescent="0.3">
      <c r="A28" s="24">
        <v>45352</v>
      </c>
      <c r="B28" t="s">
        <v>64</v>
      </c>
      <c r="C28" t="s">
        <v>70</v>
      </c>
      <c r="D28">
        <v>1.17</v>
      </c>
      <c r="E28" t="s">
        <v>66</v>
      </c>
      <c r="F28" t="s">
        <v>31</v>
      </c>
      <c r="G28" t="s">
        <v>71</v>
      </c>
      <c r="H28" t="s">
        <v>13</v>
      </c>
      <c r="I28" s="26" t="s">
        <v>33</v>
      </c>
    </row>
    <row r="29" spans="1:9" x14ac:dyDescent="0.3">
      <c r="A29" s="24">
        <v>45352</v>
      </c>
      <c r="B29" t="s">
        <v>72</v>
      </c>
      <c r="C29" t="s">
        <v>73</v>
      </c>
      <c r="D29">
        <v>8</v>
      </c>
      <c r="E29" t="s">
        <v>54</v>
      </c>
      <c r="F29" t="s">
        <v>55</v>
      </c>
      <c r="G29" t="s">
        <v>74</v>
      </c>
      <c r="H29" t="s">
        <v>13</v>
      </c>
      <c r="I29" s="26" t="s">
        <v>33</v>
      </c>
    </row>
    <row r="30" spans="1:9" x14ac:dyDescent="0.3">
      <c r="A30" s="24">
        <v>45352</v>
      </c>
      <c r="B30" t="s">
        <v>75</v>
      </c>
      <c r="C30" t="s">
        <v>73</v>
      </c>
      <c r="D30">
        <v>4</v>
      </c>
      <c r="E30" t="s">
        <v>54</v>
      </c>
      <c r="F30" t="s">
        <v>55</v>
      </c>
      <c r="G30" t="s">
        <v>76</v>
      </c>
      <c r="H30" t="s">
        <v>13</v>
      </c>
      <c r="I30" s="26" t="s">
        <v>33</v>
      </c>
    </row>
    <row r="31" spans="1:9" x14ac:dyDescent="0.3">
      <c r="A31" s="24">
        <v>45352</v>
      </c>
      <c r="B31" t="s">
        <v>75</v>
      </c>
      <c r="C31" t="s">
        <v>77</v>
      </c>
      <c r="D31">
        <v>5</v>
      </c>
      <c r="E31" t="s">
        <v>54</v>
      </c>
      <c r="F31" t="s">
        <v>55</v>
      </c>
      <c r="G31" t="s">
        <v>78</v>
      </c>
      <c r="H31" t="s">
        <v>13</v>
      </c>
      <c r="I31" s="26" t="s">
        <v>33</v>
      </c>
    </row>
    <row r="32" spans="1:9" x14ac:dyDescent="0.3">
      <c r="A32" s="24">
        <v>45352</v>
      </c>
      <c r="B32" t="s">
        <v>79</v>
      </c>
      <c r="C32" t="s">
        <v>58</v>
      </c>
      <c r="D32">
        <v>8</v>
      </c>
      <c r="E32" t="s">
        <v>54</v>
      </c>
      <c r="F32" t="s">
        <v>55</v>
      </c>
      <c r="H32" t="s">
        <v>13</v>
      </c>
      <c r="I32" s="26" t="s">
        <v>33</v>
      </c>
    </row>
    <row r="33" spans="1:9" x14ac:dyDescent="0.3">
      <c r="A33" s="24">
        <v>45352</v>
      </c>
      <c r="B33" t="s">
        <v>80</v>
      </c>
      <c r="C33" t="s">
        <v>29</v>
      </c>
      <c r="D33">
        <v>0.92</v>
      </c>
      <c r="E33" t="s">
        <v>81</v>
      </c>
      <c r="F33" t="s">
        <v>31</v>
      </c>
      <c r="G33" t="s">
        <v>82</v>
      </c>
      <c r="H33" t="s">
        <v>13</v>
      </c>
      <c r="I33" s="26" t="s">
        <v>33</v>
      </c>
    </row>
    <row r="34" spans="1:9" x14ac:dyDescent="0.3">
      <c r="A34" s="24">
        <v>45352</v>
      </c>
      <c r="B34" t="s">
        <v>80</v>
      </c>
      <c r="C34" t="s">
        <v>29</v>
      </c>
      <c r="D34">
        <v>1.83</v>
      </c>
      <c r="E34" t="s">
        <v>81</v>
      </c>
      <c r="F34" t="s">
        <v>31</v>
      </c>
      <c r="G34" t="s">
        <v>83</v>
      </c>
      <c r="H34" t="s">
        <v>13</v>
      </c>
      <c r="I34" s="26" t="s">
        <v>33</v>
      </c>
    </row>
    <row r="35" spans="1:9" x14ac:dyDescent="0.3">
      <c r="A35" s="24">
        <v>45352</v>
      </c>
      <c r="B35" t="s">
        <v>80</v>
      </c>
      <c r="C35" t="s">
        <v>29</v>
      </c>
      <c r="D35">
        <v>3.38</v>
      </c>
      <c r="E35" t="s">
        <v>81</v>
      </c>
      <c r="F35" t="s">
        <v>31</v>
      </c>
      <c r="G35" t="s">
        <v>84</v>
      </c>
      <c r="H35" t="s">
        <v>13</v>
      </c>
      <c r="I35" s="26" t="s">
        <v>33</v>
      </c>
    </row>
    <row r="36" spans="1:9" x14ac:dyDescent="0.3">
      <c r="A36" s="24">
        <v>45352</v>
      </c>
      <c r="B36" t="s">
        <v>80</v>
      </c>
      <c r="C36" t="s">
        <v>85</v>
      </c>
      <c r="D36">
        <v>1</v>
      </c>
      <c r="E36" t="s">
        <v>54</v>
      </c>
      <c r="F36" t="s">
        <v>55</v>
      </c>
      <c r="G36" t="s">
        <v>86</v>
      </c>
      <c r="H36" t="s">
        <v>13</v>
      </c>
      <c r="I36" s="26" t="s">
        <v>33</v>
      </c>
    </row>
    <row r="37" spans="1:9" x14ac:dyDescent="0.3">
      <c r="A37" s="24">
        <v>45352</v>
      </c>
      <c r="B37" t="s">
        <v>80</v>
      </c>
      <c r="C37" t="s">
        <v>58</v>
      </c>
      <c r="D37">
        <v>1</v>
      </c>
      <c r="E37" t="s">
        <v>54</v>
      </c>
      <c r="F37" t="s">
        <v>55</v>
      </c>
      <c r="G37" t="s">
        <v>87</v>
      </c>
      <c r="H37" t="s">
        <v>13</v>
      </c>
      <c r="I37" s="26" t="s">
        <v>33</v>
      </c>
    </row>
    <row r="38" spans="1:9" x14ac:dyDescent="0.3">
      <c r="A38" s="24">
        <v>45352</v>
      </c>
      <c r="B38" t="s">
        <v>88</v>
      </c>
      <c r="C38" t="s">
        <v>89</v>
      </c>
      <c r="D38">
        <v>10.88</v>
      </c>
      <c r="E38" t="s">
        <v>54</v>
      </c>
      <c r="F38" t="s">
        <v>55</v>
      </c>
      <c r="H38" t="s">
        <v>13</v>
      </c>
      <c r="I38" s="26" t="s">
        <v>33</v>
      </c>
    </row>
    <row r="39" spans="1:9" x14ac:dyDescent="0.3">
      <c r="A39" s="24">
        <v>45352</v>
      </c>
      <c r="B39" t="s">
        <v>88</v>
      </c>
      <c r="C39" t="s">
        <v>90</v>
      </c>
      <c r="D39">
        <v>0.75</v>
      </c>
      <c r="E39" t="s">
        <v>91</v>
      </c>
      <c r="F39" t="s">
        <v>31</v>
      </c>
      <c r="G39" t="s">
        <v>92</v>
      </c>
      <c r="H39" t="s">
        <v>13</v>
      </c>
      <c r="I39" s="26" t="s">
        <v>33</v>
      </c>
    </row>
    <row r="40" spans="1:9" x14ac:dyDescent="0.3">
      <c r="A40" s="24">
        <v>45352</v>
      </c>
      <c r="B40" t="s">
        <v>93</v>
      </c>
      <c r="C40" t="s">
        <v>94</v>
      </c>
      <c r="D40">
        <v>0.02</v>
      </c>
      <c r="E40" t="s">
        <v>95</v>
      </c>
      <c r="F40" t="s">
        <v>55</v>
      </c>
      <c r="H40" t="s">
        <v>13</v>
      </c>
      <c r="I40" s="26" t="s">
        <v>33</v>
      </c>
    </row>
    <row r="41" spans="1:9" x14ac:dyDescent="0.3">
      <c r="A41" s="24">
        <v>45352</v>
      </c>
      <c r="B41" t="s">
        <v>93</v>
      </c>
      <c r="C41" t="s">
        <v>94</v>
      </c>
      <c r="D41">
        <v>0.02</v>
      </c>
      <c r="E41" t="s">
        <v>96</v>
      </c>
      <c r="F41" t="s">
        <v>55</v>
      </c>
      <c r="H41" t="s">
        <v>13</v>
      </c>
      <c r="I41" s="26" t="s">
        <v>33</v>
      </c>
    </row>
    <row r="42" spans="1:9" x14ac:dyDescent="0.3">
      <c r="A42" s="24">
        <v>45352</v>
      </c>
      <c r="B42" t="s">
        <v>97</v>
      </c>
      <c r="C42" t="s">
        <v>89</v>
      </c>
      <c r="D42">
        <v>1.5</v>
      </c>
      <c r="E42" t="s">
        <v>54</v>
      </c>
      <c r="F42" t="s">
        <v>55</v>
      </c>
      <c r="G42" t="s">
        <v>98</v>
      </c>
      <c r="H42" t="s">
        <v>13</v>
      </c>
      <c r="I42" s="26" t="s">
        <v>33</v>
      </c>
    </row>
    <row r="43" spans="1:9" x14ac:dyDescent="0.3">
      <c r="A43" s="24">
        <v>45352</v>
      </c>
      <c r="B43" t="s">
        <v>99</v>
      </c>
      <c r="C43" t="s">
        <v>89</v>
      </c>
      <c r="D43">
        <v>9.25</v>
      </c>
      <c r="E43" t="s">
        <v>54</v>
      </c>
      <c r="F43" t="s">
        <v>55</v>
      </c>
      <c r="G43" t="s">
        <v>100</v>
      </c>
      <c r="H43" t="s">
        <v>13</v>
      </c>
      <c r="I43" s="26" t="s">
        <v>33</v>
      </c>
    </row>
    <row r="44" spans="1:9" x14ac:dyDescent="0.3">
      <c r="A44" s="24">
        <v>45352</v>
      </c>
      <c r="B44" t="s">
        <v>101</v>
      </c>
      <c r="C44" t="s">
        <v>29</v>
      </c>
      <c r="D44">
        <v>0.33</v>
      </c>
      <c r="E44" t="s">
        <v>102</v>
      </c>
      <c r="F44" t="s">
        <v>31</v>
      </c>
      <c r="G44" t="s">
        <v>103</v>
      </c>
      <c r="H44" t="s">
        <v>13</v>
      </c>
      <c r="I44" s="26" t="s">
        <v>33</v>
      </c>
    </row>
    <row r="45" spans="1:9" x14ac:dyDescent="0.3">
      <c r="A45" s="24">
        <v>45352</v>
      </c>
      <c r="B45" t="s">
        <v>101</v>
      </c>
      <c r="C45" t="s">
        <v>29</v>
      </c>
      <c r="D45">
        <v>0.33</v>
      </c>
      <c r="E45" t="s">
        <v>104</v>
      </c>
      <c r="F45" t="s">
        <v>31</v>
      </c>
      <c r="G45" t="s">
        <v>103</v>
      </c>
      <c r="H45" t="s">
        <v>13</v>
      </c>
      <c r="I45" s="26" t="s">
        <v>33</v>
      </c>
    </row>
    <row r="46" spans="1:9" x14ac:dyDescent="0.3">
      <c r="A46" s="24">
        <v>45352</v>
      </c>
      <c r="B46" t="s">
        <v>101</v>
      </c>
      <c r="C46" t="s">
        <v>29</v>
      </c>
      <c r="D46">
        <v>0.33</v>
      </c>
      <c r="E46" t="s">
        <v>105</v>
      </c>
      <c r="F46" t="s">
        <v>31</v>
      </c>
      <c r="G46" t="s">
        <v>103</v>
      </c>
      <c r="H46" t="s">
        <v>13</v>
      </c>
      <c r="I46" s="26" t="s">
        <v>33</v>
      </c>
    </row>
    <row r="47" spans="1:9" x14ac:dyDescent="0.3">
      <c r="A47" s="24">
        <v>45352</v>
      </c>
      <c r="B47" t="s">
        <v>101</v>
      </c>
      <c r="C47" t="s">
        <v>29</v>
      </c>
      <c r="D47">
        <v>2.17</v>
      </c>
      <c r="E47" t="s">
        <v>106</v>
      </c>
      <c r="F47" t="s">
        <v>31</v>
      </c>
      <c r="G47" t="s">
        <v>107</v>
      </c>
      <c r="H47" t="s">
        <v>13</v>
      </c>
      <c r="I47" s="26" t="s">
        <v>33</v>
      </c>
    </row>
    <row r="48" spans="1:9" x14ac:dyDescent="0.3">
      <c r="A48" s="24">
        <v>45352</v>
      </c>
      <c r="B48" t="s">
        <v>101</v>
      </c>
      <c r="C48" t="s">
        <v>29</v>
      </c>
      <c r="D48">
        <v>3</v>
      </c>
      <c r="E48" t="s">
        <v>108</v>
      </c>
      <c r="F48" t="s">
        <v>31</v>
      </c>
      <c r="G48" t="s">
        <v>109</v>
      </c>
      <c r="H48" t="s">
        <v>13</v>
      </c>
      <c r="I48" s="26" t="s">
        <v>33</v>
      </c>
    </row>
    <row r="49" spans="1:9" x14ac:dyDescent="0.3">
      <c r="A49" s="24">
        <v>45352</v>
      </c>
      <c r="B49" t="s">
        <v>101</v>
      </c>
      <c r="C49" t="s">
        <v>53</v>
      </c>
      <c r="D49">
        <v>0.5</v>
      </c>
      <c r="E49" t="s">
        <v>54</v>
      </c>
      <c r="F49" t="s">
        <v>55</v>
      </c>
      <c r="G49" t="s">
        <v>110</v>
      </c>
      <c r="H49" t="s">
        <v>13</v>
      </c>
      <c r="I49" s="26" t="s">
        <v>33</v>
      </c>
    </row>
    <row r="50" spans="1:9" x14ac:dyDescent="0.3">
      <c r="A50" s="24">
        <v>45352</v>
      </c>
      <c r="B50" t="s">
        <v>101</v>
      </c>
      <c r="C50" t="s">
        <v>58</v>
      </c>
      <c r="D50">
        <v>1.17</v>
      </c>
      <c r="E50" t="s">
        <v>54</v>
      </c>
      <c r="F50" t="s">
        <v>55</v>
      </c>
      <c r="G50" t="s">
        <v>111</v>
      </c>
      <c r="H50" t="s">
        <v>13</v>
      </c>
      <c r="I50" s="26" t="s">
        <v>33</v>
      </c>
    </row>
    <row r="51" spans="1:9" x14ac:dyDescent="0.3">
      <c r="A51" s="24">
        <v>45352</v>
      </c>
      <c r="B51" t="s">
        <v>101</v>
      </c>
      <c r="C51" t="s">
        <v>90</v>
      </c>
      <c r="D51">
        <v>0.17</v>
      </c>
      <c r="E51" t="s">
        <v>112</v>
      </c>
      <c r="F51" t="s">
        <v>31</v>
      </c>
      <c r="G51" t="s">
        <v>103</v>
      </c>
      <c r="H51" t="s">
        <v>13</v>
      </c>
      <c r="I51" s="26" t="s">
        <v>33</v>
      </c>
    </row>
    <row r="52" spans="1:9" x14ac:dyDescent="0.3">
      <c r="A52" s="24">
        <v>45352</v>
      </c>
      <c r="B52" t="s">
        <v>113</v>
      </c>
      <c r="C52" t="s">
        <v>29</v>
      </c>
      <c r="D52">
        <v>0.18</v>
      </c>
      <c r="E52" t="s">
        <v>114</v>
      </c>
      <c r="F52" t="s">
        <v>31</v>
      </c>
      <c r="G52" t="s">
        <v>115</v>
      </c>
      <c r="H52" t="s">
        <v>13</v>
      </c>
      <c r="I52" s="26" t="s">
        <v>33</v>
      </c>
    </row>
    <row r="53" spans="1:9" x14ac:dyDescent="0.3">
      <c r="A53" s="24">
        <v>45352</v>
      </c>
      <c r="B53" t="s">
        <v>113</v>
      </c>
      <c r="C53" t="s">
        <v>29</v>
      </c>
      <c r="D53">
        <v>0.56999999999999995</v>
      </c>
      <c r="E53" t="s">
        <v>116</v>
      </c>
      <c r="F53" t="s">
        <v>31</v>
      </c>
      <c r="G53" t="s">
        <v>117</v>
      </c>
      <c r="H53" t="s">
        <v>13</v>
      </c>
      <c r="I53" s="26" t="s">
        <v>33</v>
      </c>
    </row>
    <row r="54" spans="1:9" x14ac:dyDescent="0.3">
      <c r="A54" s="24">
        <v>45352</v>
      </c>
      <c r="B54" t="s">
        <v>113</v>
      </c>
      <c r="C54" t="s">
        <v>29</v>
      </c>
      <c r="D54">
        <v>0.62</v>
      </c>
      <c r="E54" t="s">
        <v>116</v>
      </c>
      <c r="F54" t="s">
        <v>31</v>
      </c>
      <c r="G54" t="s">
        <v>118</v>
      </c>
      <c r="H54" t="s">
        <v>13</v>
      </c>
      <c r="I54" s="26" t="s">
        <v>33</v>
      </c>
    </row>
    <row r="55" spans="1:9" x14ac:dyDescent="0.3">
      <c r="A55" s="24">
        <v>45352</v>
      </c>
      <c r="B55" t="s">
        <v>113</v>
      </c>
      <c r="C55" t="s">
        <v>53</v>
      </c>
      <c r="D55">
        <v>0.32</v>
      </c>
      <c r="E55" t="s">
        <v>54</v>
      </c>
      <c r="F55" t="s">
        <v>55</v>
      </c>
      <c r="G55" t="s">
        <v>119</v>
      </c>
      <c r="H55" t="s">
        <v>13</v>
      </c>
      <c r="I55" s="26" t="s">
        <v>33</v>
      </c>
    </row>
    <row r="56" spans="1:9" x14ac:dyDescent="0.3">
      <c r="A56" s="24">
        <v>45352</v>
      </c>
      <c r="B56" t="s">
        <v>113</v>
      </c>
      <c r="C56" t="s">
        <v>53</v>
      </c>
      <c r="D56">
        <v>0.35</v>
      </c>
      <c r="E56" t="s">
        <v>54</v>
      </c>
      <c r="F56" t="s">
        <v>55</v>
      </c>
      <c r="G56" t="s">
        <v>120</v>
      </c>
      <c r="H56" t="s">
        <v>13</v>
      </c>
      <c r="I56" s="26" t="s">
        <v>33</v>
      </c>
    </row>
    <row r="57" spans="1:9" x14ac:dyDescent="0.3">
      <c r="A57" s="24">
        <v>45352</v>
      </c>
      <c r="B57" t="s">
        <v>113</v>
      </c>
      <c r="C57" t="s">
        <v>53</v>
      </c>
      <c r="D57">
        <v>0.43</v>
      </c>
      <c r="E57" t="s">
        <v>54</v>
      </c>
      <c r="F57" t="s">
        <v>55</v>
      </c>
      <c r="G57" t="s">
        <v>121</v>
      </c>
      <c r="H57" t="s">
        <v>13</v>
      </c>
      <c r="I57" s="26" t="s">
        <v>33</v>
      </c>
    </row>
    <row r="58" spans="1:9" x14ac:dyDescent="0.3">
      <c r="A58" s="24">
        <v>45352</v>
      </c>
      <c r="B58" t="s">
        <v>113</v>
      </c>
      <c r="C58" t="s">
        <v>53</v>
      </c>
      <c r="D58">
        <v>0.5</v>
      </c>
      <c r="E58" t="s">
        <v>54</v>
      </c>
      <c r="F58" t="s">
        <v>55</v>
      </c>
      <c r="G58" t="s">
        <v>110</v>
      </c>
      <c r="H58" t="s">
        <v>13</v>
      </c>
      <c r="I58" s="26" t="s">
        <v>33</v>
      </c>
    </row>
    <row r="59" spans="1:9" x14ac:dyDescent="0.3">
      <c r="A59" s="24">
        <v>45352</v>
      </c>
      <c r="B59" t="s">
        <v>113</v>
      </c>
      <c r="C59" t="s">
        <v>53</v>
      </c>
      <c r="D59">
        <v>0.67</v>
      </c>
      <c r="E59" t="s">
        <v>54</v>
      </c>
      <c r="F59" t="s">
        <v>55</v>
      </c>
      <c r="G59" t="s">
        <v>122</v>
      </c>
      <c r="H59" t="s">
        <v>13</v>
      </c>
      <c r="I59" s="26" t="s">
        <v>33</v>
      </c>
    </row>
    <row r="60" spans="1:9" x14ac:dyDescent="0.3">
      <c r="A60" s="24">
        <v>45352</v>
      </c>
      <c r="B60" t="s">
        <v>113</v>
      </c>
      <c r="C60" t="s">
        <v>123</v>
      </c>
      <c r="D60">
        <v>0.6</v>
      </c>
      <c r="E60" t="s">
        <v>54</v>
      </c>
      <c r="F60" t="s">
        <v>55</v>
      </c>
      <c r="G60" t="s">
        <v>124</v>
      </c>
      <c r="H60" t="s">
        <v>13</v>
      </c>
      <c r="I60" s="26" t="s">
        <v>33</v>
      </c>
    </row>
    <row r="61" spans="1:9" x14ac:dyDescent="0.3">
      <c r="A61" s="24">
        <v>45352</v>
      </c>
      <c r="B61" t="s">
        <v>113</v>
      </c>
      <c r="C61" t="s">
        <v>58</v>
      </c>
      <c r="D61">
        <v>0.23</v>
      </c>
      <c r="E61" t="s">
        <v>54</v>
      </c>
      <c r="F61" t="s">
        <v>55</v>
      </c>
      <c r="G61" t="s">
        <v>125</v>
      </c>
      <c r="H61" t="s">
        <v>13</v>
      </c>
      <c r="I61" s="26" t="s">
        <v>33</v>
      </c>
    </row>
    <row r="62" spans="1:9" x14ac:dyDescent="0.3">
      <c r="A62" s="24">
        <v>45352</v>
      </c>
      <c r="B62" t="s">
        <v>113</v>
      </c>
      <c r="C62" t="s">
        <v>58</v>
      </c>
      <c r="D62">
        <v>0.5</v>
      </c>
      <c r="E62" t="s">
        <v>54</v>
      </c>
      <c r="F62" t="s">
        <v>55</v>
      </c>
      <c r="H62" t="s">
        <v>13</v>
      </c>
      <c r="I62" s="26" t="s">
        <v>33</v>
      </c>
    </row>
    <row r="63" spans="1:9" x14ac:dyDescent="0.3">
      <c r="A63" s="24">
        <v>45352</v>
      </c>
      <c r="B63" t="s">
        <v>113</v>
      </c>
      <c r="C63" t="s">
        <v>58</v>
      </c>
      <c r="D63">
        <v>1.1499999999999999</v>
      </c>
      <c r="E63" t="s">
        <v>54</v>
      </c>
      <c r="F63" t="s">
        <v>55</v>
      </c>
      <c r="G63" t="s">
        <v>111</v>
      </c>
      <c r="H63" t="s">
        <v>13</v>
      </c>
      <c r="I63" s="26" t="s">
        <v>33</v>
      </c>
    </row>
    <row r="64" spans="1:9" x14ac:dyDescent="0.3">
      <c r="A64" s="24">
        <v>45352</v>
      </c>
      <c r="B64" t="s">
        <v>113</v>
      </c>
      <c r="C64" t="s">
        <v>60</v>
      </c>
      <c r="D64">
        <v>0.18</v>
      </c>
      <c r="E64" t="s">
        <v>61</v>
      </c>
      <c r="F64" t="s">
        <v>31</v>
      </c>
      <c r="G64" t="s">
        <v>126</v>
      </c>
      <c r="H64" t="s">
        <v>13</v>
      </c>
      <c r="I64" s="26" t="s">
        <v>33</v>
      </c>
    </row>
    <row r="65" spans="1:9" x14ac:dyDescent="0.3">
      <c r="A65" s="24">
        <v>45352</v>
      </c>
      <c r="B65" t="s">
        <v>113</v>
      </c>
      <c r="C65" t="s">
        <v>60</v>
      </c>
      <c r="D65">
        <v>0.25</v>
      </c>
      <c r="E65" t="s">
        <v>127</v>
      </c>
      <c r="F65" t="s">
        <v>31</v>
      </c>
      <c r="G65" t="s">
        <v>128</v>
      </c>
      <c r="H65" t="s">
        <v>13</v>
      </c>
      <c r="I65" s="26" t="s">
        <v>33</v>
      </c>
    </row>
    <row r="66" spans="1:9" x14ac:dyDescent="0.3">
      <c r="A66" s="24">
        <v>45352</v>
      </c>
      <c r="B66" t="s">
        <v>113</v>
      </c>
      <c r="C66" t="s">
        <v>60</v>
      </c>
      <c r="D66">
        <v>0.3</v>
      </c>
      <c r="E66" t="s">
        <v>127</v>
      </c>
      <c r="F66" t="s">
        <v>31</v>
      </c>
      <c r="G66" t="s">
        <v>129</v>
      </c>
      <c r="H66" t="s">
        <v>13</v>
      </c>
      <c r="I66" s="26" t="s">
        <v>33</v>
      </c>
    </row>
    <row r="67" spans="1:9" x14ac:dyDescent="0.3">
      <c r="A67" s="24">
        <v>45352</v>
      </c>
      <c r="B67" t="s">
        <v>113</v>
      </c>
      <c r="C67" t="s">
        <v>60</v>
      </c>
      <c r="D67">
        <v>0.3</v>
      </c>
      <c r="E67" t="s">
        <v>127</v>
      </c>
      <c r="F67" t="s">
        <v>31</v>
      </c>
      <c r="G67" t="s">
        <v>130</v>
      </c>
      <c r="H67" t="s">
        <v>13</v>
      </c>
      <c r="I67" s="26" t="s">
        <v>33</v>
      </c>
    </row>
    <row r="68" spans="1:9" x14ac:dyDescent="0.3">
      <c r="A68" s="24">
        <v>45352</v>
      </c>
      <c r="B68" t="s">
        <v>113</v>
      </c>
      <c r="C68" t="s">
        <v>60</v>
      </c>
      <c r="D68">
        <v>0.38</v>
      </c>
      <c r="E68" t="s">
        <v>61</v>
      </c>
      <c r="F68" t="s">
        <v>31</v>
      </c>
      <c r="G68" t="s">
        <v>130</v>
      </c>
      <c r="H68" t="s">
        <v>13</v>
      </c>
      <c r="I68" s="26" t="s">
        <v>33</v>
      </c>
    </row>
    <row r="69" spans="1:9" x14ac:dyDescent="0.3">
      <c r="A69" s="24">
        <v>45352</v>
      </c>
      <c r="B69" t="s">
        <v>113</v>
      </c>
      <c r="C69" t="s">
        <v>60</v>
      </c>
      <c r="D69">
        <v>0.47</v>
      </c>
      <c r="E69" t="s">
        <v>81</v>
      </c>
      <c r="F69" t="s">
        <v>31</v>
      </c>
      <c r="G69" t="s">
        <v>131</v>
      </c>
      <c r="H69" t="s">
        <v>13</v>
      </c>
      <c r="I69" s="26" t="s">
        <v>33</v>
      </c>
    </row>
    <row r="70" spans="1:9" x14ac:dyDescent="0.3">
      <c r="A70" s="24">
        <v>45352</v>
      </c>
      <c r="B70" t="s">
        <v>132</v>
      </c>
      <c r="C70" t="s">
        <v>29</v>
      </c>
      <c r="D70">
        <v>0.25</v>
      </c>
      <c r="E70" t="s">
        <v>81</v>
      </c>
      <c r="F70" t="s">
        <v>31</v>
      </c>
      <c r="G70" t="e">
        <f>- Received raw invoices.</f>
        <v>#NAME?</v>
      </c>
      <c r="H70" t="s">
        <v>13</v>
      </c>
      <c r="I70" s="26" t="s">
        <v>33</v>
      </c>
    </row>
    <row r="71" spans="1:9" x14ac:dyDescent="0.3">
      <c r="A71" s="24">
        <v>45352</v>
      </c>
      <c r="B71" t="s">
        <v>132</v>
      </c>
      <c r="C71" t="s">
        <v>53</v>
      </c>
      <c r="D71">
        <v>9.57</v>
      </c>
      <c r="E71" t="s">
        <v>54</v>
      </c>
      <c r="F71" t="s">
        <v>55</v>
      </c>
      <c r="G71" t="s">
        <v>133</v>
      </c>
      <c r="H71" t="s">
        <v>13</v>
      </c>
      <c r="I71" s="26" t="s">
        <v>33</v>
      </c>
    </row>
    <row r="72" spans="1:9" x14ac:dyDescent="0.3">
      <c r="A72" s="24">
        <v>45352</v>
      </c>
      <c r="B72" t="s">
        <v>134</v>
      </c>
      <c r="C72" t="s">
        <v>29</v>
      </c>
      <c r="D72">
        <v>0.48</v>
      </c>
      <c r="E72" t="s">
        <v>135</v>
      </c>
      <c r="F72" t="s">
        <v>31</v>
      </c>
      <c r="G72" t="s">
        <v>136</v>
      </c>
      <c r="H72" t="s">
        <v>13</v>
      </c>
      <c r="I72" s="26" t="s">
        <v>33</v>
      </c>
    </row>
    <row r="73" spans="1:9" x14ac:dyDescent="0.3">
      <c r="A73" s="24">
        <v>45352</v>
      </c>
      <c r="B73" t="s">
        <v>134</v>
      </c>
      <c r="C73" t="s">
        <v>29</v>
      </c>
      <c r="D73">
        <v>0.7</v>
      </c>
      <c r="E73" t="s">
        <v>137</v>
      </c>
      <c r="F73" t="s">
        <v>31</v>
      </c>
      <c r="G73" t="s">
        <v>138</v>
      </c>
      <c r="H73" t="s">
        <v>13</v>
      </c>
      <c r="I73" s="26" t="s">
        <v>33</v>
      </c>
    </row>
    <row r="74" spans="1:9" x14ac:dyDescent="0.3">
      <c r="A74" s="24">
        <v>45352</v>
      </c>
      <c r="B74" t="s">
        <v>134</v>
      </c>
      <c r="C74" t="s">
        <v>29</v>
      </c>
      <c r="D74">
        <v>0.7</v>
      </c>
      <c r="E74" t="s">
        <v>139</v>
      </c>
      <c r="F74" t="s">
        <v>55</v>
      </c>
      <c r="G74" t="s">
        <v>140</v>
      </c>
      <c r="H74" t="s">
        <v>13</v>
      </c>
      <c r="I74" s="26" t="s">
        <v>33</v>
      </c>
    </row>
    <row r="75" spans="1:9" x14ac:dyDescent="0.3">
      <c r="A75" s="24">
        <v>45352</v>
      </c>
      <c r="B75" t="s">
        <v>134</v>
      </c>
      <c r="C75" t="s">
        <v>29</v>
      </c>
      <c r="D75">
        <v>1.18</v>
      </c>
      <c r="E75" t="s">
        <v>139</v>
      </c>
      <c r="F75" t="s">
        <v>31</v>
      </c>
      <c r="G75" t="s">
        <v>141</v>
      </c>
      <c r="H75" t="s">
        <v>13</v>
      </c>
      <c r="I75" s="26" t="s">
        <v>33</v>
      </c>
    </row>
    <row r="76" spans="1:9" x14ac:dyDescent="0.3">
      <c r="A76" s="24">
        <v>45352</v>
      </c>
      <c r="B76" t="s">
        <v>134</v>
      </c>
      <c r="C76" t="s">
        <v>142</v>
      </c>
      <c r="D76">
        <v>0.6</v>
      </c>
      <c r="E76" t="s">
        <v>143</v>
      </c>
      <c r="F76" t="s">
        <v>31</v>
      </c>
      <c r="G76" t="s">
        <v>144</v>
      </c>
      <c r="H76" t="s">
        <v>13</v>
      </c>
      <c r="I76" s="26" t="s">
        <v>33</v>
      </c>
    </row>
    <row r="77" spans="1:9" x14ac:dyDescent="0.3">
      <c r="A77" s="24">
        <v>45352</v>
      </c>
      <c r="B77" t="s">
        <v>134</v>
      </c>
      <c r="C77" t="s">
        <v>142</v>
      </c>
      <c r="D77">
        <v>1.33</v>
      </c>
      <c r="E77" t="s">
        <v>143</v>
      </c>
      <c r="F77" t="s">
        <v>31</v>
      </c>
      <c r="G77" t="s">
        <v>145</v>
      </c>
      <c r="H77" t="s">
        <v>13</v>
      </c>
      <c r="I77" s="26" t="s">
        <v>33</v>
      </c>
    </row>
    <row r="78" spans="1:9" x14ac:dyDescent="0.3">
      <c r="A78" s="24">
        <v>45352</v>
      </c>
      <c r="B78" t="s">
        <v>134</v>
      </c>
      <c r="C78" t="s">
        <v>53</v>
      </c>
      <c r="D78">
        <v>0.23</v>
      </c>
      <c r="E78" t="s">
        <v>54</v>
      </c>
      <c r="F78" t="s">
        <v>55</v>
      </c>
      <c r="G78" t="s">
        <v>146</v>
      </c>
      <c r="H78" t="s">
        <v>13</v>
      </c>
      <c r="I78" s="26" t="s">
        <v>33</v>
      </c>
    </row>
    <row r="79" spans="1:9" x14ac:dyDescent="0.3">
      <c r="A79" s="24">
        <v>45352</v>
      </c>
      <c r="B79" t="s">
        <v>134</v>
      </c>
      <c r="C79" t="s">
        <v>53</v>
      </c>
      <c r="D79">
        <v>0.5</v>
      </c>
      <c r="E79" t="s">
        <v>54</v>
      </c>
      <c r="F79" t="s">
        <v>55</v>
      </c>
      <c r="G79" t="s">
        <v>110</v>
      </c>
      <c r="H79" t="s">
        <v>13</v>
      </c>
      <c r="I79" s="26" t="s">
        <v>33</v>
      </c>
    </row>
    <row r="80" spans="1:9" x14ac:dyDescent="0.3">
      <c r="A80" s="24">
        <v>45352</v>
      </c>
      <c r="B80" t="s">
        <v>134</v>
      </c>
      <c r="C80" t="s">
        <v>53</v>
      </c>
      <c r="D80">
        <v>0.62</v>
      </c>
      <c r="E80" t="s">
        <v>54</v>
      </c>
      <c r="F80" t="s">
        <v>55</v>
      </c>
      <c r="G80" t="s">
        <v>147</v>
      </c>
      <c r="H80" t="s">
        <v>13</v>
      </c>
      <c r="I80" s="26" t="s">
        <v>33</v>
      </c>
    </row>
    <row r="81" spans="1:9" x14ac:dyDescent="0.3">
      <c r="A81" s="24">
        <v>45352</v>
      </c>
      <c r="B81" t="s">
        <v>134</v>
      </c>
      <c r="C81" t="s">
        <v>148</v>
      </c>
      <c r="D81">
        <v>0.55000000000000004</v>
      </c>
      <c r="E81" t="s">
        <v>54</v>
      </c>
      <c r="F81" t="s">
        <v>55</v>
      </c>
      <c r="G81" t="s">
        <v>149</v>
      </c>
      <c r="H81" t="s">
        <v>13</v>
      </c>
      <c r="I81" s="26" t="s">
        <v>33</v>
      </c>
    </row>
    <row r="82" spans="1:9" x14ac:dyDescent="0.3">
      <c r="A82" s="24">
        <v>45352</v>
      </c>
      <c r="B82" t="s">
        <v>134</v>
      </c>
      <c r="C82" t="s">
        <v>58</v>
      </c>
      <c r="D82">
        <v>1.1000000000000001</v>
      </c>
      <c r="E82" t="s">
        <v>54</v>
      </c>
      <c r="F82" t="s">
        <v>55</v>
      </c>
      <c r="G82" t="s">
        <v>111</v>
      </c>
      <c r="H82" t="s">
        <v>13</v>
      </c>
      <c r="I82" s="26" t="s">
        <v>33</v>
      </c>
    </row>
    <row r="83" spans="1:9" x14ac:dyDescent="0.3">
      <c r="A83" s="24">
        <v>45352</v>
      </c>
      <c r="B83" t="s">
        <v>150</v>
      </c>
      <c r="C83" t="s">
        <v>29</v>
      </c>
      <c r="D83">
        <v>0.5</v>
      </c>
      <c r="E83" t="s">
        <v>151</v>
      </c>
      <c r="F83" t="s">
        <v>31</v>
      </c>
      <c r="G83" t="s">
        <v>152</v>
      </c>
      <c r="H83" t="s">
        <v>13</v>
      </c>
      <c r="I83" s="26" t="s">
        <v>33</v>
      </c>
    </row>
    <row r="84" spans="1:9" x14ac:dyDescent="0.3">
      <c r="A84" s="24">
        <v>45352</v>
      </c>
      <c r="B84" t="s">
        <v>150</v>
      </c>
      <c r="C84" t="s">
        <v>29</v>
      </c>
      <c r="D84">
        <v>0.67</v>
      </c>
      <c r="E84" t="s">
        <v>151</v>
      </c>
      <c r="F84" t="s">
        <v>31</v>
      </c>
      <c r="G84" t="s">
        <v>153</v>
      </c>
      <c r="H84" t="s">
        <v>13</v>
      </c>
      <c r="I84" s="26" t="s">
        <v>33</v>
      </c>
    </row>
    <row r="85" spans="1:9" x14ac:dyDescent="0.3">
      <c r="A85" s="24">
        <v>45352</v>
      </c>
      <c r="B85" t="s">
        <v>150</v>
      </c>
      <c r="C85" t="s">
        <v>29</v>
      </c>
      <c r="D85">
        <v>0.72</v>
      </c>
      <c r="E85" t="s">
        <v>114</v>
      </c>
      <c r="F85" t="s">
        <v>31</v>
      </c>
      <c r="G85" t="s">
        <v>154</v>
      </c>
      <c r="H85" t="s">
        <v>13</v>
      </c>
      <c r="I85" s="26" t="s">
        <v>33</v>
      </c>
    </row>
    <row r="86" spans="1:9" x14ac:dyDescent="0.3">
      <c r="A86" s="24">
        <v>45352</v>
      </c>
      <c r="B86" t="s">
        <v>150</v>
      </c>
      <c r="C86" t="s">
        <v>85</v>
      </c>
      <c r="D86">
        <v>0.33</v>
      </c>
      <c r="E86" t="s">
        <v>114</v>
      </c>
      <c r="F86" t="s">
        <v>31</v>
      </c>
      <c r="G86" t="s">
        <v>155</v>
      </c>
      <c r="H86" t="s">
        <v>13</v>
      </c>
      <c r="I86" s="26" t="s">
        <v>33</v>
      </c>
    </row>
    <row r="87" spans="1:9" x14ac:dyDescent="0.3">
      <c r="A87" s="24">
        <v>45352</v>
      </c>
      <c r="B87" t="s">
        <v>150</v>
      </c>
      <c r="C87" t="s">
        <v>85</v>
      </c>
      <c r="D87">
        <v>0.56999999999999995</v>
      </c>
      <c r="E87" t="s">
        <v>156</v>
      </c>
      <c r="F87" t="s">
        <v>55</v>
      </c>
      <c r="G87" t="s">
        <v>157</v>
      </c>
      <c r="H87" t="s">
        <v>13</v>
      </c>
      <c r="I87" s="26" t="s">
        <v>33</v>
      </c>
    </row>
    <row r="88" spans="1:9" x14ac:dyDescent="0.3">
      <c r="A88" s="24">
        <v>45352</v>
      </c>
      <c r="B88" t="s">
        <v>150</v>
      </c>
      <c r="C88" t="s">
        <v>53</v>
      </c>
      <c r="D88">
        <v>0.25</v>
      </c>
      <c r="E88" t="s">
        <v>54</v>
      </c>
      <c r="F88" t="s">
        <v>55</v>
      </c>
      <c r="G88" t="s">
        <v>158</v>
      </c>
      <c r="H88" t="s">
        <v>13</v>
      </c>
      <c r="I88" s="26" t="s">
        <v>33</v>
      </c>
    </row>
    <row r="89" spans="1:9" x14ac:dyDescent="0.3">
      <c r="A89" s="24">
        <v>45352</v>
      </c>
      <c r="B89" t="s">
        <v>150</v>
      </c>
      <c r="C89" t="s">
        <v>159</v>
      </c>
      <c r="D89">
        <v>0.67</v>
      </c>
      <c r="E89" t="s">
        <v>151</v>
      </c>
      <c r="F89" t="s">
        <v>31</v>
      </c>
      <c r="G89" t="s">
        <v>160</v>
      </c>
      <c r="H89" t="s">
        <v>13</v>
      </c>
      <c r="I89" s="26" t="s">
        <v>33</v>
      </c>
    </row>
    <row r="90" spans="1:9" x14ac:dyDescent="0.3">
      <c r="A90" s="24">
        <v>45352</v>
      </c>
      <c r="B90" t="s">
        <v>150</v>
      </c>
      <c r="C90" t="s">
        <v>159</v>
      </c>
      <c r="D90">
        <v>1.1299999999999999</v>
      </c>
      <c r="E90" t="s">
        <v>114</v>
      </c>
      <c r="F90" t="s">
        <v>31</v>
      </c>
      <c r="G90" t="s">
        <v>160</v>
      </c>
      <c r="H90" t="s">
        <v>13</v>
      </c>
      <c r="I90" s="26" t="s">
        <v>33</v>
      </c>
    </row>
    <row r="91" spans="1:9" x14ac:dyDescent="0.3">
      <c r="A91" s="24">
        <v>45352</v>
      </c>
      <c r="B91" t="s">
        <v>150</v>
      </c>
      <c r="C91" t="s">
        <v>58</v>
      </c>
      <c r="D91">
        <v>0.42</v>
      </c>
      <c r="E91" t="s">
        <v>54</v>
      </c>
      <c r="F91" t="s">
        <v>55</v>
      </c>
      <c r="G91" t="s">
        <v>161</v>
      </c>
      <c r="H91" t="s">
        <v>13</v>
      </c>
      <c r="I91" s="26" t="s">
        <v>33</v>
      </c>
    </row>
    <row r="92" spans="1:9" x14ac:dyDescent="0.3">
      <c r="A92" s="24">
        <v>45352</v>
      </c>
      <c r="B92" t="s">
        <v>150</v>
      </c>
      <c r="C92" t="s">
        <v>58</v>
      </c>
      <c r="D92">
        <v>1.1000000000000001</v>
      </c>
      <c r="E92" t="s">
        <v>54</v>
      </c>
      <c r="F92" t="s">
        <v>55</v>
      </c>
      <c r="G92" t="s">
        <v>59</v>
      </c>
      <c r="H92" t="s">
        <v>13</v>
      </c>
      <c r="I92" s="26" t="s">
        <v>33</v>
      </c>
    </row>
    <row r="93" spans="1:9" x14ac:dyDescent="0.3">
      <c r="A93" s="24">
        <v>45352</v>
      </c>
      <c r="B93" t="s">
        <v>150</v>
      </c>
      <c r="C93" t="s">
        <v>60</v>
      </c>
      <c r="D93">
        <v>1.67</v>
      </c>
      <c r="E93" t="s">
        <v>162</v>
      </c>
      <c r="F93" t="s">
        <v>31</v>
      </c>
      <c r="G93" t="s">
        <v>163</v>
      </c>
      <c r="H93" t="s">
        <v>13</v>
      </c>
      <c r="I93" s="26" t="s">
        <v>33</v>
      </c>
    </row>
    <row r="94" spans="1:9" x14ac:dyDescent="0.3">
      <c r="A94" s="24">
        <v>45352</v>
      </c>
      <c r="B94" t="s">
        <v>164</v>
      </c>
      <c r="C94" t="s">
        <v>53</v>
      </c>
      <c r="D94">
        <v>1</v>
      </c>
      <c r="E94" t="s">
        <v>54</v>
      </c>
      <c r="F94" t="s">
        <v>55</v>
      </c>
      <c r="G94" t="s">
        <v>165</v>
      </c>
      <c r="H94" t="s">
        <v>13</v>
      </c>
      <c r="I94" s="26" t="s">
        <v>33</v>
      </c>
    </row>
    <row r="95" spans="1:9" x14ac:dyDescent="0.3">
      <c r="A95" s="24">
        <v>45352</v>
      </c>
      <c r="B95" t="s">
        <v>164</v>
      </c>
      <c r="C95" t="s">
        <v>53</v>
      </c>
      <c r="D95">
        <v>1.25</v>
      </c>
      <c r="E95" t="s">
        <v>54</v>
      </c>
      <c r="F95" t="s">
        <v>55</v>
      </c>
      <c r="G95" t="s">
        <v>166</v>
      </c>
      <c r="H95" t="s">
        <v>13</v>
      </c>
      <c r="I95" s="26" t="s">
        <v>33</v>
      </c>
    </row>
    <row r="96" spans="1:9" x14ac:dyDescent="0.3">
      <c r="A96" s="24">
        <v>45352</v>
      </c>
      <c r="B96" t="s">
        <v>164</v>
      </c>
      <c r="C96" t="s">
        <v>53</v>
      </c>
      <c r="D96">
        <v>2.1800000000000002</v>
      </c>
      <c r="E96" t="s">
        <v>54</v>
      </c>
      <c r="F96" t="s">
        <v>55</v>
      </c>
      <c r="G96" t="s">
        <v>167</v>
      </c>
      <c r="H96" t="s">
        <v>13</v>
      </c>
      <c r="I96" s="26" t="s">
        <v>33</v>
      </c>
    </row>
    <row r="97" spans="1:9" x14ac:dyDescent="0.3">
      <c r="A97" s="24">
        <v>45352</v>
      </c>
      <c r="B97" t="s">
        <v>164</v>
      </c>
      <c r="C97" t="s">
        <v>53</v>
      </c>
      <c r="D97">
        <v>3.38</v>
      </c>
      <c r="E97" t="s">
        <v>54</v>
      </c>
      <c r="F97" t="s">
        <v>55</v>
      </c>
      <c r="G97" t="s">
        <v>168</v>
      </c>
      <c r="H97" t="s">
        <v>13</v>
      </c>
      <c r="I97" s="26" t="s">
        <v>33</v>
      </c>
    </row>
    <row r="98" spans="1:9" x14ac:dyDescent="0.3">
      <c r="A98" s="24">
        <v>45352</v>
      </c>
      <c r="B98" t="s">
        <v>169</v>
      </c>
      <c r="C98" t="s">
        <v>29</v>
      </c>
      <c r="D98">
        <v>6.68</v>
      </c>
      <c r="E98" t="s">
        <v>170</v>
      </c>
      <c r="F98" t="s">
        <v>31</v>
      </c>
      <c r="H98" t="s">
        <v>13</v>
      </c>
      <c r="I98" s="26" t="s">
        <v>33</v>
      </c>
    </row>
    <row r="99" spans="1:9" x14ac:dyDescent="0.3">
      <c r="A99" s="24">
        <v>45352</v>
      </c>
      <c r="B99" t="s">
        <v>169</v>
      </c>
      <c r="C99" t="s">
        <v>58</v>
      </c>
      <c r="D99">
        <v>0.82</v>
      </c>
      <c r="E99" t="s">
        <v>54</v>
      </c>
      <c r="F99" t="s">
        <v>55</v>
      </c>
      <c r="G99" t="s">
        <v>171</v>
      </c>
      <c r="H99" t="s">
        <v>13</v>
      </c>
      <c r="I99" s="26" t="s">
        <v>33</v>
      </c>
    </row>
    <row r="100" spans="1:9" x14ac:dyDescent="0.3">
      <c r="A100" s="24">
        <v>45352</v>
      </c>
      <c r="B100" t="s">
        <v>169</v>
      </c>
      <c r="C100" t="s">
        <v>60</v>
      </c>
      <c r="D100">
        <v>0.5</v>
      </c>
      <c r="E100" t="s">
        <v>35</v>
      </c>
      <c r="F100" t="s">
        <v>31</v>
      </c>
      <c r="H100" t="s">
        <v>13</v>
      </c>
      <c r="I100" s="26" t="s">
        <v>33</v>
      </c>
    </row>
    <row r="101" spans="1:9" x14ac:dyDescent="0.3">
      <c r="A101" s="24">
        <v>45352</v>
      </c>
      <c r="B101" t="s">
        <v>172</v>
      </c>
      <c r="C101" t="s">
        <v>173</v>
      </c>
      <c r="D101">
        <v>1.07</v>
      </c>
      <c r="E101" t="s">
        <v>162</v>
      </c>
      <c r="F101" t="s">
        <v>31</v>
      </c>
      <c r="G101" t="s">
        <v>174</v>
      </c>
      <c r="H101" t="s">
        <v>13</v>
      </c>
      <c r="I101" s="26" t="s">
        <v>33</v>
      </c>
    </row>
    <row r="102" spans="1:9" x14ac:dyDescent="0.3">
      <c r="A102" s="24">
        <v>45352</v>
      </c>
      <c r="B102" t="s">
        <v>175</v>
      </c>
      <c r="C102" t="s">
        <v>29</v>
      </c>
      <c r="D102">
        <v>0.17</v>
      </c>
      <c r="E102" t="s">
        <v>176</v>
      </c>
      <c r="F102" t="s">
        <v>31</v>
      </c>
      <c r="H102" t="s">
        <v>13</v>
      </c>
      <c r="I102" s="26" t="s">
        <v>33</v>
      </c>
    </row>
    <row r="103" spans="1:9" x14ac:dyDescent="0.3">
      <c r="A103" s="24">
        <v>45352</v>
      </c>
      <c r="B103" t="s">
        <v>175</v>
      </c>
      <c r="C103" t="s">
        <v>29</v>
      </c>
      <c r="D103">
        <v>0.17</v>
      </c>
      <c r="E103" t="s">
        <v>177</v>
      </c>
      <c r="F103" t="s">
        <v>31</v>
      </c>
      <c r="H103" t="s">
        <v>13</v>
      </c>
      <c r="I103" s="26" t="s">
        <v>33</v>
      </c>
    </row>
    <row r="104" spans="1:9" x14ac:dyDescent="0.3">
      <c r="A104" s="24">
        <v>45352</v>
      </c>
      <c r="B104" t="s">
        <v>175</v>
      </c>
      <c r="C104" t="s">
        <v>29</v>
      </c>
      <c r="D104">
        <v>0.17</v>
      </c>
      <c r="E104" t="s">
        <v>178</v>
      </c>
      <c r="F104" t="s">
        <v>31</v>
      </c>
      <c r="H104" t="s">
        <v>13</v>
      </c>
      <c r="I104" s="26" t="s">
        <v>33</v>
      </c>
    </row>
    <row r="105" spans="1:9" x14ac:dyDescent="0.3">
      <c r="A105" s="24">
        <v>45352</v>
      </c>
      <c r="B105" t="s">
        <v>175</v>
      </c>
      <c r="C105" t="s">
        <v>29</v>
      </c>
      <c r="D105">
        <v>0.3</v>
      </c>
      <c r="E105" t="s">
        <v>127</v>
      </c>
      <c r="F105" t="s">
        <v>31</v>
      </c>
      <c r="H105" t="s">
        <v>13</v>
      </c>
      <c r="I105" s="26" t="s">
        <v>33</v>
      </c>
    </row>
    <row r="106" spans="1:9" x14ac:dyDescent="0.3">
      <c r="A106" s="24">
        <v>45352</v>
      </c>
      <c r="B106" t="s">
        <v>175</v>
      </c>
      <c r="C106" t="s">
        <v>29</v>
      </c>
      <c r="D106">
        <v>0.33</v>
      </c>
      <c r="E106" t="s">
        <v>179</v>
      </c>
      <c r="F106" t="s">
        <v>31</v>
      </c>
      <c r="G106" t="s">
        <v>180</v>
      </c>
      <c r="H106" t="s">
        <v>13</v>
      </c>
      <c r="I106" s="26" t="s">
        <v>33</v>
      </c>
    </row>
    <row r="107" spans="1:9" x14ac:dyDescent="0.3">
      <c r="A107" s="24">
        <v>45352</v>
      </c>
      <c r="B107" t="s">
        <v>175</v>
      </c>
      <c r="C107" t="s">
        <v>29</v>
      </c>
      <c r="D107">
        <v>0.5</v>
      </c>
      <c r="E107" t="s">
        <v>176</v>
      </c>
      <c r="F107" t="s">
        <v>31</v>
      </c>
      <c r="G107" t="s">
        <v>181</v>
      </c>
      <c r="H107" t="s">
        <v>13</v>
      </c>
      <c r="I107" s="26" t="s">
        <v>33</v>
      </c>
    </row>
    <row r="108" spans="1:9" x14ac:dyDescent="0.3">
      <c r="A108" s="24">
        <v>45352</v>
      </c>
      <c r="B108" t="s">
        <v>175</v>
      </c>
      <c r="C108" t="s">
        <v>29</v>
      </c>
      <c r="D108">
        <v>0.5</v>
      </c>
      <c r="E108" t="s">
        <v>182</v>
      </c>
      <c r="F108" t="s">
        <v>31</v>
      </c>
      <c r="G108" t="s">
        <v>183</v>
      </c>
      <c r="H108" t="s">
        <v>13</v>
      </c>
      <c r="I108" s="26" t="s">
        <v>33</v>
      </c>
    </row>
    <row r="109" spans="1:9" x14ac:dyDescent="0.3">
      <c r="A109" s="24">
        <v>45352</v>
      </c>
      <c r="B109" t="s">
        <v>175</v>
      </c>
      <c r="C109" t="s">
        <v>29</v>
      </c>
      <c r="D109">
        <v>1.38</v>
      </c>
      <c r="E109" t="s">
        <v>127</v>
      </c>
      <c r="F109" t="s">
        <v>31</v>
      </c>
      <c r="G109" t="s">
        <v>184</v>
      </c>
      <c r="H109" t="s">
        <v>13</v>
      </c>
      <c r="I109" s="26" t="s">
        <v>33</v>
      </c>
    </row>
    <row r="110" spans="1:9" x14ac:dyDescent="0.3">
      <c r="A110" s="24">
        <v>45352</v>
      </c>
      <c r="B110" t="s">
        <v>175</v>
      </c>
      <c r="C110" t="s">
        <v>29</v>
      </c>
      <c r="D110">
        <v>1.83</v>
      </c>
      <c r="E110" t="s">
        <v>185</v>
      </c>
      <c r="F110" t="s">
        <v>31</v>
      </c>
      <c r="H110" t="s">
        <v>13</v>
      </c>
      <c r="I110" s="26" t="s">
        <v>33</v>
      </c>
    </row>
    <row r="111" spans="1:9" x14ac:dyDescent="0.3">
      <c r="A111" s="24">
        <v>45352</v>
      </c>
      <c r="B111" t="s">
        <v>175</v>
      </c>
      <c r="C111" t="s">
        <v>29</v>
      </c>
      <c r="D111">
        <v>1.88</v>
      </c>
      <c r="E111" t="s">
        <v>127</v>
      </c>
      <c r="F111" t="s">
        <v>31</v>
      </c>
      <c r="G111" t="s">
        <v>186</v>
      </c>
      <c r="H111" t="s">
        <v>13</v>
      </c>
      <c r="I111" s="26" t="s">
        <v>33</v>
      </c>
    </row>
    <row r="112" spans="1:9" x14ac:dyDescent="0.3">
      <c r="A112" s="24">
        <v>45352</v>
      </c>
      <c r="B112" t="s">
        <v>175</v>
      </c>
      <c r="C112" t="s">
        <v>58</v>
      </c>
      <c r="D112">
        <v>0.77</v>
      </c>
      <c r="E112" t="s">
        <v>54</v>
      </c>
      <c r="F112" t="s">
        <v>55</v>
      </c>
      <c r="G112" t="s">
        <v>187</v>
      </c>
      <c r="H112" t="s">
        <v>13</v>
      </c>
      <c r="I112" s="26" t="s">
        <v>33</v>
      </c>
    </row>
    <row r="113" spans="1:9" x14ac:dyDescent="0.3">
      <c r="A113" s="24">
        <v>45352</v>
      </c>
      <c r="B113" t="s">
        <v>188</v>
      </c>
      <c r="C113" t="s">
        <v>89</v>
      </c>
      <c r="D113">
        <v>8</v>
      </c>
      <c r="E113" t="s">
        <v>54</v>
      </c>
      <c r="F113" t="s">
        <v>55</v>
      </c>
      <c r="G113" t="s">
        <v>189</v>
      </c>
      <c r="H113" t="s">
        <v>13</v>
      </c>
      <c r="I113" s="26" t="s">
        <v>33</v>
      </c>
    </row>
    <row r="114" spans="1:9" x14ac:dyDescent="0.3">
      <c r="A114" s="24">
        <v>45352</v>
      </c>
      <c r="B114" t="s">
        <v>190</v>
      </c>
      <c r="C114" t="s">
        <v>89</v>
      </c>
      <c r="D114">
        <v>8</v>
      </c>
      <c r="E114" t="s">
        <v>54</v>
      </c>
      <c r="F114" t="s">
        <v>55</v>
      </c>
      <c r="H114" t="s">
        <v>13</v>
      </c>
      <c r="I114" s="26" t="s">
        <v>33</v>
      </c>
    </row>
    <row r="115" spans="1:9" x14ac:dyDescent="0.3">
      <c r="A115" s="24">
        <v>45352</v>
      </c>
      <c r="B115" t="s">
        <v>191</v>
      </c>
      <c r="C115" t="s">
        <v>89</v>
      </c>
      <c r="D115">
        <v>8</v>
      </c>
      <c r="E115" t="s">
        <v>54</v>
      </c>
      <c r="F115" t="s">
        <v>55</v>
      </c>
      <c r="G115" t="s">
        <v>192</v>
      </c>
      <c r="H115" t="s">
        <v>13</v>
      </c>
      <c r="I115" s="26" t="s">
        <v>33</v>
      </c>
    </row>
    <row r="116" spans="1:9" x14ac:dyDescent="0.3">
      <c r="A116" s="24">
        <v>45352</v>
      </c>
      <c r="B116" t="s">
        <v>193</v>
      </c>
      <c r="C116" t="s">
        <v>29</v>
      </c>
      <c r="D116">
        <v>0.33</v>
      </c>
      <c r="E116" t="s">
        <v>116</v>
      </c>
      <c r="F116" t="s">
        <v>31</v>
      </c>
      <c r="G116" t="s">
        <v>194</v>
      </c>
      <c r="H116" t="s">
        <v>13</v>
      </c>
      <c r="I116" s="26" t="s">
        <v>33</v>
      </c>
    </row>
    <row r="117" spans="1:9" x14ac:dyDescent="0.3">
      <c r="A117" s="24">
        <v>45352</v>
      </c>
      <c r="B117" t="s">
        <v>193</v>
      </c>
      <c r="C117" t="s">
        <v>29</v>
      </c>
      <c r="D117">
        <v>0.5</v>
      </c>
      <c r="E117" t="s">
        <v>195</v>
      </c>
      <c r="F117" t="s">
        <v>31</v>
      </c>
      <c r="G117" t="s">
        <v>196</v>
      </c>
      <c r="H117" t="s">
        <v>13</v>
      </c>
      <c r="I117" s="26" t="s">
        <v>33</v>
      </c>
    </row>
    <row r="118" spans="1:9" x14ac:dyDescent="0.3">
      <c r="A118" s="24">
        <v>45352</v>
      </c>
      <c r="B118" t="s">
        <v>193</v>
      </c>
      <c r="C118" t="s">
        <v>197</v>
      </c>
      <c r="D118">
        <v>0.08</v>
      </c>
      <c r="E118" t="s">
        <v>54</v>
      </c>
      <c r="F118" t="s">
        <v>55</v>
      </c>
      <c r="G118" t="s">
        <v>198</v>
      </c>
      <c r="H118" t="s">
        <v>13</v>
      </c>
      <c r="I118" s="26" t="s">
        <v>33</v>
      </c>
    </row>
    <row r="119" spans="1:9" x14ac:dyDescent="0.3">
      <c r="A119" s="24">
        <v>45352</v>
      </c>
      <c r="B119" t="s">
        <v>193</v>
      </c>
      <c r="C119" t="s">
        <v>197</v>
      </c>
      <c r="D119">
        <v>0.67</v>
      </c>
      <c r="E119" t="s">
        <v>54</v>
      </c>
      <c r="F119" t="s">
        <v>55</v>
      </c>
      <c r="G119" t="s">
        <v>199</v>
      </c>
      <c r="H119" t="s">
        <v>13</v>
      </c>
      <c r="I119" s="26" t="s">
        <v>33</v>
      </c>
    </row>
    <row r="120" spans="1:9" x14ac:dyDescent="0.3">
      <c r="A120" s="24">
        <v>45352</v>
      </c>
      <c r="B120" t="s">
        <v>193</v>
      </c>
      <c r="C120" t="s">
        <v>197</v>
      </c>
      <c r="D120">
        <v>1.72</v>
      </c>
      <c r="E120" t="s">
        <v>54</v>
      </c>
      <c r="F120" t="s">
        <v>55</v>
      </c>
      <c r="G120" t="s">
        <v>200</v>
      </c>
      <c r="H120" t="s">
        <v>13</v>
      </c>
      <c r="I120" s="26" t="s">
        <v>33</v>
      </c>
    </row>
    <row r="121" spans="1:9" x14ac:dyDescent="0.3">
      <c r="A121" s="24">
        <v>45352</v>
      </c>
      <c r="B121" t="s">
        <v>193</v>
      </c>
      <c r="C121" t="s">
        <v>197</v>
      </c>
      <c r="D121">
        <v>2.23</v>
      </c>
      <c r="E121" t="s">
        <v>54</v>
      </c>
      <c r="F121" t="s">
        <v>55</v>
      </c>
      <c r="G121" t="s">
        <v>201</v>
      </c>
      <c r="H121" t="s">
        <v>13</v>
      </c>
      <c r="I121" s="26" t="s">
        <v>33</v>
      </c>
    </row>
    <row r="122" spans="1:9" x14ac:dyDescent="0.3">
      <c r="A122" s="24">
        <v>45352</v>
      </c>
      <c r="B122" t="s">
        <v>193</v>
      </c>
      <c r="C122" t="s">
        <v>202</v>
      </c>
      <c r="D122">
        <v>0.17</v>
      </c>
      <c r="E122" t="s">
        <v>203</v>
      </c>
      <c r="F122" t="s">
        <v>31</v>
      </c>
      <c r="G122" t="s">
        <v>204</v>
      </c>
      <c r="H122" t="s">
        <v>13</v>
      </c>
      <c r="I122" s="26" t="s">
        <v>33</v>
      </c>
    </row>
    <row r="123" spans="1:9" x14ac:dyDescent="0.3">
      <c r="A123" s="24">
        <v>45352</v>
      </c>
      <c r="B123" t="s">
        <v>193</v>
      </c>
      <c r="C123" t="s">
        <v>202</v>
      </c>
      <c r="D123">
        <v>0.57999999999999996</v>
      </c>
      <c r="E123" t="s">
        <v>205</v>
      </c>
      <c r="F123" t="s">
        <v>31</v>
      </c>
      <c r="G123" t="s">
        <v>206</v>
      </c>
      <c r="H123" t="s">
        <v>13</v>
      </c>
      <c r="I123" s="26" t="s">
        <v>33</v>
      </c>
    </row>
    <row r="124" spans="1:9" x14ac:dyDescent="0.3">
      <c r="A124" s="24">
        <v>45352</v>
      </c>
      <c r="B124" t="s">
        <v>193</v>
      </c>
      <c r="C124" t="s">
        <v>53</v>
      </c>
      <c r="D124">
        <v>7.0000000000000007E-2</v>
      </c>
      <c r="E124" t="s">
        <v>54</v>
      </c>
      <c r="F124" t="s">
        <v>55</v>
      </c>
      <c r="G124" t="s">
        <v>207</v>
      </c>
      <c r="H124" t="s">
        <v>13</v>
      </c>
      <c r="I124" s="26" t="s">
        <v>33</v>
      </c>
    </row>
    <row r="125" spans="1:9" x14ac:dyDescent="0.3">
      <c r="A125" s="24">
        <v>45352</v>
      </c>
      <c r="B125" t="s">
        <v>193</v>
      </c>
      <c r="C125" t="s">
        <v>53</v>
      </c>
      <c r="D125">
        <v>0.1</v>
      </c>
      <c r="E125" t="s">
        <v>54</v>
      </c>
      <c r="F125" t="s">
        <v>55</v>
      </c>
      <c r="G125" t="s">
        <v>208</v>
      </c>
      <c r="H125" t="s">
        <v>13</v>
      </c>
      <c r="I125" s="26" t="s">
        <v>33</v>
      </c>
    </row>
    <row r="126" spans="1:9" x14ac:dyDescent="0.3">
      <c r="A126" s="24">
        <v>45352</v>
      </c>
      <c r="B126" t="s">
        <v>193</v>
      </c>
      <c r="C126" t="s">
        <v>53</v>
      </c>
      <c r="D126">
        <v>1.03</v>
      </c>
      <c r="E126" t="s">
        <v>54</v>
      </c>
      <c r="F126" t="s">
        <v>55</v>
      </c>
      <c r="G126" t="s">
        <v>209</v>
      </c>
      <c r="H126" t="s">
        <v>13</v>
      </c>
      <c r="I126" s="26" t="s">
        <v>33</v>
      </c>
    </row>
    <row r="127" spans="1:9" x14ac:dyDescent="0.3">
      <c r="A127" s="24">
        <v>45352</v>
      </c>
      <c r="B127" t="s">
        <v>193</v>
      </c>
      <c r="C127" t="s">
        <v>148</v>
      </c>
      <c r="D127">
        <v>0.53</v>
      </c>
      <c r="E127" t="s">
        <v>54</v>
      </c>
      <c r="F127" t="s">
        <v>55</v>
      </c>
      <c r="G127" t="s">
        <v>210</v>
      </c>
      <c r="H127" t="s">
        <v>13</v>
      </c>
      <c r="I127" s="26" t="s">
        <v>33</v>
      </c>
    </row>
    <row r="128" spans="1:9" x14ac:dyDescent="0.3">
      <c r="A128" s="24">
        <v>45352</v>
      </c>
      <c r="B128" t="s">
        <v>193</v>
      </c>
      <c r="C128" t="s">
        <v>60</v>
      </c>
      <c r="D128">
        <v>0.82</v>
      </c>
      <c r="E128" t="s">
        <v>162</v>
      </c>
      <c r="F128" t="s">
        <v>31</v>
      </c>
      <c r="G128" t="s">
        <v>211</v>
      </c>
      <c r="H128" t="s">
        <v>13</v>
      </c>
      <c r="I128" s="26" t="s">
        <v>33</v>
      </c>
    </row>
    <row r="129" spans="1:9" x14ac:dyDescent="0.3">
      <c r="A129" s="24">
        <v>45352</v>
      </c>
      <c r="B129" t="s">
        <v>212</v>
      </c>
      <c r="C129" t="s">
        <v>85</v>
      </c>
      <c r="D129">
        <v>0.08</v>
      </c>
      <c r="E129" t="s">
        <v>54</v>
      </c>
      <c r="F129" t="s">
        <v>55</v>
      </c>
      <c r="G129" t="s">
        <v>213</v>
      </c>
      <c r="H129" t="s">
        <v>13</v>
      </c>
      <c r="I129" s="26" t="s">
        <v>33</v>
      </c>
    </row>
    <row r="130" spans="1:9" x14ac:dyDescent="0.3">
      <c r="A130" s="24">
        <v>45352</v>
      </c>
      <c r="B130" t="s">
        <v>212</v>
      </c>
      <c r="C130" t="s">
        <v>85</v>
      </c>
      <c r="D130">
        <v>0.08</v>
      </c>
      <c r="E130" t="s">
        <v>214</v>
      </c>
      <c r="F130" t="s">
        <v>55</v>
      </c>
      <c r="G130" t="s">
        <v>215</v>
      </c>
      <c r="H130" t="s">
        <v>13</v>
      </c>
      <c r="I130" s="26" t="s">
        <v>33</v>
      </c>
    </row>
    <row r="131" spans="1:9" x14ac:dyDescent="0.3">
      <c r="A131" s="24">
        <v>45352</v>
      </c>
      <c r="B131" t="s">
        <v>212</v>
      </c>
      <c r="C131" t="s">
        <v>85</v>
      </c>
      <c r="D131">
        <v>0.1</v>
      </c>
      <c r="E131" t="s">
        <v>54</v>
      </c>
      <c r="F131" t="s">
        <v>55</v>
      </c>
      <c r="G131" t="s">
        <v>216</v>
      </c>
      <c r="H131" t="s">
        <v>13</v>
      </c>
      <c r="I131" s="26" t="s">
        <v>33</v>
      </c>
    </row>
    <row r="132" spans="1:9" x14ac:dyDescent="0.3">
      <c r="A132" s="24">
        <v>45352</v>
      </c>
      <c r="B132" t="s">
        <v>212</v>
      </c>
      <c r="C132" t="s">
        <v>85</v>
      </c>
      <c r="D132">
        <v>0.13</v>
      </c>
      <c r="E132" t="s">
        <v>217</v>
      </c>
      <c r="F132" t="s">
        <v>55</v>
      </c>
      <c r="G132" t="s">
        <v>215</v>
      </c>
      <c r="H132" t="s">
        <v>13</v>
      </c>
      <c r="I132" s="26" t="s">
        <v>33</v>
      </c>
    </row>
    <row r="133" spans="1:9" x14ac:dyDescent="0.3">
      <c r="A133" s="24">
        <v>45352</v>
      </c>
      <c r="B133" t="s">
        <v>212</v>
      </c>
      <c r="C133" t="s">
        <v>85</v>
      </c>
      <c r="D133">
        <v>0.23</v>
      </c>
      <c r="E133" t="s">
        <v>218</v>
      </c>
      <c r="F133" t="s">
        <v>55</v>
      </c>
      <c r="G133" t="s">
        <v>219</v>
      </c>
      <c r="H133" t="s">
        <v>13</v>
      </c>
      <c r="I133" s="26" t="s">
        <v>33</v>
      </c>
    </row>
    <row r="134" spans="1:9" x14ac:dyDescent="0.3">
      <c r="A134" s="24">
        <v>45352</v>
      </c>
      <c r="B134" t="s">
        <v>212</v>
      </c>
      <c r="C134" t="s">
        <v>85</v>
      </c>
      <c r="D134">
        <v>0.53</v>
      </c>
      <c r="E134" t="s">
        <v>54</v>
      </c>
      <c r="F134" t="s">
        <v>55</v>
      </c>
      <c r="G134" t="s">
        <v>220</v>
      </c>
      <c r="H134" t="s">
        <v>13</v>
      </c>
      <c r="I134" s="26" t="s">
        <v>33</v>
      </c>
    </row>
    <row r="135" spans="1:9" x14ac:dyDescent="0.3">
      <c r="A135" s="24">
        <v>45352</v>
      </c>
      <c r="B135" t="s">
        <v>212</v>
      </c>
      <c r="C135" t="s">
        <v>53</v>
      </c>
      <c r="D135">
        <v>0.25</v>
      </c>
      <c r="E135" t="s">
        <v>54</v>
      </c>
      <c r="F135" t="s">
        <v>55</v>
      </c>
      <c r="G135" t="s">
        <v>221</v>
      </c>
      <c r="H135" t="s">
        <v>13</v>
      </c>
      <c r="I135" s="26" t="s">
        <v>33</v>
      </c>
    </row>
    <row r="136" spans="1:9" x14ac:dyDescent="0.3">
      <c r="A136" s="24">
        <v>45352</v>
      </c>
      <c r="B136" t="s">
        <v>212</v>
      </c>
      <c r="C136" t="s">
        <v>53</v>
      </c>
      <c r="D136">
        <v>0.25</v>
      </c>
      <c r="E136" t="s">
        <v>54</v>
      </c>
      <c r="F136" t="s">
        <v>55</v>
      </c>
      <c r="G136" t="s">
        <v>222</v>
      </c>
      <c r="H136" t="s">
        <v>13</v>
      </c>
      <c r="I136" s="26" t="s">
        <v>33</v>
      </c>
    </row>
    <row r="137" spans="1:9" x14ac:dyDescent="0.3">
      <c r="A137" s="24">
        <v>45352</v>
      </c>
      <c r="B137" t="s">
        <v>212</v>
      </c>
      <c r="C137" t="s">
        <v>53</v>
      </c>
      <c r="D137">
        <v>0.56999999999999995</v>
      </c>
      <c r="E137" t="s">
        <v>54</v>
      </c>
      <c r="F137" t="s">
        <v>55</v>
      </c>
      <c r="G137" t="s">
        <v>223</v>
      </c>
      <c r="H137" t="s">
        <v>13</v>
      </c>
      <c r="I137" s="26" t="s">
        <v>33</v>
      </c>
    </row>
    <row r="138" spans="1:9" x14ac:dyDescent="0.3">
      <c r="A138" s="24">
        <v>45352</v>
      </c>
      <c r="B138" t="s">
        <v>212</v>
      </c>
      <c r="C138" t="s">
        <v>53</v>
      </c>
      <c r="D138">
        <v>1.87</v>
      </c>
      <c r="E138" t="s">
        <v>54</v>
      </c>
      <c r="F138" t="s">
        <v>55</v>
      </c>
      <c r="G138" t="s">
        <v>224</v>
      </c>
      <c r="H138" t="s">
        <v>13</v>
      </c>
      <c r="I138" s="26" t="s">
        <v>33</v>
      </c>
    </row>
    <row r="139" spans="1:9" x14ac:dyDescent="0.3">
      <c r="A139" s="24">
        <v>45352</v>
      </c>
      <c r="B139" t="s">
        <v>212</v>
      </c>
      <c r="C139" t="s">
        <v>225</v>
      </c>
      <c r="D139">
        <v>0.05</v>
      </c>
      <c r="E139" t="s">
        <v>226</v>
      </c>
      <c r="F139" t="s">
        <v>31</v>
      </c>
      <c r="H139" t="s">
        <v>13</v>
      </c>
      <c r="I139" s="26" t="s">
        <v>33</v>
      </c>
    </row>
    <row r="140" spans="1:9" x14ac:dyDescent="0.3">
      <c r="A140" s="24">
        <v>45352</v>
      </c>
      <c r="B140" t="s">
        <v>212</v>
      </c>
      <c r="C140" t="s">
        <v>225</v>
      </c>
      <c r="D140">
        <v>0.05</v>
      </c>
      <c r="E140" t="s">
        <v>227</v>
      </c>
      <c r="F140" t="s">
        <v>31</v>
      </c>
      <c r="H140" t="s">
        <v>13</v>
      </c>
      <c r="I140" s="26" t="s">
        <v>33</v>
      </c>
    </row>
    <row r="141" spans="1:9" x14ac:dyDescent="0.3">
      <c r="A141" s="24">
        <v>45352</v>
      </c>
      <c r="B141" t="s">
        <v>212</v>
      </c>
      <c r="C141" t="s">
        <v>225</v>
      </c>
      <c r="D141">
        <v>0.05</v>
      </c>
      <c r="E141" t="s">
        <v>227</v>
      </c>
      <c r="F141" t="s">
        <v>31</v>
      </c>
      <c r="G141" t="s">
        <v>228</v>
      </c>
      <c r="H141" t="s">
        <v>13</v>
      </c>
      <c r="I141" s="26" t="s">
        <v>33</v>
      </c>
    </row>
    <row r="142" spans="1:9" x14ac:dyDescent="0.3">
      <c r="A142" s="24">
        <v>45352</v>
      </c>
      <c r="B142" t="s">
        <v>212</v>
      </c>
      <c r="C142" t="s">
        <v>225</v>
      </c>
      <c r="D142">
        <v>0.05</v>
      </c>
      <c r="E142" t="s">
        <v>229</v>
      </c>
      <c r="F142" t="s">
        <v>31</v>
      </c>
      <c r="H142" t="s">
        <v>13</v>
      </c>
      <c r="I142" s="26" t="s">
        <v>33</v>
      </c>
    </row>
    <row r="143" spans="1:9" x14ac:dyDescent="0.3">
      <c r="A143" s="24">
        <v>45352</v>
      </c>
      <c r="B143" t="s">
        <v>212</v>
      </c>
      <c r="C143" t="s">
        <v>225</v>
      </c>
      <c r="D143">
        <v>0.05</v>
      </c>
      <c r="E143" t="s">
        <v>102</v>
      </c>
      <c r="F143" t="s">
        <v>31</v>
      </c>
      <c r="H143" t="s">
        <v>13</v>
      </c>
      <c r="I143" s="26" t="s">
        <v>33</v>
      </c>
    </row>
    <row r="144" spans="1:9" x14ac:dyDescent="0.3">
      <c r="A144" s="24">
        <v>45352</v>
      </c>
      <c r="B144" t="s">
        <v>212</v>
      </c>
      <c r="C144" t="s">
        <v>225</v>
      </c>
      <c r="D144">
        <v>0.05</v>
      </c>
      <c r="E144" t="s">
        <v>102</v>
      </c>
      <c r="F144" t="s">
        <v>31</v>
      </c>
      <c r="G144" t="s">
        <v>228</v>
      </c>
      <c r="H144" t="s">
        <v>13</v>
      </c>
      <c r="I144" s="26" t="s">
        <v>33</v>
      </c>
    </row>
    <row r="145" spans="1:9" x14ac:dyDescent="0.3">
      <c r="A145" s="24">
        <v>45352</v>
      </c>
      <c r="B145" t="s">
        <v>212</v>
      </c>
      <c r="C145" t="s">
        <v>225</v>
      </c>
      <c r="D145">
        <v>0.05</v>
      </c>
      <c r="E145" t="s">
        <v>230</v>
      </c>
      <c r="F145" t="s">
        <v>31</v>
      </c>
      <c r="H145" t="s">
        <v>13</v>
      </c>
      <c r="I145" s="26" t="s">
        <v>33</v>
      </c>
    </row>
    <row r="146" spans="1:9" x14ac:dyDescent="0.3">
      <c r="A146" s="24">
        <v>45352</v>
      </c>
      <c r="B146" t="s">
        <v>212</v>
      </c>
      <c r="C146" t="s">
        <v>225</v>
      </c>
      <c r="D146">
        <v>7.0000000000000007E-2</v>
      </c>
      <c r="E146" t="s">
        <v>230</v>
      </c>
      <c r="F146" t="s">
        <v>31</v>
      </c>
      <c r="G146" t="s">
        <v>228</v>
      </c>
      <c r="H146" t="s">
        <v>13</v>
      </c>
      <c r="I146" s="26" t="s">
        <v>33</v>
      </c>
    </row>
    <row r="147" spans="1:9" x14ac:dyDescent="0.3">
      <c r="A147" s="24">
        <v>45352</v>
      </c>
      <c r="B147" t="s">
        <v>212</v>
      </c>
      <c r="C147" t="s">
        <v>225</v>
      </c>
      <c r="D147">
        <v>0.08</v>
      </c>
      <c r="E147" t="s">
        <v>226</v>
      </c>
      <c r="F147" t="s">
        <v>31</v>
      </c>
      <c r="G147" t="s">
        <v>228</v>
      </c>
      <c r="H147" t="s">
        <v>13</v>
      </c>
      <c r="I147" s="26" t="s">
        <v>33</v>
      </c>
    </row>
    <row r="148" spans="1:9" x14ac:dyDescent="0.3">
      <c r="A148" s="24">
        <v>45352</v>
      </c>
      <c r="B148" t="s">
        <v>212</v>
      </c>
      <c r="C148" t="s">
        <v>225</v>
      </c>
      <c r="D148">
        <v>0.12</v>
      </c>
      <c r="E148" t="s">
        <v>229</v>
      </c>
      <c r="F148" t="s">
        <v>31</v>
      </c>
      <c r="G148" t="s">
        <v>228</v>
      </c>
      <c r="H148" t="s">
        <v>13</v>
      </c>
      <c r="I148" s="26" t="s">
        <v>33</v>
      </c>
    </row>
    <row r="149" spans="1:9" x14ac:dyDescent="0.3">
      <c r="A149" s="24">
        <v>45352</v>
      </c>
      <c r="B149" t="s">
        <v>212</v>
      </c>
      <c r="C149" t="s">
        <v>225</v>
      </c>
      <c r="D149">
        <v>0.12</v>
      </c>
      <c r="E149" t="s">
        <v>104</v>
      </c>
      <c r="F149" t="s">
        <v>31</v>
      </c>
      <c r="G149" t="s">
        <v>231</v>
      </c>
      <c r="H149" t="s">
        <v>13</v>
      </c>
      <c r="I149" s="26" t="s">
        <v>33</v>
      </c>
    </row>
    <row r="150" spans="1:9" x14ac:dyDescent="0.3">
      <c r="A150" s="24">
        <v>45352</v>
      </c>
      <c r="B150" t="s">
        <v>212</v>
      </c>
      <c r="C150" t="s">
        <v>232</v>
      </c>
      <c r="D150">
        <v>0.1</v>
      </c>
      <c r="E150" t="s">
        <v>233</v>
      </c>
      <c r="F150" t="s">
        <v>31</v>
      </c>
      <c r="H150" t="s">
        <v>13</v>
      </c>
      <c r="I150" s="26" t="s">
        <v>33</v>
      </c>
    </row>
    <row r="151" spans="1:9" x14ac:dyDescent="0.3">
      <c r="A151" s="24">
        <v>45352</v>
      </c>
      <c r="B151" t="s">
        <v>212</v>
      </c>
      <c r="C151" t="s">
        <v>232</v>
      </c>
      <c r="D151">
        <v>0.25</v>
      </c>
      <c r="E151" t="s">
        <v>234</v>
      </c>
      <c r="F151" t="s">
        <v>31</v>
      </c>
      <c r="H151" t="s">
        <v>13</v>
      </c>
      <c r="I151" s="26" t="s">
        <v>33</v>
      </c>
    </row>
    <row r="152" spans="1:9" x14ac:dyDescent="0.3">
      <c r="A152" s="24">
        <v>45352</v>
      </c>
      <c r="B152" t="s">
        <v>212</v>
      </c>
      <c r="C152" t="s">
        <v>232</v>
      </c>
      <c r="D152">
        <v>0.56999999999999995</v>
      </c>
      <c r="E152" t="s">
        <v>233</v>
      </c>
      <c r="F152" t="s">
        <v>31</v>
      </c>
      <c r="G152" s="55">
        <v>45261</v>
      </c>
      <c r="H152" t="s">
        <v>13</v>
      </c>
      <c r="I152" s="26" t="s">
        <v>33</v>
      </c>
    </row>
    <row r="153" spans="1:9" x14ac:dyDescent="0.3">
      <c r="A153" s="24">
        <v>45352</v>
      </c>
      <c r="B153" t="s">
        <v>212</v>
      </c>
      <c r="C153" t="s">
        <v>235</v>
      </c>
      <c r="D153">
        <v>0.23</v>
      </c>
      <c r="E153" t="s">
        <v>54</v>
      </c>
      <c r="F153" t="s">
        <v>55</v>
      </c>
      <c r="G153" t="s">
        <v>236</v>
      </c>
      <c r="H153" t="s">
        <v>13</v>
      </c>
      <c r="I153" s="26" t="s">
        <v>33</v>
      </c>
    </row>
    <row r="154" spans="1:9" x14ac:dyDescent="0.3">
      <c r="A154" s="24">
        <v>45352</v>
      </c>
      <c r="B154" t="s">
        <v>212</v>
      </c>
      <c r="C154" t="s">
        <v>235</v>
      </c>
      <c r="D154">
        <v>1.75</v>
      </c>
      <c r="E154" t="s">
        <v>54</v>
      </c>
      <c r="F154" t="s">
        <v>55</v>
      </c>
      <c r="G154" t="s">
        <v>237</v>
      </c>
      <c r="H154" t="s">
        <v>13</v>
      </c>
      <c r="I154" s="26" t="s">
        <v>33</v>
      </c>
    </row>
    <row r="155" spans="1:9" x14ac:dyDescent="0.3">
      <c r="A155" s="24">
        <v>45352</v>
      </c>
      <c r="B155" t="s">
        <v>212</v>
      </c>
      <c r="C155" t="s">
        <v>238</v>
      </c>
      <c r="D155">
        <v>0.27</v>
      </c>
      <c r="E155" t="s">
        <v>54</v>
      </c>
      <c r="F155" t="s">
        <v>55</v>
      </c>
      <c r="G155" t="s">
        <v>239</v>
      </c>
      <c r="H155" t="s">
        <v>13</v>
      </c>
      <c r="I155" s="26" t="s">
        <v>33</v>
      </c>
    </row>
    <row r="156" spans="1:9" x14ac:dyDescent="0.3">
      <c r="A156" s="24">
        <v>45352</v>
      </c>
      <c r="B156" t="s">
        <v>240</v>
      </c>
      <c r="C156" t="s">
        <v>29</v>
      </c>
      <c r="D156">
        <v>7.0000000000000007E-2</v>
      </c>
      <c r="E156" t="s">
        <v>241</v>
      </c>
      <c r="F156" t="s">
        <v>31</v>
      </c>
      <c r="H156" t="s">
        <v>13</v>
      </c>
      <c r="I156" s="26" t="s">
        <v>33</v>
      </c>
    </row>
    <row r="157" spans="1:9" x14ac:dyDescent="0.3">
      <c r="A157" s="24">
        <v>45352</v>
      </c>
      <c r="B157" t="s">
        <v>240</v>
      </c>
      <c r="C157" t="s">
        <v>29</v>
      </c>
      <c r="D157">
        <v>0.35</v>
      </c>
      <c r="E157" t="s">
        <v>242</v>
      </c>
      <c r="F157" t="s">
        <v>31</v>
      </c>
      <c r="H157" t="s">
        <v>13</v>
      </c>
      <c r="I157" s="26" t="s">
        <v>33</v>
      </c>
    </row>
    <row r="158" spans="1:9" x14ac:dyDescent="0.3">
      <c r="A158" s="24">
        <v>45352</v>
      </c>
      <c r="B158" t="s">
        <v>240</v>
      </c>
      <c r="C158" t="s">
        <v>29</v>
      </c>
      <c r="D158">
        <v>1.48</v>
      </c>
      <c r="E158" t="s">
        <v>217</v>
      </c>
      <c r="F158" t="s">
        <v>31</v>
      </c>
      <c r="H158" t="s">
        <v>13</v>
      </c>
      <c r="I158" s="26" t="s">
        <v>33</v>
      </c>
    </row>
    <row r="159" spans="1:9" x14ac:dyDescent="0.3">
      <c r="A159" s="24">
        <v>45352</v>
      </c>
      <c r="B159" t="s">
        <v>240</v>
      </c>
      <c r="C159" t="s">
        <v>29</v>
      </c>
      <c r="D159">
        <v>5.4</v>
      </c>
      <c r="E159" t="s">
        <v>81</v>
      </c>
      <c r="F159" t="s">
        <v>31</v>
      </c>
      <c r="H159" t="s">
        <v>13</v>
      </c>
      <c r="I159" s="26" t="s">
        <v>33</v>
      </c>
    </row>
    <row r="160" spans="1:9" x14ac:dyDescent="0.3">
      <c r="A160" s="24">
        <v>45352</v>
      </c>
      <c r="B160" t="s">
        <v>240</v>
      </c>
      <c r="C160" t="s">
        <v>53</v>
      </c>
      <c r="D160">
        <v>0.35</v>
      </c>
      <c r="E160" t="s">
        <v>54</v>
      </c>
      <c r="F160" t="s">
        <v>55</v>
      </c>
      <c r="G160" t="s">
        <v>243</v>
      </c>
      <c r="H160" t="s">
        <v>13</v>
      </c>
      <c r="I160" s="26" t="s">
        <v>33</v>
      </c>
    </row>
    <row r="161" spans="1:9" x14ac:dyDescent="0.3">
      <c r="A161" s="24">
        <v>45352</v>
      </c>
      <c r="B161" t="s">
        <v>240</v>
      </c>
      <c r="C161" t="s">
        <v>58</v>
      </c>
      <c r="D161">
        <v>0.7</v>
      </c>
      <c r="E161" t="s">
        <v>54</v>
      </c>
      <c r="F161" t="s">
        <v>55</v>
      </c>
      <c r="G161" t="s">
        <v>244</v>
      </c>
      <c r="H161" t="s">
        <v>13</v>
      </c>
      <c r="I161" s="26" t="s">
        <v>33</v>
      </c>
    </row>
    <row r="162" spans="1:9" x14ac:dyDescent="0.3">
      <c r="A162" s="24">
        <v>45352</v>
      </c>
      <c r="B162" t="s">
        <v>245</v>
      </c>
      <c r="C162" t="s">
        <v>29</v>
      </c>
      <c r="D162">
        <v>2.5</v>
      </c>
      <c r="E162" t="s">
        <v>91</v>
      </c>
      <c r="F162" t="s">
        <v>31</v>
      </c>
      <c r="G162" t="s">
        <v>246</v>
      </c>
      <c r="H162" t="s">
        <v>13</v>
      </c>
      <c r="I162" s="26" t="s">
        <v>33</v>
      </c>
    </row>
    <row r="163" spans="1:9" x14ac:dyDescent="0.3">
      <c r="A163" s="24">
        <v>45352</v>
      </c>
      <c r="B163" t="s">
        <v>245</v>
      </c>
      <c r="C163" t="s">
        <v>247</v>
      </c>
      <c r="D163">
        <v>1</v>
      </c>
      <c r="E163" t="s">
        <v>242</v>
      </c>
      <c r="F163" t="s">
        <v>31</v>
      </c>
      <c r="G163" t="s">
        <v>248</v>
      </c>
      <c r="H163" t="s">
        <v>13</v>
      </c>
      <c r="I163" s="26" t="s">
        <v>33</v>
      </c>
    </row>
    <row r="164" spans="1:9" x14ac:dyDescent="0.3">
      <c r="A164" s="24">
        <v>45352</v>
      </c>
      <c r="B164" t="s">
        <v>249</v>
      </c>
      <c r="C164" t="s">
        <v>250</v>
      </c>
      <c r="D164">
        <v>1.27</v>
      </c>
      <c r="E164" t="s">
        <v>81</v>
      </c>
      <c r="F164" t="s">
        <v>55</v>
      </c>
      <c r="G164" t="s">
        <v>251</v>
      </c>
      <c r="H164" t="s">
        <v>13</v>
      </c>
      <c r="I164" s="26" t="s">
        <v>33</v>
      </c>
    </row>
    <row r="165" spans="1:9" x14ac:dyDescent="0.3">
      <c r="A165" s="24">
        <v>45352</v>
      </c>
      <c r="B165" t="s">
        <v>249</v>
      </c>
      <c r="C165" t="s">
        <v>252</v>
      </c>
      <c r="D165">
        <v>0.5</v>
      </c>
      <c r="E165" t="s">
        <v>54</v>
      </c>
      <c r="F165" t="s">
        <v>55</v>
      </c>
      <c r="H165" t="s">
        <v>13</v>
      </c>
      <c r="I165" s="26" t="s">
        <v>33</v>
      </c>
    </row>
    <row r="166" spans="1:9" x14ac:dyDescent="0.3">
      <c r="A166" s="24">
        <v>45352</v>
      </c>
      <c r="B166" t="s">
        <v>249</v>
      </c>
      <c r="C166" t="s">
        <v>252</v>
      </c>
      <c r="D166">
        <v>3</v>
      </c>
      <c r="E166" t="s">
        <v>81</v>
      </c>
      <c r="F166" t="s">
        <v>31</v>
      </c>
      <c r="H166" t="s">
        <v>13</v>
      </c>
      <c r="I166" s="26" t="s">
        <v>33</v>
      </c>
    </row>
    <row r="167" spans="1:9" x14ac:dyDescent="0.3">
      <c r="A167" s="24">
        <v>45352</v>
      </c>
      <c r="B167" t="s">
        <v>249</v>
      </c>
      <c r="C167" t="s">
        <v>53</v>
      </c>
      <c r="D167">
        <v>0.5</v>
      </c>
      <c r="E167" t="s">
        <v>54</v>
      </c>
      <c r="F167" t="s">
        <v>55</v>
      </c>
      <c r="G167" t="s">
        <v>253</v>
      </c>
      <c r="H167" t="s">
        <v>13</v>
      </c>
      <c r="I167" s="26" t="s">
        <v>33</v>
      </c>
    </row>
    <row r="168" spans="1:9" x14ac:dyDescent="0.3">
      <c r="A168" s="24">
        <v>45352</v>
      </c>
      <c r="B168" t="s">
        <v>249</v>
      </c>
      <c r="C168" t="s">
        <v>53</v>
      </c>
      <c r="D168">
        <v>1</v>
      </c>
      <c r="E168" t="s">
        <v>254</v>
      </c>
      <c r="F168" t="s">
        <v>55</v>
      </c>
      <c r="G168" t="s">
        <v>255</v>
      </c>
      <c r="H168" t="s">
        <v>13</v>
      </c>
      <c r="I168" s="26" t="s">
        <v>33</v>
      </c>
    </row>
    <row r="169" spans="1:9" x14ac:dyDescent="0.3">
      <c r="A169" s="24">
        <v>45352</v>
      </c>
      <c r="B169" t="s">
        <v>249</v>
      </c>
      <c r="C169" t="s">
        <v>58</v>
      </c>
      <c r="D169">
        <v>1.73</v>
      </c>
      <c r="E169" t="s">
        <v>54</v>
      </c>
      <c r="F169" t="s">
        <v>55</v>
      </c>
      <c r="H169" t="s">
        <v>13</v>
      </c>
      <c r="I169" s="26" t="s">
        <v>33</v>
      </c>
    </row>
    <row r="170" spans="1:9" x14ac:dyDescent="0.3">
      <c r="A170" s="24">
        <v>45352</v>
      </c>
      <c r="B170" t="s">
        <v>256</v>
      </c>
      <c r="C170" t="s">
        <v>29</v>
      </c>
      <c r="D170">
        <v>1.23</v>
      </c>
      <c r="E170" t="s">
        <v>81</v>
      </c>
      <c r="F170" t="s">
        <v>31</v>
      </c>
      <c r="G170" t="s">
        <v>257</v>
      </c>
      <c r="H170" t="s">
        <v>13</v>
      </c>
      <c r="I170" s="26" t="s">
        <v>33</v>
      </c>
    </row>
    <row r="171" spans="1:9" x14ac:dyDescent="0.3">
      <c r="A171" s="24">
        <v>45352</v>
      </c>
      <c r="B171" t="s">
        <v>256</v>
      </c>
      <c r="C171" t="s">
        <v>85</v>
      </c>
      <c r="D171">
        <v>0.32</v>
      </c>
      <c r="E171" t="s">
        <v>54</v>
      </c>
      <c r="F171" t="s">
        <v>55</v>
      </c>
      <c r="H171" t="s">
        <v>13</v>
      </c>
      <c r="I171" s="26" t="s">
        <v>33</v>
      </c>
    </row>
    <row r="172" spans="1:9" x14ac:dyDescent="0.3">
      <c r="A172" s="24">
        <v>45352</v>
      </c>
      <c r="B172" t="s">
        <v>256</v>
      </c>
      <c r="C172" t="s">
        <v>85</v>
      </c>
      <c r="D172">
        <v>0.93</v>
      </c>
      <c r="E172" t="s">
        <v>81</v>
      </c>
      <c r="F172" t="s">
        <v>55</v>
      </c>
      <c r="G172" t="s">
        <v>258</v>
      </c>
      <c r="H172" t="s">
        <v>13</v>
      </c>
      <c r="I172" s="26" t="s">
        <v>33</v>
      </c>
    </row>
    <row r="173" spans="1:9" x14ac:dyDescent="0.3">
      <c r="A173" s="24">
        <v>45352</v>
      </c>
      <c r="B173" t="s">
        <v>256</v>
      </c>
      <c r="C173" t="s">
        <v>53</v>
      </c>
      <c r="D173">
        <v>1</v>
      </c>
      <c r="E173" t="s">
        <v>54</v>
      </c>
      <c r="F173" t="s">
        <v>55</v>
      </c>
      <c r="G173" t="s">
        <v>259</v>
      </c>
      <c r="H173" t="s">
        <v>13</v>
      </c>
      <c r="I173" s="26" t="s">
        <v>33</v>
      </c>
    </row>
    <row r="174" spans="1:9" x14ac:dyDescent="0.3">
      <c r="A174" s="24">
        <v>45352</v>
      </c>
      <c r="B174" t="s">
        <v>256</v>
      </c>
      <c r="C174" t="s">
        <v>53</v>
      </c>
      <c r="D174">
        <v>2.25</v>
      </c>
      <c r="E174" t="s">
        <v>54</v>
      </c>
      <c r="F174" t="s">
        <v>55</v>
      </c>
      <c r="G174" t="s">
        <v>260</v>
      </c>
      <c r="H174" t="s">
        <v>13</v>
      </c>
      <c r="I174" s="26" t="s">
        <v>33</v>
      </c>
    </row>
    <row r="175" spans="1:9" x14ac:dyDescent="0.3">
      <c r="A175" s="24">
        <v>45352</v>
      </c>
      <c r="B175" t="s">
        <v>256</v>
      </c>
      <c r="C175" t="s">
        <v>159</v>
      </c>
      <c r="D175">
        <v>2.4</v>
      </c>
      <c r="E175" t="s">
        <v>54</v>
      </c>
      <c r="F175" t="s">
        <v>55</v>
      </c>
      <c r="G175" t="s">
        <v>261</v>
      </c>
      <c r="H175" t="s">
        <v>13</v>
      </c>
      <c r="I175" s="26" t="s">
        <v>33</v>
      </c>
    </row>
    <row r="176" spans="1:9" x14ac:dyDescent="0.3">
      <c r="A176" s="24">
        <v>45352</v>
      </c>
      <c r="B176" t="s">
        <v>262</v>
      </c>
      <c r="C176" t="s">
        <v>29</v>
      </c>
      <c r="D176">
        <v>1.1299999999999999</v>
      </c>
      <c r="E176" t="s">
        <v>263</v>
      </c>
      <c r="F176" t="s">
        <v>31</v>
      </c>
      <c r="G176" t="s">
        <v>264</v>
      </c>
      <c r="H176" t="s">
        <v>13</v>
      </c>
      <c r="I176" s="26" t="s">
        <v>33</v>
      </c>
    </row>
    <row r="177" spans="1:9" x14ac:dyDescent="0.3">
      <c r="A177" s="24">
        <v>45352</v>
      </c>
      <c r="B177" t="s">
        <v>262</v>
      </c>
      <c r="C177" t="s">
        <v>29</v>
      </c>
      <c r="D177">
        <v>5.68</v>
      </c>
      <c r="E177" t="s">
        <v>263</v>
      </c>
      <c r="F177" t="s">
        <v>31</v>
      </c>
      <c r="G177" t="s">
        <v>265</v>
      </c>
      <c r="H177" t="s">
        <v>13</v>
      </c>
      <c r="I177" s="26" t="s">
        <v>33</v>
      </c>
    </row>
    <row r="178" spans="1:9" x14ac:dyDescent="0.3">
      <c r="A178" s="24">
        <v>45352</v>
      </c>
      <c r="B178" t="s">
        <v>262</v>
      </c>
      <c r="C178" t="s">
        <v>53</v>
      </c>
      <c r="D178">
        <v>0.5</v>
      </c>
      <c r="E178" t="s">
        <v>54</v>
      </c>
      <c r="F178" t="s">
        <v>55</v>
      </c>
      <c r="G178" t="s">
        <v>253</v>
      </c>
      <c r="H178" t="s">
        <v>13</v>
      </c>
      <c r="I178" s="26" t="s">
        <v>33</v>
      </c>
    </row>
    <row r="179" spans="1:9" x14ac:dyDescent="0.3">
      <c r="A179" s="24">
        <v>45352</v>
      </c>
      <c r="B179" t="s">
        <v>262</v>
      </c>
      <c r="C179" t="s">
        <v>58</v>
      </c>
      <c r="D179">
        <v>0.75</v>
      </c>
      <c r="E179" t="s">
        <v>54</v>
      </c>
      <c r="F179" t="s">
        <v>55</v>
      </c>
      <c r="G179" t="s">
        <v>59</v>
      </c>
      <c r="H179" t="s">
        <v>13</v>
      </c>
      <c r="I179" s="26" t="s">
        <v>33</v>
      </c>
    </row>
    <row r="180" spans="1:9" x14ac:dyDescent="0.3">
      <c r="A180" s="24">
        <v>45352</v>
      </c>
      <c r="B180" t="s">
        <v>266</v>
      </c>
      <c r="C180" t="s">
        <v>267</v>
      </c>
      <c r="D180">
        <v>9</v>
      </c>
      <c r="E180" t="s">
        <v>54</v>
      </c>
      <c r="F180" t="s">
        <v>55</v>
      </c>
      <c r="G180" t="s">
        <v>268</v>
      </c>
      <c r="H180" t="s">
        <v>13</v>
      </c>
      <c r="I180" s="26" t="s">
        <v>33</v>
      </c>
    </row>
    <row r="181" spans="1:9" x14ac:dyDescent="0.3">
      <c r="A181" s="24">
        <v>45352</v>
      </c>
      <c r="B181" t="s">
        <v>269</v>
      </c>
      <c r="C181" t="s">
        <v>29</v>
      </c>
      <c r="D181">
        <v>1.1200000000000001</v>
      </c>
      <c r="E181" t="s">
        <v>116</v>
      </c>
      <c r="F181" t="s">
        <v>31</v>
      </c>
      <c r="G181" t="s">
        <v>270</v>
      </c>
      <c r="H181" t="s">
        <v>13</v>
      </c>
      <c r="I181" s="26" t="s">
        <v>33</v>
      </c>
    </row>
    <row r="182" spans="1:9" x14ac:dyDescent="0.3">
      <c r="A182" s="24">
        <v>45352</v>
      </c>
      <c r="B182" t="s">
        <v>269</v>
      </c>
      <c r="C182" t="s">
        <v>29</v>
      </c>
      <c r="D182">
        <v>1.43</v>
      </c>
      <c r="E182" t="s">
        <v>271</v>
      </c>
      <c r="F182" t="s">
        <v>31</v>
      </c>
      <c r="H182" t="s">
        <v>13</v>
      </c>
      <c r="I182" s="26" t="s">
        <v>33</v>
      </c>
    </row>
    <row r="183" spans="1:9" x14ac:dyDescent="0.3">
      <c r="A183" s="24">
        <v>45352</v>
      </c>
      <c r="B183" t="s">
        <v>269</v>
      </c>
      <c r="C183" t="s">
        <v>29</v>
      </c>
      <c r="D183">
        <v>1.75</v>
      </c>
      <c r="E183" t="s">
        <v>271</v>
      </c>
      <c r="F183" t="s">
        <v>31</v>
      </c>
      <c r="G183" t="s">
        <v>272</v>
      </c>
      <c r="H183" t="s">
        <v>13</v>
      </c>
      <c r="I183" s="26" t="s">
        <v>33</v>
      </c>
    </row>
    <row r="184" spans="1:9" x14ac:dyDescent="0.3">
      <c r="A184" s="24">
        <v>45352</v>
      </c>
      <c r="B184" t="s">
        <v>269</v>
      </c>
      <c r="C184" t="s">
        <v>53</v>
      </c>
      <c r="D184">
        <v>0.43</v>
      </c>
      <c r="E184" t="s">
        <v>54</v>
      </c>
      <c r="F184" t="s">
        <v>55</v>
      </c>
      <c r="G184" t="s">
        <v>273</v>
      </c>
      <c r="H184" t="s">
        <v>13</v>
      </c>
      <c r="I184" s="26" t="s">
        <v>33</v>
      </c>
    </row>
    <row r="185" spans="1:9" x14ac:dyDescent="0.3">
      <c r="A185" s="24">
        <v>45352</v>
      </c>
      <c r="B185" t="s">
        <v>269</v>
      </c>
      <c r="C185" t="s">
        <v>53</v>
      </c>
      <c r="D185">
        <v>1.7</v>
      </c>
      <c r="E185" t="s">
        <v>54</v>
      </c>
      <c r="F185" t="s">
        <v>55</v>
      </c>
      <c r="H185" t="s">
        <v>13</v>
      </c>
      <c r="I185" s="26" t="s">
        <v>33</v>
      </c>
    </row>
    <row r="186" spans="1:9" x14ac:dyDescent="0.3">
      <c r="A186" s="24">
        <v>45352</v>
      </c>
      <c r="B186" t="s">
        <v>269</v>
      </c>
      <c r="C186" t="s">
        <v>225</v>
      </c>
      <c r="D186">
        <v>0.2</v>
      </c>
      <c r="E186" t="s">
        <v>42</v>
      </c>
      <c r="F186" t="s">
        <v>31</v>
      </c>
      <c r="G186" t="s">
        <v>274</v>
      </c>
      <c r="H186" t="s">
        <v>13</v>
      </c>
      <c r="I186" s="26" t="s">
        <v>33</v>
      </c>
    </row>
    <row r="187" spans="1:9" x14ac:dyDescent="0.3">
      <c r="A187" s="24">
        <v>45352</v>
      </c>
      <c r="B187" t="s">
        <v>269</v>
      </c>
      <c r="C187" t="s">
        <v>275</v>
      </c>
      <c r="D187">
        <v>0.27</v>
      </c>
      <c r="E187" t="s">
        <v>116</v>
      </c>
      <c r="F187" t="s">
        <v>31</v>
      </c>
      <c r="G187" t="s">
        <v>276</v>
      </c>
      <c r="H187" t="s">
        <v>13</v>
      </c>
      <c r="I187" s="26" t="s">
        <v>33</v>
      </c>
    </row>
    <row r="188" spans="1:9" x14ac:dyDescent="0.3">
      <c r="A188" s="24">
        <v>45352</v>
      </c>
      <c r="B188" t="s">
        <v>269</v>
      </c>
      <c r="C188" t="s">
        <v>148</v>
      </c>
      <c r="D188">
        <v>1.17</v>
      </c>
      <c r="E188" t="s">
        <v>54</v>
      </c>
      <c r="F188" t="s">
        <v>55</v>
      </c>
      <c r="G188" t="s">
        <v>277</v>
      </c>
      <c r="H188" t="s">
        <v>13</v>
      </c>
      <c r="I188" s="26" t="s">
        <v>33</v>
      </c>
    </row>
    <row r="189" spans="1:9" x14ac:dyDescent="0.3">
      <c r="A189" s="24">
        <v>45352</v>
      </c>
      <c r="B189" t="s">
        <v>278</v>
      </c>
      <c r="C189" t="s">
        <v>279</v>
      </c>
      <c r="D189">
        <v>0.48</v>
      </c>
      <c r="E189" t="s">
        <v>54</v>
      </c>
      <c r="F189" t="s">
        <v>55</v>
      </c>
      <c r="G189" t="s">
        <v>280</v>
      </c>
      <c r="H189" t="s">
        <v>13</v>
      </c>
      <c r="I189" s="26" t="s">
        <v>33</v>
      </c>
    </row>
    <row r="190" spans="1:9" x14ac:dyDescent="0.3">
      <c r="A190" s="24">
        <v>45352</v>
      </c>
      <c r="B190" t="s">
        <v>278</v>
      </c>
      <c r="C190" t="s">
        <v>279</v>
      </c>
      <c r="D190">
        <v>1.43</v>
      </c>
      <c r="E190" t="s">
        <v>254</v>
      </c>
      <c r="F190" t="s">
        <v>55</v>
      </c>
      <c r="G190" t="s">
        <v>281</v>
      </c>
      <c r="H190" t="s">
        <v>13</v>
      </c>
      <c r="I190" s="26" t="s">
        <v>33</v>
      </c>
    </row>
    <row r="191" spans="1:9" x14ac:dyDescent="0.3">
      <c r="A191" s="24">
        <v>45352</v>
      </c>
      <c r="B191" t="s">
        <v>278</v>
      </c>
      <c r="C191" t="s">
        <v>29</v>
      </c>
      <c r="D191">
        <v>0.82</v>
      </c>
      <c r="E191" t="s">
        <v>54</v>
      </c>
      <c r="F191" t="s">
        <v>55</v>
      </c>
      <c r="G191" t="s">
        <v>282</v>
      </c>
      <c r="H191" t="s">
        <v>13</v>
      </c>
      <c r="I191" s="26" t="s">
        <v>33</v>
      </c>
    </row>
    <row r="192" spans="1:9" x14ac:dyDescent="0.3">
      <c r="A192" s="24">
        <v>45352</v>
      </c>
      <c r="B192" t="s">
        <v>278</v>
      </c>
      <c r="C192" t="s">
        <v>53</v>
      </c>
      <c r="D192">
        <v>5.17</v>
      </c>
      <c r="E192" t="s">
        <v>254</v>
      </c>
      <c r="F192" t="s">
        <v>55</v>
      </c>
      <c r="G192" t="s">
        <v>283</v>
      </c>
      <c r="H192" t="s">
        <v>13</v>
      </c>
      <c r="I192" s="26" t="s">
        <v>33</v>
      </c>
    </row>
    <row r="193" spans="1:9" x14ac:dyDescent="0.3">
      <c r="A193" s="24">
        <v>45352</v>
      </c>
      <c r="B193" t="s">
        <v>278</v>
      </c>
      <c r="C193" t="s">
        <v>58</v>
      </c>
      <c r="D193">
        <v>0.6</v>
      </c>
      <c r="E193" t="s">
        <v>254</v>
      </c>
      <c r="F193" t="s">
        <v>55</v>
      </c>
      <c r="G193" t="s">
        <v>284</v>
      </c>
      <c r="H193" t="s">
        <v>13</v>
      </c>
      <c r="I193" s="26" t="s">
        <v>33</v>
      </c>
    </row>
    <row r="194" spans="1:9" x14ac:dyDescent="0.3">
      <c r="A194" s="24">
        <v>45352</v>
      </c>
      <c r="B194" t="s">
        <v>278</v>
      </c>
      <c r="C194" t="s">
        <v>60</v>
      </c>
      <c r="D194">
        <v>2.87</v>
      </c>
      <c r="E194" t="s">
        <v>254</v>
      </c>
      <c r="F194" t="s">
        <v>55</v>
      </c>
      <c r="G194" t="s">
        <v>285</v>
      </c>
      <c r="H194" t="s">
        <v>13</v>
      </c>
      <c r="I194" s="26" t="s">
        <v>33</v>
      </c>
    </row>
    <row r="195" spans="1:9" x14ac:dyDescent="0.3">
      <c r="A195" s="24">
        <v>45352</v>
      </c>
      <c r="B195" t="s">
        <v>286</v>
      </c>
      <c r="C195" t="s">
        <v>287</v>
      </c>
      <c r="D195">
        <v>10</v>
      </c>
      <c r="E195" t="s">
        <v>54</v>
      </c>
      <c r="F195" t="s">
        <v>55</v>
      </c>
      <c r="G195" t="s">
        <v>288</v>
      </c>
      <c r="H195" t="s">
        <v>13</v>
      </c>
      <c r="I195" s="26" t="s">
        <v>33</v>
      </c>
    </row>
    <row r="196" spans="1:9" x14ac:dyDescent="0.3">
      <c r="A196" s="24">
        <v>45352</v>
      </c>
      <c r="B196" t="s">
        <v>289</v>
      </c>
      <c r="C196" t="s">
        <v>29</v>
      </c>
      <c r="D196">
        <v>0.5</v>
      </c>
      <c r="E196" t="s">
        <v>226</v>
      </c>
      <c r="F196" t="s">
        <v>31</v>
      </c>
      <c r="H196" t="s">
        <v>13</v>
      </c>
      <c r="I196" s="26" t="s">
        <v>33</v>
      </c>
    </row>
    <row r="197" spans="1:9" x14ac:dyDescent="0.3">
      <c r="A197" s="24">
        <v>45352</v>
      </c>
      <c r="B197" t="s">
        <v>289</v>
      </c>
      <c r="C197" t="s">
        <v>29</v>
      </c>
      <c r="D197">
        <v>0.5</v>
      </c>
      <c r="E197" t="s">
        <v>290</v>
      </c>
      <c r="F197" t="s">
        <v>31</v>
      </c>
      <c r="H197" t="s">
        <v>13</v>
      </c>
      <c r="I197" s="26" t="s">
        <v>33</v>
      </c>
    </row>
    <row r="198" spans="1:9" x14ac:dyDescent="0.3">
      <c r="A198" s="24">
        <v>45352</v>
      </c>
      <c r="B198" t="s">
        <v>289</v>
      </c>
      <c r="C198" t="s">
        <v>29</v>
      </c>
      <c r="D198">
        <v>1</v>
      </c>
      <c r="E198" t="s">
        <v>291</v>
      </c>
      <c r="F198" t="s">
        <v>31</v>
      </c>
      <c r="G198" t="s">
        <v>292</v>
      </c>
      <c r="H198" t="s">
        <v>13</v>
      </c>
      <c r="I198" s="26" t="s">
        <v>33</v>
      </c>
    </row>
    <row r="199" spans="1:9" x14ac:dyDescent="0.3">
      <c r="A199" s="24">
        <v>45352</v>
      </c>
      <c r="B199" t="s">
        <v>289</v>
      </c>
      <c r="C199" t="s">
        <v>29</v>
      </c>
      <c r="D199">
        <v>1.5</v>
      </c>
      <c r="E199" t="s">
        <v>49</v>
      </c>
      <c r="F199" t="s">
        <v>31</v>
      </c>
      <c r="H199" t="s">
        <v>13</v>
      </c>
      <c r="I199" s="26" t="s">
        <v>33</v>
      </c>
    </row>
    <row r="200" spans="1:9" x14ac:dyDescent="0.3">
      <c r="A200" s="24">
        <v>45352</v>
      </c>
      <c r="B200" t="s">
        <v>289</v>
      </c>
      <c r="C200" t="s">
        <v>225</v>
      </c>
      <c r="D200">
        <v>0.5</v>
      </c>
      <c r="E200" t="s">
        <v>226</v>
      </c>
      <c r="F200" t="s">
        <v>31</v>
      </c>
      <c r="H200" t="s">
        <v>13</v>
      </c>
      <c r="I200" s="26" t="s">
        <v>33</v>
      </c>
    </row>
    <row r="201" spans="1:9" x14ac:dyDescent="0.3">
      <c r="A201" s="24">
        <v>45352</v>
      </c>
      <c r="B201" t="s">
        <v>289</v>
      </c>
      <c r="C201" t="s">
        <v>159</v>
      </c>
      <c r="D201">
        <v>1</v>
      </c>
      <c r="E201" t="s">
        <v>226</v>
      </c>
      <c r="F201" t="s">
        <v>31</v>
      </c>
      <c r="G201" t="s">
        <v>293</v>
      </c>
      <c r="H201" t="s">
        <v>13</v>
      </c>
      <c r="I201" s="26" t="s">
        <v>33</v>
      </c>
    </row>
    <row r="202" spans="1:9" x14ac:dyDescent="0.3">
      <c r="A202" s="24">
        <v>45352</v>
      </c>
      <c r="B202" t="s">
        <v>294</v>
      </c>
      <c r="C202" t="s">
        <v>202</v>
      </c>
      <c r="D202">
        <v>0.25</v>
      </c>
      <c r="E202" t="s">
        <v>30</v>
      </c>
      <c r="F202" t="s">
        <v>31</v>
      </c>
      <c r="G202" t="s">
        <v>243</v>
      </c>
      <c r="H202" t="s">
        <v>13</v>
      </c>
      <c r="I202" s="26" t="s">
        <v>33</v>
      </c>
    </row>
    <row r="203" spans="1:9" x14ac:dyDescent="0.3">
      <c r="A203" s="24">
        <v>45352</v>
      </c>
      <c r="B203" t="s">
        <v>294</v>
      </c>
      <c r="C203" t="s">
        <v>202</v>
      </c>
      <c r="D203">
        <v>0.32</v>
      </c>
      <c r="E203" t="s">
        <v>295</v>
      </c>
      <c r="F203" t="s">
        <v>55</v>
      </c>
      <c r="G203" t="s">
        <v>296</v>
      </c>
      <c r="H203" t="s">
        <v>13</v>
      </c>
      <c r="I203" s="26" t="s">
        <v>33</v>
      </c>
    </row>
    <row r="204" spans="1:9" x14ac:dyDescent="0.3">
      <c r="A204" s="24">
        <v>45352</v>
      </c>
      <c r="B204" t="s">
        <v>294</v>
      </c>
      <c r="C204" t="s">
        <v>202</v>
      </c>
      <c r="D204">
        <v>1.7</v>
      </c>
      <c r="E204" t="s">
        <v>30</v>
      </c>
      <c r="F204" t="s">
        <v>55</v>
      </c>
      <c r="G204" t="s">
        <v>297</v>
      </c>
      <c r="H204" t="s">
        <v>13</v>
      </c>
      <c r="I204" s="26" t="s">
        <v>33</v>
      </c>
    </row>
    <row r="205" spans="1:9" x14ac:dyDescent="0.3">
      <c r="A205" s="24">
        <v>45352</v>
      </c>
      <c r="B205" t="s">
        <v>294</v>
      </c>
      <c r="C205" t="s">
        <v>85</v>
      </c>
      <c r="D205">
        <v>1.5</v>
      </c>
      <c r="E205" t="s">
        <v>30</v>
      </c>
      <c r="F205" t="s">
        <v>31</v>
      </c>
      <c r="G205" t="s">
        <v>298</v>
      </c>
      <c r="H205" t="s">
        <v>13</v>
      </c>
      <c r="I205" s="26" t="s">
        <v>33</v>
      </c>
    </row>
    <row r="206" spans="1:9" x14ac:dyDescent="0.3">
      <c r="A206" s="24">
        <v>45352</v>
      </c>
      <c r="B206" t="s">
        <v>294</v>
      </c>
      <c r="C206" t="s">
        <v>53</v>
      </c>
      <c r="D206">
        <v>0.23</v>
      </c>
      <c r="E206" t="s">
        <v>54</v>
      </c>
      <c r="F206" t="s">
        <v>55</v>
      </c>
      <c r="G206" t="s">
        <v>299</v>
      </c>
      <c r="H206" t="s">
        <v>13</v>
      </c>
      <c r="I206" s="26" t="s">
        <v>33</v>
      </c>
    </row>
    <row r="207" spans="1:9" x14ac:dyDescent="0.3">
      <c r="A207" s="24">
        <v>45352</v>
      </c>
      <c r="B207" t="s">
        <v>294</v>
      </c>
      <c r="C207" t="s">
        <v>53</v>
      </c>
      <c r="D207">
        <v>2</v>
      </c>
      <c r="E207" t="s">
        <v>54</v>
      </c>
      <c r="F207" t="s">
        <v>55</v>
      </c>
      <c r="G207" t="s">
        <v>300</v>
      </c>
      <c r="H207" t="s">
        <v>13</v>
      </c>
      <c r="I207" s="26" t="s">
        <v>33</v>
      </c>
    </row>
    <row r="208" spans="1:9" x14ac:dyDescent="0.3">
      <c r="A208" s="24">
        <v>45352</v>
      </c>
      <c r="B208" t="s">
        <v>301</v>
      </c>
      <c r="C208" t="s">
        <v>29</v>
      </c>
      <c r="D208">
        <v>0.4</v>
      </c>
      <c r="E208" t="s">
        <v>156</v>
      </c>
      <c r="F208" t="s">
        <v>31</v>
      </c>
      <c r="G208" t="s">
        <v>302</v>
      </c>
      <c r="H208" t="s">
        <v>13</v>
      </c>
      <c r="I208" s="26" t="s">
        <v>33</v>
      </c>
    </row>
    <row r="209" spans="1:9" x14ac:dyDescent="0.3">
      <c r="A209" s="24">
        <v>45352</v>
      </c>
      <c r="B209" t="s">
        <v>301</v>
      </c>
      <c r="C209" t="s">
        <v>29</v>
      </c>
      <c r="D209">
        <v>0.56999999999999995</v>
      </c>
      <c r="E209" t="s">
        <v>156</v>
      </c>
      <c r="F209" t="s">
        <v>31</v>
      </c>
      <c r="G209" t="s">
        <v>303</v>
      </c>
      <c r="H209" t="s">
        <v>13</v>
      </c>
      <c r="I209" s="26" t="s">
        <v>33</v>
      </c>
    </row>
    <row r="210" spans="1:9" x14ac:dyDescent="0.3">
      <c r="A210" s="24">
        <v>45352</v>
      </c>
      <c r="B210" t="s">
        <v>301</v>
      </c>
      <c r="C210" t="s">
        <v>29</v>
      </c>
      <c r="D210">
        <v>0.67</v>
      </c>
      <c r="E210" t="s">
        <v>304</v>
      </c>
      <c r="F210" t="s">
        <v>31</v>
      </c>
      <c r="G210" t="s">
        <v>305</v>
      </c>
      <c r="H210" t="s">
        <v>13</v>
      </c>
      <c r="I210" s="26" t="s">
        <v>33</v>
      </c>
    </row>
    <row r="211" spans="1:9" x14ac:dyDescent="0.3">
      <c r="A211" s="24">
        <v>45352</v>
      </c>
      <c r="B211" t="s">
        <v>301</v>
      </c>
      <c r="C211" t="s">
        <v>29</v>
      </c>
      <c r="D211">
        <v>0.7</v>
      </c>
      <c r="E211" t="s">
        <v>156</v>
      </c>
      <c r="F211" t="s">
        <v>31</v>
      </c>
      <c r="G211" t="s">
        <v>306</v>
      </c>
      <c r="H211" t="s">
        <v>13</v>
      </c>
      <c r="I211" s="26" t="s">
        <v>33</v>
      </c>
    </row>
    <row r="212" spans="1:9" x14ac:dyDescent="0.3">
      <c r="A212" s="24">
        <v>45352</v>
      </c>
      <c r="B212" t="s">
        <v>301</v>
      </c>
      <c r="C212" t="s">
        <v>29</v>
      </c>
      <c r="D212">
        <v>1.6</v>
      </c>
      <c r="E212" t="s">
        <v>304</v>
      </c>
      <c r="F212" t="s">
        <v>31</v>
      </c>
      <c r="G212" t="s">
        <v>303</v>
      </c>
      <c r="H212" t="s">
        <v>13</v>
      </c>
      <c r="I212" s="26" t="s">
        <v>33</v>
      </c>
    </row>
    <row r="213" spans="1:9" x14ac:dyDescent="0.3">
      <c r="A213" s="24">
        <v>45352</v>
      </c>
      <c r="B213" t="s">
        <v>301</v>
      </c>
      <c r="C213" t="s">
        <v>29</v>
      </c>
      <c r="D213">
        <v>1.73</v>
      </c>
      <c r="E213" t="s">
        <v>156</v>
      </c>
      <c r="F213" t="s">
        <v>31</v>
      </c>
      <c r="H213" t="s">
        <v>13</v>
      </c>
      <c r="I213" s="26" t="s">
        <v>33</v>
      </c>
    </row>
    <row r="214" spans="1:9" x14ac:dyDescent="0.3">
      <c r="A214" s="24">
        <v>45352</v>
      </c>
      <c r="B214" t="s">
        <v>301</v>
      </c>
      <c r="C214" t="s">
        <v>202</v>
      </c>
      <c r="D214">
        <v>0.56999999999999995</v>
      </c>
      <c r="E214" t="s">
        <v>156</v>
      </c>
      <c r="F214" t="s">
        <v>55</v>
      </c>
      <c r="G214" t="s">
        <v>307</v>
      </c>
      <c r="H214" t="s">
        <v>13</v>
      </c>
      <c r="I214" s="26" t="s">
        <v>33</v>
      </c>
    </row>
    <row r="215" spans="1:9" x14ac:dyDescent="0.3">
      <c r="A215" s="24">
        <v>45352</v>
      </c>
      <c r="B215" t="s">
        <v>301</v>
      </c>
      <c r="C215" t="s">
        <v>53</v>
      </c>
      <c r="D215">
        <v>0.2</v>
      </c>
      <c r="E215" t="s">
        <v>54</v>
      </c>
      <c r="F215" t="s">
        <v>55</v>
      </c>
      <c r="G215" t="s">
        <v>308</v>
      </c>
      <c r="H215" t="s">
        <v>13</v>
      </c>
      <c r="I215" s="26" t="s">
        <v>33</v>
      </c>
    </row>
    <row r="216" spans="1:9" x14ac:dyDescent="0.3">
      <c r="A216" s="24">
        <v>45352</v>
      </c>
      <c r="B216" t="s">
        <v>301</v>
      </c>
      <c r="C216" t="s">
        <v>53</v>
      </c>
      <c r="D216">
        <v>0.28000000000000003</v>
      </c>
      <c r="E216" t="s">
        <v>54</v>
      </c>
      <c r="F216" t="s">
        <v>55</v>
      </c>
      <c r="G216" t="s">
        <v>309</v>
      </c>
      <c r="H216" t="s">
        <v>13</v>
      </c>
      <c r="I216" s="26" t="s">
        <v>33</v>
      </c>
    </row>
    <row r="217" spans="1:9" x14ac:dyDescent="0.3">
      <c r="A217" s="24">
        <v>45352</v>
      </c>
      <c r="B217" t="s">
        <v>301</v>
      </c>
      <c r="C217" t="s">
        <v>53</v>
      </c>
      <c r="D217">
        <v>0.28000000000000003</v>
      </c>
      <c r="E217" t="s">
        <v>54</v>
      </c>
      <c r="F217" t="s">
        <v>55</v>
      </c>
      <c r="G217" t="s">
        <v>310</v>
      </c>
      <c r="H217" t="s">
        <v>13</v>
      </c>
      <c r="I217" s="26" t="s">
        <v>33</v>
      </c>
    </row>
    <row r="218" spans="1:9" x14ac:dyDescent="0.3">
      <c r="A218" s="24">
        <v>45352</v>
      </c>
      <c r="B218" t="s">
        <v>301</v>
      </c>
      <c r="C218" t="s">
        <v>58</v>
      </c>
      <c r="D218">
        <v>1.22</v>
      </c>
      <c r="E218" t="s">
        <v>54</v>
      </c>
      <c r="F218" t="s">
        <v>55</v>
      </c>
      <c r="G218" t="s">
        <v>311</v>
      </c>
      <c r="H218" t="s">
        <v>13</v>
      </c>
      <c r="I218" s="26" t="s">
        <v>33</v>
      </c>
    </row>
    <row r="219" spans="1:9" x14ac:dyDescent="0.3">
      <c r="A219" s="24">
        <v>45352</v>
      </c>
      <c r="B219" t="s">
        <v>301</v>
      </c>
      <c r="C219" t="s">
        <v>60</v>
      </c>
      <c r="D219">
        <v>0.1</v>
      </c>
      <c r="E219" t="s">
        <v>143</v>
      </c>
      <c r="F219" t="s">
        <v>31</v>
      </c>
      <c r="G219" t="s">
        <v>312</v>
      </c>
      <c r="H219" t="s">
        <v>13</v>
      </c>
      <c r="I219" s="26" t="s">
        <v>33</v>
      </c>
    </row>
    <row r="220" spans="1:9" x14ac:dyDescent="0.3">
      <c r="A220" s="24">
        <v>45352</v>
      </c>
      <c r="B220" t="s">
        <v>313</v>
      </c>
      <c r="C220" t="s">
        <v>29</v>
      </c>
      <c r="D220">
        <v>0.28000000000000003</v>
      </c>
      <c r="E220" t="s">
        <v>170</v>
      </c>
      <c r="F220" t="s">
        <v>31</v>
      </c>
      <c r="H220" t="s">
        <v>13</v>
      </c>
      <c r="I220" s="26" t="s">
        <v>33</v>
      </c>
    </row>
    <row r="221" spans="1:9" x14ac:dyDescent="0.3">
      <c r="A221" s="24">
        <v>45352</v>
      </c>
      <c r="B221" t="s">
        <v>313</v>
      </c>
      <c r="C221" t="s">
        <v>29</v>
      </c>
      <c r="D221">
        <v>1.88</v>
      </c>
      <c r="E221" t="s">
        <v>91</v>
      </c>
      <c r="F221" t="s">
        <v>31</v>
      </c>
      <c r="G221" t="s">
        <v>314</v>
      </c>
      <c r="H221" t="s">
        <v>13</v>
      </c>
      <c r="I221" s="26" t="s">
        <v>33</v>
      </c>
    </row>
    <row r="222" spans="1:9" x14ac:dyDescent="0.3">
      <c r="A222" s="24">
        <v>45352</v>
      </c>
      <c r="B222" t="s">
        <v>313</v>
      </c>
      <c r="C222" t="s">
        <v>29</v>
      </c>
      <c r="D222">
        <v>2.4</v>
      </c>
      <c r="E222" t="s">
        <v>91</v>
      </c>
      <c r="F222" t="s">
        <v>31</v>
      </c>
      <c r="G222" t="s">
        <v>315</v>
      </c>
      <c r="H222" t="s">
        <v>13</v>
      </c>
      <c r="I222" s="26" t="s">
        <v>33</v>
      </c>
    </row>
    <row r="223" spans="1:9" x14ac:dyDescent="0.3">
      <c r="A223" s="24">
        <v>45352</v>
      </c>
      <c r="B223" t="s">
        <v>313</v>
      </c>
      <c r="C223" t="s">
        <v>53</v>
      </c>
      <c r="D223">
        <v>0.32</v>
      </c>
      <c r="E223" t="s">
        <v>54</v>
      </c>
      <c r="F223" t="s">
        <v>55</v>
      </c>
      <c r="G223" t="s">
        <v>316</v>
      </c>
      <c r="H223" t="s">
        <v>13</v>
      </c>
      <c r="I223" s="26" t="s">
        <v>33</v>
      </c>
    </row>
    <row r="224" spans="1:9" x14ac:dyDescent="0.3">
      <c r="A224" s="24">
        <v>45352</v>
      </c>
      <c r="B224" t="s">
        <v>313</v>
      </c>
      <c r="C224" t="s">
        <v>159</v>
      </c>
      <c r="D224">
        <v>2.67</v>
      </c>
      <c r="E224" t="s">
        <v>170</v>
      </c>
      <c r="F224" t="s">
        <v>31</v>
      </c>
      <c r="H224" t="s">
        <v>13</v>
      </c>
      <c r="I224" s="26" t="s">
        <v>33</v>
      </c>
    </row>
    <row r="225" spans="1:9" x14ac:dyDescent="0.3">
      <c r="A225" s="24">
        <v>45352</v>
      </c>
      <c r="B225" t="s">
        <v>313</v>
      </c>
      <c r="C225" t="s">
        <v>58</v>
      </c>
      <c r="D225">
        <v>0.9</v>
      </c>
      <c r="E225" t="s">
        <v>54</v>
      </c>
      <c r="F225" t="s">
        <v>55</v>
      </c>
      <c r="G225" t="s">
        <v>317</v>
      </c>
      <c r="H225" t="s">
        <v>13</v>
      </c>
      <c r="I225" s="26" t="s">
        <v>33</v>
      </c>
    </row>
    <row r="226" spans="1:9" x14ac:dyDescent="0.3">
      <c r="A226" s="24">
        <v>45352</v>
      </c>
      <c r="B226" t="s">
        <v>318</v>
      </c>
      <c r="C226" t="s">
        <v>53</v>
      </c>
      <c r="D226">
        <v>1.23</v>
      </c>
      <c r="E226" t="s">
        <v>54</v>
      </c>
      <c r="F226" t="s">
        <v>55</v>
      </c>
      <c r="G226" t="s">
        <v>319</v>
      </c>
      <c r="H226" t="s">
        <v>13</v>
      </c>
      <c r="I226" s="26" t="s">
        <v>33</v>
      </c>
    </row>
    <row r="227" spans="1:9" x14ac:dyDescent="0.3">
      <c r="A227" s="24">
        <v>45352</v>
      </c>
      <c r="B227" t="s">
        <v>318</v>
      </c>
      <c r="C227" t="s">
        <v>53</v>
      </c>
      <c r="D227">
        <v>1.88</v>
      </c>
      <c r="E227" t="s">
        <v>54</v>
      </c>
      <c r="F227" t="s">
        <v>55</v>
      </c>
      <c r="G227" t="s">
        <v>320</v>
      </c>
      <c r="H227" t="s">
        <v>13</v>
      </c>
      <c r="I227" s="26" t="s">
        <v>33</v>
      </c>
    </row>
    <row r="228" spans="1:9" x14ac:dyDescent="0.3">
      <c r="A228" s="24">
        <v>45352</v>
      </c>
      <c r="B228" t="s">
        <v>318</v>
      </c>
      <c r="C228" t="s">
        <v>53</v>
      </c>
      <c r="D228">
        <v>2.2799999999999998</v>
      </c>
      <c r="E228" t="s">
        <v>54</v>
      </c>
      <c r="F228" t="s">
        <v>55</v>
      </c>
      <c r="G228" t="s">
        <v>321</v>
      </c>
      <c r="H228" t="s">
        <v>13</v>
      </c>
      <c r="I228" s="26" t="s">
        <v>33</v>
      </c>
    </row>
    <row r="229" spans="1:9" x14ac:dyDescent="0.3">
      <c r="A229" s="24">
        <v>45352</v>
      </c>
      <c r="B229" t="s">
        <v>318</v>
      </c>
      <c r="C229" t="s">
        <v>58</v>
      </c>
      <c r="D229">
        <v>0.63</v>
      </c>
      <c r="E229" t="s">
        <v>54</v>
      </c>
      <c r="F229" t="s">
        <v>55</v>
      </c>
      <c r="G229" t="s">
        <v>322</v>
      </c>
      <c r="H229" t="s">
        <v>13</v>
      </c>
      <c r="I229" s="26" t="s">
        <v>33</v>
      </c>
    </row>
    <row r="230" spans="1:9" x14ac:dyDescent="0.3">
      <c r="A230" s="24">
        <v>45352</v>
      </c>
      <c r="B230" t="s">
        <v>318</v>
      </c>
      <c r="C230" t="s">
        <v>58</v>
      </c>
      <c r="D230">
        <v>2.13</v>
      </c>
      <c r="E230" t="s">
        <v>54</v>
      </c>
      <c r="F230" t="s">
        <v>55</v>
      </c>
      <c r="G230" t="s">
        <v>323</v>
      </c>
      <c r="H230" t="s">
        <v>13</v>
      </c>
      <c r="I230" s="26" t="s">
        <v>33</v>
      </c>
    </row>
    <row r="231" spans="1:9" x14ac:dyDescent="0.3">
      <c r="A231" s="24">
        <v>45352</v>
      </c>
      <c r="B231" t="s">
        <v>324</v>
      </c>
      <c r="C231" t="s">
        <v>29</v>
      </c>
      <c r="D231">
        <v>5.05</v>
      </c>
      <c r="E231" t="s">
        <v>81</v>
      </c>
      <c r="F231" t="s">
        <v>31</v>
      </c>
      <c r="H231" t="s">
        <v>13</v>
      </c>
      <c r="I231" s="26" t="s">
        <v>33</v>
      </c>
    </row>
    <row r="232" spans="1:9" x14ac:dyDescent="0.3">
      <c r="A232" s="24">
        <v>45352</v>
      </c>
      <c r="B232" t="s">
        <v>324</v>
      </c>
      <c r="C232" t="s">
        <v>85</v>
      </c>
      <c r="D232">
        <v>0.56999999999999995</v>
      </c>
      <c r="E232" t="s">
        <v>81</v>
      </c>
      <c r="F232" t="s">
        <v>31</v>
      </c>
      <c r="G232" t="s">
        <v>325</v>
      </c>
      <c r="H232" t="s">
        <v>13</v>
      </c>
      <c r="I232" s="26" t="s">
        <v>33</v>
      </c>
    </row>
    <row r="233" spans="1:9" x14ac:dyDescent="0.3">
      <c r="A233" s="24">
        <v>45352</v>
      </c>
      <c r="B233" t="s">
        <v>324</v>
      </c>
      <c r="C233" t="s">
        <v>58</v>
      </c>
      <c r="D233">
        <v>1.02</v>
      </c>
      <c r="E233" t="s">
        <v>54</v>
      </c>
      <c r="F233" t="s">
        <v>55</v>
      </c>
      <c r="G233" t="s">
        <v>326</v>
      </c>
      <c r="H233" t="s">
        <v>13</v>
      </c>
      <c r="I233" s="26" t="s">
        <v>33</v>
      </c>
    </row>
    <row r="234" spans="1:9" x14ac:dyDescent="0.3">
      <c r="A234" s="24">
        <v>45352</v>
      </c>
      <c r="B234" t="s">
        <v>324</v>
      </c>
      <c r="C234" t="s">
        <v>58</v>
      </c>
      <c r="D234">
        <v>1.68</v>
      </c>
      <c r="E234" t="s">
        <v>54</v>
      </c>
      <c r="F234" t="s">
        <v>55</v>
      </c>
      <c r="G234" t="s">
        <v>327</v>
      </c>
      <c r="H234" t="s">
        <v>13</v>
      </c>
      <c r="I234" s="26" t="s">
        <v>33</v>
      </c>
    </row>
    <row r="235" spans="1:9" x14ac:dyDescent="0.3">
      <c r="A235" s="24">
        <v>45352</v>
      </c>
      <c r="B235" t="s">
        <v>328</v>
      </c>
      <c r="C235" t="s">
        <v>73</v>
      </c>
      <c r="D235">
        <v>8</v>
      </c>
      <c r="E235" t="s">
        <v>54</v>
      </c>
      <c r="F235" t="s">
        <v>55</v>
      </c>
      <c r="H235" t="s">
        <v>13</v>
      </c>
      <c r="I235" s="26" t="s">
        <v>33</v>
      </c>
    </row>
    <row r="236" spans="1:9" x14ac:dyDescent="0.3">
      <c r="A236" s="24">
        <v>45352</v>
      </c>
      <c r="B236" t="s">
        <v>329</v>
      </c>
      <c r="C236" t="s">
        <v>235</v>
      </c>
      <c r="D236">
        <v>0.17</v>
      </c>
      <c r="E236" t="s">
        <v>54</v>
      </c>
      <c r="F236" t="s">
        <v>31</v>
      </c>
      <c r="G236" t="s">
        <v>330</v>
      </c>
      <c r="H236" t="s">
        <v>13</v>
      </c>
      <c r="I236" s="26" t="s">
        <v>33</v>
      </c>
    </row>
    <row r="237" spans="1:9" x14ac:dyDescent="0.3">
      <c r="A237" s="24">
        <v>45352</v>
      </c>
      <c r="B237" t="s">
        <v>331</v>
      </c>
      <c r="C237" t="s">
        <v>53</v>
      </c>
      <c r="D237">
        <v>0.5</v>
      </c>
      <c r="E237" t="s">
        <v>54</v>
      </c>
      <c r="F237" t="s">
        <v>55</v>
      </c>
      <c r="G237" t="s">
        <v>332</v>
      </c>
      <c r="H237" t="s">
        <v>13</v>
      </c>
      <c r="I237" s="26" t="s">
        <v>33</v>
      </c>
    </row>
    <row r="238" spans="1:9" x14ac:dyDescent="0.3">
      <c r="A238" s="24">
        <v>45352</v>
      </c>
      <c r="B238" t="s">
        <v>331</v>
      </c>
      <c r="C238" t="s">
        <v>58</v>
      </c>
      <c r="D238">
        <v>0.75</v>
      </c>
      <c r="E238" t="s">
        <v>54</v>
      </c>
      <c r="F238" t="s">
        <v>55</v>
      </c>
      <c r="G238" t="s">
        <v>333</v>
      </c>
      <c r="H238" t="s">
        <v>13</v>
      </c>
      <c r="I238" s="26" t="s">
        <v>33</v>
      </c>
    </row>
    <row r="239" spans="1:9" x14ac:dyDescent="0.3">
      <c r="A239" s="24">
        <v>45352</v>
      </c>
      <c r="B239" t="s">
        <v>331</v>
      </c>
      <c r="C239" t="s">
        <v>60</v>
      </c>
      <c r="D239">
        <v>0.87</v>
      </c>
      <c r="E239" t="s">
        <v>334</v>
      </c>
      <c r="F239" t="s">
        <v>31</v>
      </c>
      <c r="G239" t="s">
        <v>335</v>
      </c>
      <c r="H239" t="s">
        <v>13</v>
      </c>
      <c r="I239" s="26" t="s">
        <v>33</v>
      </c>
    </row>
    <row r="240" spans="1:9" x14ac:dyDescent="0.3">
      <c r="A240" s="24">
        <v>45352</v>
      </c>
      <c r="B240" t="s">
        <v>331</v>
      </c>
      <c r="C240" t="s">
        <v>60</v>
      </c>
      <c r="D240">
        <v>1.33</v>
      </c>
      <c r="E240" t="s">
        <v>334</v>
      </c>
      <c r="F240" t="s">
        <v>31</v>
      </c>
      <c r="G240" t="s">
        <v>336</v>
      </c>
      <c r="H240" t="s">
        <v>13</v>
      </c>
      <c r="I240" s="26" t="s">
        <v>33</v>
      </c>
    </row>
    <row r="241" spans="1:9" x14ac:dyDescent="0.3">
      <c r="A241" s="24">
        <v>45352</v>
      </c>
      <c r="B241" t="s">
        <v>331</v>
      </c>
      <c r="C241" t="s">
        <v>60</v>
      </c>
      <c r="D241">
        <v>1.83</v>
      </c>
      <c r="E241" t="s">
        <v>337</v>
      </c>
      <c r="F241" t="s">
        <v>31</v>
      </c>
      <c r="G241" t="s">
        <v>338</v>
      </c>
      <c r="H241" t="s">
        <v>13</v>
      </c>
      <c r="I241" s="26" t="s">
        <v>33</v>
      </c>
    </row>
    <row r="242" spans="1:9" x14ac:dyDescent="0.3">
      <c r="A242" s="24">
        <v>45352</v>
      </c>
      <c r="B242" t="s">
        <v>331</v>
      </c>
      <c r="C242" t="s">
        <v>60</v>
      </c>
      <c r="D242">
        <v>2.75</v>
      </c>
      <c r="E242" t="s">
        <v>334</v>
      </c>
      <c r="F242" t="s">
        <v>31</v>
      </c>
      <c r="G242" t="s">
        <v>339</v>
      </c>
      <c r="H242" t="s">
        <v>13</v>
      </c>
      <c r="I242" s="26" t="s">
        <v>33</v>
      </c>
    </row>
    <row r="243" spans="1:9" x14ac:dyDescent="0.3">
      <c r="A243" s="24">
        <v>45352</v>
      </c>
      <c r="B243" t="s">
        <v>340</v>
      </c>
      <c r="C243" t="s">
        <v>202</v>
      </c>
      <c r="D243">
        <v>0.75</v>
      </c>
      <c r="E243" t="s">
        <v>156</v>
      </c>
      <c r="F243" t="s">
        <v>31</v>
      </c>
      <c r="G243" t="s">
        <v>341</v>
      </c>
      <c r="H243" t="s">
        <v>13</v>
      </c>
      <c r="I243" s="26" t="s">
        <v>33</v>
      </c>
    </row>
    <row r="244" spans="1:9" x14ac:dyDescent="0.3">
      <c r="A244" s="24">
        <v>45352</v>
      </c>
      <c r="B244" t="s">
        <v>340</v>
      </c>
      <c r="C244" t="s">
        <v>202</v>
      </c>
      <c r="D244">
        <v>1</v>
      </c>
      <c r="E244" t="s">
        <v>176</v>
      </c>
      <c r="F244" t="s">
        <v>31</v>
      </c>
      <c r="G244" t="s">
        <v>342</v>
      </c>
      <c r="H244" t="s">
        <v>13</v>
      </c>
      <c r="I244" s="26" t="s">
        <v>33</v>
      </c>
    </row>
    <row r="245" spans="1:9" x14ac:dyDescent="0.3">
      <c r="A245" s="24">
        <v>45352</v>
      </c>
      <c r="B245" t="s">
        <v>340</v>
      </c>
      <c r="C245" t="s">
        <v>53</v>
      </c>
      <c r="D245">
        <v>0.5</v>
      </c>
      <c r="E245" t="s">
        <v>54</v>
      </c>
      <c r="F245" t="s">
        <v>55</v>
      </c>
      <c r="G245" t="s">
        <v>343</v>
      </c>
      <c r="H245" t="s">
        <v>13</v>
      </c>
      <c r="I245" s="26" t="s">
        <v>33</v>
      </c>
    </row>
    <row r="246" spans="1:9" x14ac:dyDescent="0.3">
      <c r="A246" s="24">
        <v>45352</v>
      </c>
      <c r="B246" t="s">
        <v>340</v>
      </c>
      <c r="C246" t="s">
        <v>53</v>
      </c>
      <c r="D246">
        <v>1.5</v>
      </c>
      <c r="E246" t="s">
        <v>54</v>
      </c>
      <c r="F246" t="s">
        <v>55</v>
      </c>
      <c r="G246" t="s">
        <v>344</v>
      </c>
      <c r="H246" t="s">
        <v>13</v>
      </c>
      <c r="I246" s="26" t="s">
        <v>33</v>
      </c>
    </row>
    <row r="247" spans="1:9" x14ac:dyDescent="0.3">
      <c r="A247" s="24">
        <v>45352</v>
      </c>
      <c r="B247" t="s">
        <v>340</v>
      </c>
      <c r="C247" t="s">
        <v>225</v>
      </c>
      <c r="D247">
        <v>0.17</v>
      </c>
      <c r="E247" t="s">
        <v>226</v>
      </c>
      <c r="F247" t="s">
        <v>31</v>
      </c>
      <c r="G247" t="s">
        <v>345</v>
      </c>
      <c r="H247" t="s">
        <v>13</v>
      </c>
      <c r="I247" s="26" t="s">
        <v>33</v>
      </c>
    </row>
    <row r="248" spans="1:9" x14ac:dyDescent="0.3">
      <c r="A248" s="24">
        <v>45352</v>
      </c>
      <c r="B248" t="s">
        <v>340</v>
      </c>
      <c r="C248" t="s">
        <v>225</v>
      </c>
      <c r="D248">
        <v>0.17</v>
      </c>
      <c r="E248" t="s">
        <v>227</v>
      </c>
      <c r="F248" t="s">
        <v>31</v>
      </c>
      <c r="G248" t="s">
        <v>345</v>
      </c>
      <c r="H248" t="s">
        <v>13</v>
      </c>
      <c r="I248" s="26" t="s">
        <v>33</v>
      </c>
    </row>
    <row r="249" spans="1:9" x14ac:dyDescent="0.3">
      <c r="A249" s="24">
        <v>45352</v>
      </c>
      <c r="B249" t="s">
        <v>340</v>
      </c>
      <c r="C249" t="s">
        <v>225</v>
      </c>
      <c r="D249">
        <v>0.17</v>
      </c>
      <c r="E249" t="s">
        <v>229</v>
      </c>
      <c r="F249" t="s">
        <v>31</v>
      </c>
      <c r="G249" t="s">
        <v>345</v>
      </c>
      <c r="H249" t="s">
        <v>13</v>
      </c>
      <c r="I249" s="26" t="s">
        <v>33</v>
      </c>
    </row>
    <row r="250" spans="1:9" x14ac:dyDescent="0.3">
      <c r="A250" s="24">
        <v>45352</v>
      </c>
      <c r="B250" t="s">
        <v>340</v>
      </c>
      <c r="C250" t="s">
        <v>225</v>
      </c>
      <c r="D250">
        <v>0.17</v>
      </c>
      <c r="E250" t="s">
        <v>102</v>
      </c>
      <c r="F250" t="s">
        <v>31</v>
      </c>
      <c r="G250" t="s">
        <v>345</v>
      </c>
      <c r="H250" t="s">
        <v>13</v>
      </c>
      <c r="I250" s="26" t="s">
        <v>33</v>
      </c>
    </row>
    <row r="251" spans="1:9" x14ac:dyDescent="0.3">
      <c r="A251" s="24">
        <v>45352</v>
      </c>
      <c r="B251" t="s">
        <v>340</v>
      </c>
      <c r="C251" t="s">
        <v>225</v>
      </c>
      <c r="D251">
        <v>0.17</v>
      </c>
      <c r="E251" t="s">
        <v>104</v>
      </c>
      <c r="F251" t="s">
        <v>31</v>
      </c>
      <c r="G251" t="s">
        <v>345</v>
      </c>
      <c r="H251" t="s">
        <v>13</v>
      </c>
      <c r="I251" s="26" t="s">
        <v>33</v>
      </c>
    </row>
    <row r="252" spans="1:9" x14ac:dyDescent="0.3">
      <c r="A252" s="24">
        <v>45352</v>
      </c>
      <c r="B252" t="s">
        <v>340</v>
      </c>
      <c r="C252" t="s">
        <v>225</v>
      </c>
      <c r="D252">
        <v>0.17</v>
      </c>
      <c r="E252" t="s">
        <v>230</v>
      </c>
      <c r="F252" t="s">
        <v>31</v>
      </c>
      <c r="G252" t="s">
        <v>345</v>
      </c>
      <c r="H252" t="s">
        <v>13</v>
      </c>
      <c r="I252" s="26" t="s">
        <v>33</v>
      </c>
    </row>
    <row r="253" spans="1:9" x14ac:dyDescent="0.3">
      <c r="A253" s="24">
        <v>45352</v>
      </c>
      <c r="B253" t="s">
        <v>340</v>
      </c>
      <c r="C253" t="s">
        <v>232</v>
      </c>
      <c r="D253">
        <v>0.33</v>
      </c>
      <c r="E253" t="s">
        <v>346</v>
      </c>
      <c r="F253" t="s">
        <v>31</v>
      </c>
      <c r="G253" t="s">
        <v>347</v>
      </c>
      <c r="H253" t="s">
        <v>13</v>
      </c>
      <c r="I253" s="26" t="s">
        <v>33</v>
      </c>
    </row>
    <row r="254" spans="1:9" x14ac:dyDescent="0.3">
      <c r="A254" s="24">
        <v>45352</v>
      </c>
      <c r="B254" t="s">
        <v>340</v>
      </c>
      <c r="C254" t="s">
        <v>232</v>
      </c>
      <c r="D254">
        <v>0.33</v>
      </c>
      <c r="E254" t="s">
        <v>233</v>
      </c>
      <c r="F254" t="s">
        <v>31</v>
      </c>
      <c r="G254" t="s">
        <v>348</v>
      </c>
      <c r="H254" t="s">
        <v>13</v>
      </c>
      <c r="I254" s="26" t="s">
        <v>33</v>
      </c>
    </row>
    <row r="255" spans="1:9" x14ac:dyDescent="0.3">
      <c r="A255" s="24">
        <v>45352</v>
      </c>
      <c r="B255" t="s">
        <v>340</v>
      </c>
      <c r="C255" t="s">
        <v>232</v>
      </c>
      <c r="D255">
        <v>0.5</v>
      </c>
      <c r="E255" t="s">
        <v>218</v>
      </c>
      <c r="F255" t="s">
        <v>31</v>
      </c>
      <c r="G255" t="s">
        <v>349</v>
      </c>
      <c r="H255" t="s">
        <v>13</v>
      </c>
      <c r="I255" s="26" t="s">
        <v>33</v>
      </c>
    </row>
    <row r="256" spans="1:9" x14ac:dyDescent="0.3">
      <c r="A256" s="24">
        <v>45352</v>
      </c>
      <c r="B256" t="s">
        <v>340</v>
      </c>
      <c r="C256" t="s">
        <v>148</v>
      </c>
      <c r="D256">
        <v>2.5</v>
      </c>
      <c r="E256" t="s">
        <v>54</v>
      </c>
      <c r="F256" t="s">
        <v>55</v>
      </c>
      <c r="G256" t="s">
        <v>350</v>
      </c>
      <c r="H256" t="s">
        <v>13</v>
      </c>
      <c r="I256" s="26" t="s">
        <v>33</v>
      </c>
    </row>
    <row r="257" spans="1:9" x14ac:dyDescent="0.3">
      <c r="A257" s="24">
        <v>45352</v>
      </c>
      <c r="B257" t="s">
        <v>351</v>
      </c>
      <c r="C257" t="s">
        <v>250</v>
      </c>
      <c r="D257">
        <v>1.45</v>
      </c>
      <c r="E257" t="s">
        <v>81</v>
      </c>
      <c r="F257" t="s">
        <v>31</v>
      </c>
      <c r="G257" t="s">
        <v>352</v>
      </c>
      <c r="H257" t="s">
        <v>13</v>
      </c>
      <c r="I257" s="26" t="s">
        <v>33</v>
      </c>
    </row>
    <row r="258" spans="1:9" x14ac:dyDescent="0.3">
      <c r="A258" s="24">
        <v>45352</v>
      </c>
      <c r="B258" t="s">
        <v>351</v>
      </c>
      <c r="C258" t="s">
        <v>53</v>
      </c>
      <c r="D258">
        <v>6.03</v>
      </c>
      <c r="E258" t="s">
        <v>54</v>
      </c>
      <c r="F258" t="s">
        <v>55</v>
      </c>
      <c r="G258" t="s">
        <v>353</v>
      </c>
      <c r="H258" t="s">
        <v>13</v>
      </c>
      <c r="I258" s="26" t="s">
        <v>33</v>
      </c>
    </row>
    <row r="259" spans="1:9" x14ac:dyDescent="0.3">
      <c r="A259" s="24">
        <v>45352</v>
      </c>
      <c r="B259" t="s">
        <v>351</v>
      </c>
      <c r="C259" t="s">
        <v>58</v>
      </c>
      <c r="D259">
        <v>0.88</v>
      </c>
      <c r="E259" t="s">
        <v>54</v>
      </c>
      <c r="F259" t="s">
        <v>55</v>
      </c>
      <c r="G259" t="s">
        <v>354</v>
      </c>
      <c r="H259" t="s">
        <v>13</v>
      </c>
      <c r="I259" s="26" t="s">
        <v>33</v>
      </c>
    </row>
    <row r="260" spans="1:9" x14ac:dyDescent="0.3">
      <c r="A260" s="24">
        <v>45352</v>
      </c>
      <c r="B260" t="s">
        <v>355</v>
      </c>
      <c r="C260" t="s">
        <v>250</v>
      </c>
      <c r="D260">
        <v>0.7</v>
      </c>
      <c r="E260" t="s">
        <v>356</v>
      </c>
      <c r="F260" t="s">
        <v>31</v>
      </c>
      <c r="G260" t="s">
        <v>357</v>
      </c>
      <c r="H260" t="s">
        <v>13</v>
      </c>
      <c r="I260" s="26" t="s">
        <v>33</v>
      </c>
    </row>
    <row r="261" spans="1:9" x14ac:dyDescent="0.3">
      <c r="A261" s="24">
        <v>45352</v>
      </c>
      <c r="B261" t="s">
        <v>355</v>
      </c>
      <c r="C261" t="s">
        <v>29</v>
      </c>
      <c r="D261">
        <v>0.2</v>
      </c>
      <c r="E261" t="s">
        <v>358</v>
      </c>
      <c r="F261" t="s">
        <v>31</v>
      </c>
      <c r="G261" t="s">
        <v>359</v>
      </c>
      <c r="H261" t="s">
        <v>13</v>
      </c>
      <c r="I261" s="26" t="s">
        <v>33</v>
      </c>
    </row>
    <row r="262" spans="1:9" x14ac:dyDescent="0.3">
      <c r="A262" s="24">
        <v>45352</v>
      </c>
      <c r="B262" t="s">
        <v>355</v>
      </c>
      <c r="C262" t="s">
        <v>29</v>
      </c>
      <c r="D262">
        <v>0.3</v>
      </c>
      <c r="E262" t="s">
        <v>91</v>
      </c>
      <c r="F262" t="s">
        <v>31</v>
      </c>
      <c r="G262" t="s">
        <v>360</v>
      </c>
      <c r="H262" t="s">
        <v>13</v>
      </c>
      <c r="I262" s="26" t="s">
        <v>33</v>
      </c>
    </row>
    <row r="263" spans="1:9" x14ac:dyDescent="0.3">
      <c r="A263" s="24">
        <v>45352</v>
      </c>
      <c r="B263" t="s">
        <v>355</v>
      </c>
      <c r="C263" t="s">
        <v>29</v>
      </c>
      <c r="D263">
        <v>0.4</v>
      </c>
      <c r="E263" t="s">
        <v>91</v>
      </c>
      <c r="F263" t="s">
        <v>31</v>
      </c>
      <c r="G263" t="s">
        <v>361</v>
      </c>
      <c r="H263" t="s">
        <v>13</v>
      </c>
      <c r="I263" s="26" t="s">
        <v>33</v>
      </c>
    </row>
    <row r="264" spans="1:9" x14ac:dyDescent="0.3">
      <c r="A264" s="24">
        <v>45352</v>
      </c>
      <c r="B264" t="s">
        <v>355</v>
      </c>
      <c r="C264" t="s">
        <v>29</v>
      </c>
      <c r="D264">
        <v>0.5</v>
      </c>
      <c r="E264" t="s">
        <v>91</v>
      </c>
      <c r="F264" t="s">
        <v>31</v>
      </c>
      <c r="G264" t="s">
        <v>362</v>
      </c>
      <c r="H264" t="s">
        <v>13</v>
      </c>
      <c r="I264" s="26" t="s">
        <v>33</v>
      </c>
    </row>
    <row r="265" spans="1:9" x14ac:dyDescent="0.3">
      <c r="A265" s="24">
        <v>45352</v>
      </c>
      <c r="B265" t="s">
        <v>355</v>
      </c>
      <c r="C265" t="s">
        <v>29</v>
      </c>
      <c r="D265">
        <v>0.56999999999999995</v>
      </c>
      <c r="E265" t="s">
        <v>91</v>
      </c>
      <c r="F265" t="s">
        <v>31</v>
      </c>
      <c r="G265" t="s">
        <v>363</v>
      </c>
      <c r="H265" t="s">
        <v>13</v>
      </c>
      <c r="I265" s="26" t="s">
        <v>33</v>
      </c>
    </row>
    <row r="266" spans="1:9" x14ac:dyDescent="0.3">
      <c r="A266" s="24">
        <v>45352</v>
      </c>
      <c r="B266" t="s">
        <v>355</v>
      </c>
      <c r="C266" t="s">
        <v>29</v>
      </c>
      <c r="D266">
        <v>0.6</v>
      </c>
      <c r="E266" t="s">
        <v>91</v>
      </c>
      <c r="F266" t="s">
        <v>31</v>
      </c>
      <c r="G266" t="s">
        <v>364</v>
      </c>
      <c r="H266" t="s">
        <v>13</v>
      </c>
      <c r="I266" s="26" t="s">
        <v>33</v>
      </c>
    </row>
    <row r="267" spans="1:9" x14ac:dyDescent="0.3">
      <c r="A267" s="24">
        <v>45352</v>
      </c>
      <c r="B267" t="s">
        <v>355</v>
      </c>
      <c r="C267" t="s">
        <v>29</v>
      </c>
      <c r="D267">
        <v>0.8</v>
      </c>
      <c r="E267" t="s">
        <v>91</v>
      </c>
      <c r="F267" t="s">
        <v>31</v>
      </c>
      <c r="G267" t="s">
        <v>365</v>
      </c>
      <c r="H267" t="s">
        <v>13</v>
      </c>
      <c r="I267" s="26" t="s">
        <v>33</v>
      </c>
    </row>
    <row r="268" spans="1:9" x14ac:dyDescent="0.3">
      <c r="A268" s="24">
        <v>45352</v>
      </c>
      <c r="B268" t="s">
        <v>355</v>
      </c>
      <c r="C268" t="s">
        <v>29</v>
      </c>
      <c r="D268">
        <v>1</v>
      </c>
      <c r="E268" t="s">
        <v>91</v>
      </c>
      <c r="F268" t="s">
        <v>31</v>
      </c>
      <c r="G268" t="s">
        <v>366</v>
      </c>
      <c r="H268" t="s">
        <v>13</v>
      </c>
      <c r="I268" s="26" t="s">
        <v>33</v>
      </c>
    </row>
    <row r="269" spans="1:9" x14ac:dyDescent="0.3">
      <c r="A269" s="24">
        <v>45352</v>
      </c>
      <c r="B269" t="s">
        <v>355</v>
      </c>
      <c r="C269" t="s">
        <v>197</v>
      </c>
      <c r="D269">
        <v>0.4</v>
      </c>
      <c r="E269" t="s">
        <v>54</v>
      </c>
      <c r="F269" t="s">
        <v>55</v>
      </c>
      <c r="G269" t="s">
        <v>367</v>
      </c>
      <c r="H269" t="s">
        <v>13</v>
      </c>
      <c r="I269" s="26" t="s">
        <v>33</v>
      </c>
    </row>
    <row r="270" spans="1:9" x14ac:dyDescent="0.3">
      <c r="A270" s="24">
        <v>45352</v>
      </c>
      <c r="B270" t="s">
        <v>355</v>
      </c>
      <c r="C270" t="s">
        <v>202</v>
      </c>
      <c r="D270">
        <v>0.5</v>
      </c>
      <c r="E270" t="s">
        <v>91</v>
      </c>
      <c r="F270" t="s">
        <v>31</v>
      </c>
      <c r="G270" t="s">
        <v>368</v>
      </c>
      <c r="H270" t="s">
        <v>13</v>
      </c>
      <c r="I270" s="26" t="s">
        <v>33</v>
      </c>
    </row>
    <row r="271" spans="1:9" x14ac:dyDescent="0.3">
      <c r="A271" s="24">
        <v>45352</v>
      </c>
      <c r="B271" t="s">
        <v>355</v>
      </c>
      <c r="C271" t="s">
        <v>202</v>
      </c>
      <c r="D271">
        <v>0.9</v>
      </c>
      <c r="E271" t="s">
        <v>91</v>
      </c>
      <c r="F271" t="s">
        <v>31</v>
      </c>
      <c r="G271" t="s">
        <v>369</v>
      </c>
      <c r="H271" t="s">
        <v>13</v>
      </c>
      <c r="I271" s="26" t="s">
        <v>33</v>
      </c>
    </row>
    <row r="272" spans="1:9" x14ac:dyDescent="0.3">
      <c r="A272" s="24">
        <v>45352</v>
      </c>
      <c r="B272" t="s">
        <v>355</v>
      </c>
      <c r="C272" t="s">
        <v>370</v>
      </c>
      <c r="D272">
        <v>0.4</v>
      </c>
      <c r="E272" t="s">
        <v>371</v>
      </c>
      <c r="F272" t="s">
        <v>31</v>
      </c>
      <c r="G272" t="s">
        <v>372</v>
      </c>
      <c r="H272" t="s">
        <v>13</v>
      </c>
      <c r="I272" s="26" t="s">
        <v>33</v>
      </c>
    </row>
    <row r="273" spans="1:9" x14ac:dyDescent="0.3">
      <c r="A273" s="24">
        <v>45352</v>
      </c>
      <c r="B273" t="s">
        <v>355</v>
      </c>
      <c r="C273" t="s">
        <v>53</v>
      </c>
      <c r="D273">
        <v>0.7</v>
      </c>
      <c r="E273" t="s">
        <v>54</v>
      </c>
      <c r="F273" t="s">
        <v>55</v>
      </c>
      <c r="G273" t="s">
        <v>373</v>
      </c>
      <c r="H273" t="s">
        <v>13</v>
      </c>
      <c r="I273" s="26" t="s">
        <v>33</v>
      </c>
    </row>
    <row r="274" spans="1:9" x14ac:dyDescent="0.3">
      <c r="A274" s="24">
        <v>45352</v>
      </c>
      <c r="B274" t="s">
        <v>374</v>
      </c>
      <c r="C274" t="s">
        <v>53</v>
      </c>
      <c r="D274">
        <v>6</v>
      </c>
      <c r="E274" t="s">
        <v>54</v>
      </c>
      <c r="F274" t="s">
        <v>55</v>
      </c>
      <c r="G274" t="e">
        <f>- review timesheet - review Office Enhancement Survey result - respond to queries (Sprout access, attendance, APE, DP for NIU) - HMO and Life Insurance</f>
        <v>#NAME?</v>
      </c>
      <c r="H274" t="s">
        <v>13</v>
      </c>
      <c r="I274" s="26" t="s">
        <v>33</v>
      </c>
    </row>
    <row r="275" spans="1:9" x14ac:dyDescent="0.3">
      <c r="A275" s="24">
        <v>45352</v>
      </c>
      <c r="B275" t="s">
        <v>374</v>
      </c>
      <c r="C275" t="s">
        <v>123</v>
      </c>
      <c r="D275">
        <v>2</v>
      </c>
      <c r="E275" t="s">
        <v>54</v>
      </c>
      <c r="F275" t="s">
        <v>55</v>
      </c>
      <c r="G275" t="e">
        <f>- review of CVs - call qualified candidates for interview sched - reach out to payroll Specialists for Update</f>
        <v>#NAME?</v>
      </c>
      <c r="H275" t="s">
        <v>13</v>
      </c>
      <c r="I275" s="26" t="s">
        <v>33</v>
      </c>
    </row>
    <row r="276" spans="1:9" x14ac:dyDescent="0.3">
      <c r="A276" s="24">
        <v>45353</v>
      </c>
      <c r="B276" t="s">
        <v>329</v>
      </c>
      <c r="C276" t="s">
        <v>370</v>
      </c>
      <c r="D276">
        <v>0.33</v>
      </c>
      <c r="E276" t="s">
        <v>91</v>
      </c>
      <c r="F276" t="s">
        <v>31</v>
      </c>
      <c r="G276" t="s">
        <v>375</v>
      </c>
      <c r="H276" t="s">
        <v>13</v>
      </c>
      <c r="I276" s="26" t="s">
        <v>376</v>
      </c>
    </row>
    <row r="277" spans="1:9" x14ac:dyDescent="0.3">
      <c r="A277" s="24">
        <v>45355</v>
      </c>
      <c r="B277" t="s">
        <v>28</v>
      </c>
      <c r="C277" t="s">
        <v>73</v>
      </c>
      <c r="D277">
        <v>8</v>
      </c>
      <c r="E277" t="s">
        <v>54</v>
      </c>
      <c r="F277" t="s">
        <v>55</v>
      </c>
      <c r="G277" t="s">
        <v>377</v>
      </c>
      <c r="H277" t="s">
        <v>14</v>
      </c>
      <c r="I277" s="26" t="s">
        <v>378</v>
      </c>
    </row>
    <row r="278" spans="1:9" x14ac:dyDescent="0.3">
      <c r="A278" s="24">
        <v>45355</v>
      </c>
      <c r="B278" t="s">
        <v>64</v>
      </c>
      <c r="C278" t="s">
        <v>379</v>
      </c>
      <c r="D278">
        <v>0.25</v>
      </c>
      <c r="E278" t="s">
        <v>66</v>
      </c>
      <c r="F278" t="s">
        <v>31</v>
      </c>
      <c r="G278" t="s">
        <v>380</v>
      </c>
      <c r="H278" t="s">
        <v>14</v>
      </c>
      <c r="I278" s="26" t="s">
        <v>378</v>
      </c>
    </row>
    <row r="279" spans="1:9" x14ac:dyDescent="0.3">
      <c r="A279" s="24">
        <v>45355</v>
      </c>
      <c r="B279" t="s">
        <v>64</v>
      </c>
      <c r="C279" t="s">
        <v>68</v>
      </c>
      <c r="D279">
        <v>0.75</v>
      </c>
      <c r="E279" t="s">
        <v>66</v>
      </c>
      <c r="F279" t="s">
        <v>31</v>
      </c>
      <c r="G279" t="s">
        <v>381</v>
      </c>
      <c r="H279" t="s">
        <v>14</v>
      </c>
      <c r="I279" s="26" t="s">
        <v>378</v>
      </c>
    </row>
    <row r="280" spans="1:9" x14ac:dyDescent="0.3">
      <c r="A280" s="24">
        <v>45355</v>
      </c>
      <c r="B280" t="s">
        <v>64</v>
      </c>
      <c r="C280" t="s">
        <v>70</v>
      </c>
      <c r="D280">
        <v>2.33</v>
      </c>
      <c r="E280" t="s">
        <v>66</v>
      </c>
      <c r="F280" t="s">
        <v>31</v>
      </c>
      <c r="G280" t="s">
        <v>382</v>
      </c>
      <c r="H280" t="s">
        <v>14</v>
      </c>
      <c r="I280" s="26" t="s">
        <v>378</v>
      </c>
    </row>
    <row r="281" spans="1:9" x14ac:dyDescent="0.3">
      <c r="A281" s="24">
        <v>45355</v>
      </c>
      <c r="B281" t="s">
        <v>72</v>
      </c>
      <c r="C281" t="s">
        <v>29</v>
      </c>
      <c r="D281">
        <v>7.0000000000000007E-2</v>
      </c>
      <c r="E281" t="s">
        <v>358</v>
      </c>
      <c r="F281" t="s">
        <v>31</v>
      </c>
      <c r="G281" t="s">
        <v>383</v>
      </c>
      <c r="H281" t="s">
        <v>14</v>
      </c>
      <c r="I281" s="26" t="s">
        <v>378</v>
      </c>
    </row>
    <row r="282" spans="1:9" x14ac:dyDescent="0.3">
      <c r="A282" s="24">
        <v>45355</v>
      </c>
      <c r="B282" t="s">
        <v>72</v>
      </c>
      <c r="C282" t="s">
        <v>29</v>
      </c>
      <c r="D282">
        <v>0.77</v>
      </c>
      <c r="E282" t="s">
        <v>271</v>
      </c>
      <c r="F282" t="s">
        <v>31</v>
      </c>
      <c r="H282" t="s">
        <v>14</v>
      </c>
      <c r="I282" s="26" t="s">
        <v>378</v>
      </c>
    </row>
    <row r="283" spans="1:9" x14ac:dyDescent="0.3">
      <c r="A283" s="24">
        <v>45355</v>
      </c>
      <c r="B283" t="s">
        <v>72</v>
      </c>
      <c r="C283" t="s">
        <v>29</v>
      </c>
      <c r="D283">
        <v>1.02</v>
      </c>
      <c r="E283" t="s">
        <v>358</v>
      </c>
      <c r="F283" t="s">
        <v>31</v>
      </c>
      <c r="G283" t="s">
        <v>384</v>
      </c>
      <c r="H283" t="s">
        <v>14</v>
      </c>
      <c r="I283" s="26" t="s">
        <v>378</v>
      </c>
    </row>
    <row r="284" spans="1:9" x14ac:dyDescent="0.3">
      <c r="A284" s="24">
        <v>45355</v>
      </c>
      <c r="B284" t="s">
        <v>72</v>
      </c>
      <c r="C284" t="s">
        <v>53</v>
      </c>
      <c r="D284">
        <v>0.12</v>
      </c>
      <c r="E284" t="s">
        <v>54</v>
      </c>
      <c r="F284" t="s">
        <v>55</v>
      </c>
      <c r="G284" t="s">
        <v>385</v>
      </c>
      <c r="H284" t="s">
        <v>14</v>
      </c>
      <c r="I284" s="26" t="s">
        <v>378</v>
      </c>
    </row>
    <row r="285" spans="1:9" x14ac:dyDescent="0.3">
      <c r="A285" s="24">
        <v>45355</v>
      </c>
      <c r="B285" t="s">
        <v>72</v>
      </c>
      <c r="C285" t="s">
        <v>53</v>
      </c>
      <c r="D285">
        <v>0.22</v>
      </c>
      <c r="E285" t="s">
        <v>54</v>
      </c>
      <c r="F285" t="s">
        <v>55</v>
      </c>
      <c r="H285" t="s">
        <v>14</v>
      </c>
      <c r="I285" s="26" t="s">
        <v>378</v>
      </c>
    </row>
    <row r="286" spans="1:9" x14ac:dyDescent="0.3">
      <c r="A286" s="24">
        <v>45355</v>
      </c>
      <c r="B286" t="s">
        <v>72</v>
      </c>
      <c r="C286" t="s">
        <v>53</v>
      </c>
      <c r="D286">
        <v>0.55000000000000004</v>
      </c>
      <c r="E286" t="s">
        <v>54</v>
      </c>
      <c r="F286" t="s">
        <v>55</v>
      </c>
      <c r="G286" t="s">
        <v>386</v>
      </c>
      <c r="H286" t="s">
        <v>14</v>
      </c>
      <c r="I286" s="26" t="s">
        <v>378</v>
      </c>
    </row>
    <row r="287" spans="1:9" x14ac:dyDescent="0.3">
      <c r="A287" s="24">
        <v>45355</v>
      </c>
      <c r="B287" t="s">
        <v>72</v>
      </c>
      <c r="C287" t="s">
        <v>53</v>
      </c>
      <c r="D287">
        <v>1.07</v>
      </c>
      <c r="E287" t="s">
        <v>54</v>
      </c>
      <c r="F287" t="s">
        <v>55</v>
      </c>
      <c r="G287" t="s">
        <v>387</v>
      </c>
      <c r="H287" t="s">
        <v>14</v>
      </c>
      <c r="I287" s="26" t="s">
        <v>378</v>
      </c>
    </row>
    <row r="288" spans="1:9" x14ac:dyDescent="0.3">
      <c r="A288" s="24">
        <v>45355</v>
      </c>
      <c r="B288" t="s">
        <v>72</v>
      </c>
      <c r="C288" t="s">
        <v>53</v>
      </c>
      <c r="D288">
        <v>1.25</v>
      </c>
      <c r="E288" t="s">
        <v>54</v>
      </c>
      <c r="F288" t="s">
        <v>55</v>
      </c>
      <c r="G288" t="s">
        <v>388</v>
      </c>
      <c r="H288" t="s">
        <v>14</v>
      </c>
      <c r="I288" s="26" t="s">
        <v>378</v>
      </c>
    </row>
    <row r="289" spans="1:9" x14ac:dyDescent="0.3">
      <c r="A289" s="24">
        <v>45355</v>
      </c>
      <c r="B289" t="s">
        <v>72</v>
      </c>
      <c r="C289" t="s">
        <v>53</v>
      </c>
      <c r="D289">
        <v>1.63</v>
      </c>
      <c r="E289" t="s">
        <v>54</v>
      </c>
      <c r="F289" t="s">
        <v>55</v>
      </c>
      <c r="G289" t="s">
        <v>389</v>
      </c>
      <c r="H289" t="s">
        <v>14</v>
      </c>
      <c r="I289" s="26" t="s">
        <v>378</v>
      </c>
    </row>
    <row r="290" spans="1:9" x14ac:dyDescent="0.3">
      <c r="A290" s="24">
        <v>45355</v>
      </c>
      <c r="B290" t="s">
        <v>72</v>
      </c>
      <c r="C290" t="s">
        <v>60</v>
      </c>
      <c r="D290">
        <v>1.35</v>
      </c>
      <c r="E290" t="s">
        <v>271</v>
      </c>
      <c r="F290" t="s">
        <v>31</v>
      </c>
      <c r="H290" t="s">
        <v>14</v>
      </c>
      <c r="I290" s="26" t="s">
        <v>378</v>
      </c>
    </row>
    <row r="291" spans="1:9" x14ac:dyDescent="0.3">
      <c r="A291" s="24">
        <v>45355</v>
      </c>
      <c r="B291" t="s">
        <v>75</v>
      </c>
      <c r="C291" t="s">
        <v>77</v>
      </c>
      <c r="D291">
        <v>8</v>
      </c>
      <c r="E291" t="s">
        <v>54</v>
      </c>
      <c r="F291" t="s">
        <v>55</v>
      </c>
      <c r="G291" t="s">
        <v>390</v>
      </c>
      <c r="H291" t="s">
        <v>14</v>
      </c>
      <c r="I291" s="26" t="s">
        <v>378</v>
      </c>
    </row>
    <row r="292" spans="1:9" x14ac:dyDescent="0.3">
      <c r="A292" s="24">
        <v>45355</v>
      </c>
      <c r="B292" t="s">
        <v>79</v>
      </c>
      <c r="C292" t="s">
        <v>53</v>
      </c>
      <c r="D292">
        <v>8</v>
      </c>
      <c r="E292" t="s">
        <v>54</v>
      </c>
      <c r="F292" t="s">
        <v>55</v>
      </c>
      <c r="H292" t="s">
        <v>14</v>
      </c>
      <c r="I292" s="26" t="s">
        <v>378</v>
      </c>
    </row>
    <row r="293" spans="1:9" x14ac:dyDescent="0.3">
      <c r="A293" s="24">
        <v>45355</v>
      </c>
      <c r="B293" t="s">
        <v>80</v>
      </c>
      <c r="C293" t="s">
        <v>29</v>
      </c>
      <c r="D293">
        <v>1.18</v>
      </c>
      <c r="E293" t="s">
        <v>81</v>
      </c>
      <c r="F293" t="s">
        <v>31</v>
      </c>
      <c r="G293" t="s">
        <v>391</v>
      </c>
      <c r="H293" t="s">
        <v>14</v>
      </c>
      <c r="I293" s="26" t="s">
        <v>378</v>
      </c>
    </row>
    <row r="294" spans="1:9" x14ac:dyDescent="0.3">
      <c r="A294" s="24">
        <v>45355</v>
      </c>
      <c r="B294" t="s">
        <v>80</v>
      </c>
      <c r="C294" t="s">
        <v>29</v>
      </c>
      <c r="D294">
        <v>2.15</v>
      </c>
      <c r="E294" t="s">
        <v>81</v>
      </c>
      <c r="F294" t="s">
        <v>31</v>
      </c>
      <c r="G294" t="s">
        <v>83</v>
      </c>
      <c r="H294" t="s">
        <v>14</v>
      </c>
      <c r="I294" s="26" t="s">
        <v>378</v>
      </c>
    </row>
    <row r="295" spans="1:9" x14ac:dyDescent="0.3">
      <c r="A295" s="24">
        <v>45355</v>
      </c>
      <c r="B295" t="s">
        <v>80</v>
      </c>
      <c r="C295" t="s">
        <v>29</v>
      </c>
      <c r="D295">
        <v>2.42</v>
      </c>
      <c r="E295" t="s">
        <v>81</v>
      </c>
      <c r="F295" t="s">
        <v>31</v>
      </c>
      <c r="G295" t="s">
        <v>392</v>
      </c>
      <c r="H295" t="s">
        <v>14</v>
      </c>
      <c r="I295" s="26" t="s">
        <v>378</v>
      </c>
    </row>
    <row r="296" spans="1:9" x14ac:dyDescent="0.3">
      <c r="A296" s="24">
        <v>45355</v>
      </c>
      <c r="B296" t="s">
        <v>80</v>
      </c>
      <c r="C296" t="s">
        <v>29</v>
      </c>
      <c r="D296">
        <v>3.4</v>
      </c>
      <c r="E296" t="s">
        <v>81</v>
      </c>
      <c r="F296" t="s">
        <v>31</v>
      </c>
      <c r="G296" t="s">
        <v>393</v>
      </c>
      <c r="H296" t="s">
        <v>14</v>
      </c>
      <c r="I296" s="26" t="s">
        <v>378</v>
      </c>
    </row>
    <row r="297" spans="1:9" x14ac:dyDescent="0.3">
      <c r="A297" s="24">
        <v>45355</v>
      </c>
      <c r="B297" t="s">
        <v>88</v>
      </c>
      <c r="C297" t="s">
        <v>394</v>
      </c>
      <c r="D297">
        <v>11</v>
      </c>
      <c r="E297" t="s">
        <v>54</v>
      </c>
      <c r="F297" t="s">
        <v>55</v>
      </c>
      <c r="H297" t="s">
        <v>14</v>
      </c>
      <c r="I297" s="26" t="s">
        <v>378</v>
      </c>
    </row>
    <row r="298" spans="1:9" x14ac:dyDescent="0.3">
      <c r="A298" s="24">
        <v>45355</v>
      </c>
      <c r="B298" t="s">
        <v>93</v>
      </c>
      <c r="C298" t="s">
        <v>94</v>
      </c>
      <c r="D298">
        <v>0.02</v>
      </c>
      <c r="E298" t="s">
        <v>395</v>
      </c>
      <c r="F298" t="s">
        <v>55</v>
      </c>
      <c r="H298" t="s">
        <v>14</v>
      </c>
      <c r="I298" s="26" t="s">
        <v>378</v>
      </c>
    </row>
    <row r="299" spans="1:9" x14ac:dyDescent="0.3">
      <c r="A299" s="24">
        <v>45355</v>
      </c>
      <c r="B299" t="s">
        <v>97</v>
      </c>
      <c r="C299" t="s">
        <v>89</v>
      </c>
      <c r="D299">
        <v>1.5</v>
      </c>
      <c r="E299" t="s">
        <v>54</v>
      </c>
      <c r="F299" t="s">
        <v>55</v>
      </c>
      <c r="G299" t="s">
        <v>396</v>
      </c>
      <c r="H299" t="s">
        <v>14</v>
      </c>
      <c r="I299" s="26" t="s">
        <v>378</v>
      </c>
    </row>
    <row r="300" spans="1:9" x14ac:dyDescent="0.3">
      <c r="A300" s="24">
        <v>45355</v>
      </c>
      <c r="B300" t="s">
        <v>99</v>
      </c>
      <c r="C300" t="s">
        <v>89</v>
      </c>
      <c r="D300">
        <v>9.17</v>
      </c>
      <c r="E300" t="s">
        <v>54</v>
      </c>
      <c r="F300" t="s">
        <v>55</v>
      </c>
      <c r="G300" t="s">
        <v>397</v>
      </c>
      <c r="H300" t="s">
        <v>14</v>
      </c>
      <c r="I300" s="26" t="s">
        <v>378</v>
      </c>
    </row>
    <row r="301" spans="1:9" x14ac:dyDescent="0.3">
      <c r="A301" s="24">
        <v>45355</v>
      </c>
      <c r="B301" t="s">
        <v>101</v>
      </c>
      <c r="C301" t="s">
        <v>29</v>
      </c>
      <c r="D301">
        <v>0.5</v>
      </c>
      <c r="E301" t="s">
        <v>230</v>
      </c>
      <c r="F301" t="s">
        <v>31</v>
      </c>
      <c r="G301" t="s">
        <v>398</v>
      </c>
      <c r="H301" t="s">
        <v>14</v>
      </c>
      <c r="I301" s="26" t="s">
        <v>378</v>
      </c>
    </row>
    <row r="302" spans="1:9" x14ac:dyDescent="0.3">
      <c r="A302" s="24">
        <v>45355</v>
      </c>
      <c r="B302" t="s">
        <v>101</v>
      </c>
      <c r="C302" t="s">
        <v>29</v>
      </c>
      <c r="D302">
        <v>0.67</v>
      </c>
      <c r="E302" t="s">
        <v>104</v>
      </c>
      <c r="F302" t="s">
        <v>31</v>
      </c>
      <c r="G302" t="s">
        <v>398</v>
      </c>
      <c r="H302" t="s">
        <v>14</v>
      </c>
      <c r="I302" s="26" t="s">
        <v>378</v>
      </c>
    </row>
    <row r="303" spans="1:9" x14ac:dyDescent="0.3">
      <c r="A303" s="24">
        <v>45355</v>
      </c>
      <c r="B303" t="s">
        <v>101</v>
      </c>
      <c r="C303" t="s">
        <v>29</v>
      </c>
      <c r="D303">
        <v>0.92</v>
      </c>
      <c r="E303" t="s">
        <v>229</v>
      </c>
      <c r="F303" t="s">
        <v>31</v>
      </c>
      <c r="G303" t="s">
        <v>399</v>
      </c>
      <c r="H303" t="s">
        <v>14</v>
      </c>
      <c r="I303" s="26" t="s">
        <v>378</v>
      </c>
    </row>
    <row r="304" spans="1:9" x14ac:dyDescent="0.3">
      <c r="A304" s="24">
        <v>45355</v>
      </c>
      <c r="B304" t="s">
        <v>101</v>
      </c>
      <c r="C304" t="s">
        <v>29</v>
      </c>
      <c r="D304">
        <v>1.08</v>
      </c>
      <c r="E304" t="s">
        <v>102</v>
      </c>
      <c r="F304" t="s">
        <v>31</v>
      </c>
      <c r="G304" t="s">
        <v>398</v>
      </c>
      <c r="H304" t="s">
        <v>14</v>
      </c>
      <c r="I304" s="26" t="s">
        <v>378</v>
      </c>
    </row>
    <row r="305" spans="1:9" x14ac:dyDescent="0.3">
      <c r="A305" s="24">
        <v>45355</v>
      </c>
      <c r="B305" t="s">
        <v>101</v>
      </c>
      <c r="C305" t="s">
        <v>29</v>
      </c>
      <c r="D305">
        <v>1.92</v>
      </c>
      <c r="E305" t="s">
        <v>106</v>
      </c>
      <c r="F305" t="s">
        <v>31</v>
      </c>
      <c r="G305" t="s">
        <v>400</v>
      </c>
      <c r="H305" t="s">
        <v>14</v>
      </c>
      <c r="I305" s="26" t="s">
        <v>378</v>
      </c>
    </row>
    <row r="306" spans="1:9" x14ac:dyDescent="0.3">
      <c r="A306" s="24">
        <v>45355</v>
      </c>
      <c r="B306" t="s">
        <v>101</v>
      </c>
      <c r="C306" t="s">
        <v>29</v>
      </c>
      <c r="D306">
        <v>2.25</v>
      </c>
      <c r="E306" t="s">
        <v>227</v>
      </c>
      <c r="F306" t="s">
        <v>31</v>
      </c>
      <c r="G306" t="s">
        <v>400</v>
      </c>
      <c r="H306" t="s">
        <v>14</v>
      </c>
      <c r="I306" s="26" t="s">
        <v>378</v>
      </c>
    </row>
    <row r="307" spans="1:9" x14ac:dyDescent="0.3">
      <c r="A307" s="24">
        <v>45355</v>
      </c>
      <c r="B307" t="s">
        <v>101</v>
      </c>
      <c r="C307" t="s">
        <v>53</v>
      </c>
      <c r="D307">
        <v>0.17</v>
      </c>
      <c r="E307" t="s">
        <v>54</v>
      </c>
      <c r="F307" t="s">
        <v>55</v>
      </c>
      <c r="G307" t="s">
        <v>401</v>
      </c>
      <c r="H307" t="s">
        <v>14</v>
      </c>
      <c r="I307" s="26" t="s">
        <v>378</v>
      </c>
    </row>
    <row r="308" spans="1:9" x14ac:dyDescent="0.3">
      <c r="A308" s="24">
        <v>45355</v>
      </c>
      <c r="B308" t="s">
        <v>101</v>
      </c>
      <c r="C308" t="s">
        <v>53</v>
      </c>
      <c r="D308">
        <v>0.5</v>
      </c>
      <c r="E308" t="s">
        <v>54</v>
      </c>
      <c r="F308" t="s">
        <v>55</v>
      </c>
      <c r="G308" t="s">
        <v>110</v>
      </c>
      <c r="H308" t="s">
        <v>14</v>
      </c>
      <c r="I308" s="26" t="s">
        <v>378</v>
      </c>
    </row>
    <row r="309" spans="1:9" x14ac:dyDescent="0.3">
      <c r="A309" s="24">
        <v>45355</v>
      </c>
      <c r="B309" t="s">
        <v>402</v>
      </c>
      <c r="C309" t="s">
        <v>403</v>
      </c>
      <c r="D309">
        <v>5</v>
      </c>
      <c r="E309" t="s">
        <v>39</v>
      </c>
      <c r="F309" t="s">
        <v>31</v>
      </c>
      <c r="G309" t="s">
        <v>404</v>
      </c>
      <c r="H309" t="s">
        <v>14</v>
      </c>
      <c r="I309" s="26" t="s">
        <v>378</v>
      </c>
    </row>
    <row r="310" spans="1:9" x14ac:dyDescent="0.3">
      <c r="A310" s="24">
        <v>45355</v>
      </c>
      <c r="B310" t="s">
        <v>402</v>
      </c>
      <c r="C310" t="s">
        <v>405</v>
      </c>
      <c r="D310">
        <v>3</v>
      </c>
      <c r="E310" t="s">
        <v>42</v>
      </c>
      <c r="F310" t="s">
        <v>31</v>
      </c>
      <c r="G310" t="s">
        <v>406</v>
      </c>
      <c r="H310" t="s">
        <v>14</v>
      </c>
      <c r="I310" s="26" t="s">
        <v>378</v>
      </c>
    </row>
    <row r="311" spans="1:9" x14ac:dyDescent="0.3">
      <c r="A311" s="24">
        <v>45355</v>
      </c>
      <c r="B311" t="s">
        <v>407</v>
      </c>
      <c r="C311" t="s">
        <v>408</v>
      </c>
      <c r="D311">
        <v>1</v>
      </c>
      <c r="E311" t="s">
        <v>409</v>
      </c>
      <c r="F311" t="s">
        <v>31</v>
      </c>
      <c r="G311" t="s">
        <v>410</v>
      </c>
      <c r="H311" t="s">
        <v>14</v>
      </c>
      <c r="I311" s="26" t="s">
        <v>378</v>
      </c>
    </row>
    <row r="312" spans="1:9" x14ac:dyDescent="0.3">
      <c r="A312" s="24">
        <v>45355</v>
      </c>
      <c r="B312" t="s">
        <v>113</v>
      </c>
      <c r="C312" t="s">
        <v>85</v>
      </c>
      <c r="D312">
        <v>1.02</v>
      </c>
      <c r="E312" t="s">
        <v>127</v>
      </c>
      <c r="F312" t="s">
        <v>55</v>
      </c>
      <c r="G312" t="s">
        <v>411</v>
      </c>
      <c r="H312" t="s">
        <v>14</v>
      </c>
      <c r="I312" s="26" t="s">
        <v>378</v>
      </c>
    </row>
    <row r="313" spans="1:9" x14ac:dyDescent="0.3">
      <c r="A313" s="24">
        <v>45355</v>
      </c>
      <c r="B313" t="s">
        <v>113</v>
      </c>
      <c r="C313" t="s">
        <v>53</v>
      </c>
      <c r="D313">
        <v>0.15</v>
      </c>
      <c r="E313" t="s">
        <v>54</v>
      </c>
      <c r="F313" t="s">
        <v>55</v>
      </c>
      <c r="G313" t="s">
        <v>412</v>
      </c>
      <c r="H313" t="s">
        <v>14</v>
      </c>
      <c r="I313" s="26" t="s">
        <v>378</v>
      </c>
    </row>
    <row r="314" spans="1:9" x14ac:dyDescent="0.3">
      <c r="A314" s="24">
        <v>45355</v>
      </c>
      <c r="B314" t="s">
        <v>113</v>
      </c>
      <c r="C314" t="s">
        <v>53</v>
      </c>
      <c r="D314">
        <v>0.35</v>
      </c>
      <c r="E314" t="s">
        <v>54</v>
      </c>
      <c r="F314" t="s">
        <v>55</v>
      </c>
      <c r="G314" t="s">
        <v>413</v>
      </c>
      <c r="H314" t="s">
        <v>14</v>
      </c>
      <c r="I314" s="26" t="s">
        <v>378</v>
      </c>
    </row>
    <row r="315" spans="1:9" x14ac:dyDescent="0.3">
      <c r="A315" s="24">
        <v>45355</v>
      </c>
      <c r="B315" t="s">
        <v>113</v>
      </c>
      <c r="C315" t="s">
        <v>53</v>
      </c>
      <c r="D315">
        <v>0.5</v>
      </c>
      <c r="E315" t="s">
        <v>54</v>
      </c>
      <c r="F315" t="s">
        <v>55</v>
      </c>
      <c r="G315" t="s">
        <v>110</v>
      </c>
      <c r="H315" t="s">
        <v>14</v>
      </c>
      <c r="I315" s="26" t="s">
        <v>378</v>
      </c>
    </row>
    <row r="316" spans="1:9" x14ac:dyDescent="0.3">
      <c r="A316" s="24">
        <v>45355</v>
      </c>
      <c r="B316" t="s">
        <v>113</v>
      </c>
      <c r="C316" t="s">
        <v>53</v>
      </c>
      <c r="D316">
        <v>0.53</v>
      </c>
      <c r="E316" t="s">
        <v>54</v>
      </c>
      <c r="F316" t="s">
        <v>55</v>
      </c>
      <c r="G316" t="s">
        <v>414</v>
      </c>
      <c r="H316" t="s">
        <v>14</v>
      </c>
      <c r="I316" s="26" t="s">
        <v>378</v>
      </c>
    </row>
    <row r="317" spans="1:9" x14ac:dyDescent="0.3">
      <c r="A317" s="24">
        <v>45355</v>
      </c>
      <c r="B317" t="s">
        <v>113</v>
      </c>
      <c r="C317" t="s">
        <v>159</v>
      </c>
      <c r="D317">
        <v>0.08</v>
      </c>
      <c r="E317" t="s">
        <v>185</v>
      </c>
      <c r="F317" t="s">
        <v>31</v>
      </c>
      <c r="G317" t="s">
        <v>415</v>
      </c>
      <c r="H317" t="s">
        <v>14</v>
      </c>
      <c r="I317" s="26" t="s">
        <v>378</v>
      </c>
    </row>
    <row r="318" spans="1:9" x14ac:dyDescent="0.3">
      <c r="A318" s="24">
        <v>45355</v>
      </c>
      <c r="B318" t="s">
        <v>113</v>
      </c>
      <c r="C318" t="s">
        <v>159</v>
      </c>
      <c r="D318">
        <v>0.28000000000000003</v>
      </c>
      <c r="E318" t="s">
        <v>127</v>
      </c>
      <c r="F318" t="s">
        <v>31</v>
      </c>
      <c r="G318" t="s">
        <v>416</v>
      </c>
      <c r="H318" t="s">
        <v>14</v>
      </c>
      <c r="I318" s="26" t="s">
        <v>378</v>
      </c>
    </row>
    <row r="319" spans="1:9" x14ac:dyDescent="0.3">
      <c r="A319" s="24">
        <v>45355</v>
      </c>
      <c r="B319" t="s">
        <v>113</v>
      </c>
      <c r="C319" t="s">
        <v>159</v>
      </c>
      <c r="D319">
        <v>0.5</v>
      </c>
      <c r="E319" t="s">
        <v>185</v>
      </c>
      <c r="F319" t="s">
        <v>31</v>
      </c>
      <c r="G319" t="s">
        <v>416</v>
      </c>
      <c r="H319" t="s">
        <v>14</v>
      </c>
      <c r="I319" s="26" t="s">
        <v>378</v>
      </c>
    </row>
    <row r="320" spans="1:9" x14ac:dyDescent="0.3">
      <c r="A320" s="24">
        <v>45355</v>
      </c>
      <c r="B320" t="s">
        <v>113</v>
      </c>
      <c r="C320" t="s">
        <v>159</v>
      </c>
      <c r="D320">
        <v>0.97</v>
      </c>
      <c r="E320" t="s">
        <v>114</v>
      </c>
      <c r="F320" t="s">
        <v>31</v>
      </c>
      <c r="G320" t="s">
        <v>417</v>
      </c>
      <c r="H320" t="s">
        <v>14</v>
      </c>
      <c r="I320" s="26" t="s">
        <v>378</v>
      </c>
    </row>
    <row r="321" spans="1:9" x14ac:dyDescent="0.3">
      <c r="A321" s="24">
        <v>45355</v>
      </c>
      <c r="B321" t="s">
        <v>113</v>
      </c>
      <c r="C321" t="s">
        <v>159</v>
      </c>
      <c r="D321">
        <v>3.05</v>
      </c>
      <c r="E321" t="s">
        <v>114</v>
      </c>
      <c r="F321" t="s">
        <v>31</v>
      </c>
      <c r="G321" t="s">
        <v>418</v>
      </c>
      <c r="H321" t="s">
        <v>14</v>
      </c>
      <c r="I321" s="26" t="s">
        <v>378</v>
      </c>
    </row>
    <row r="322" spans="1:9" x14ac:dyDescent="0.3">
      <c r="A322" s="24">
        <v>45355</v>
      </c>
      <c r="B322" t="s">
        <v>113</v>
      </c>
      <c r="C322" t="s">
        <v>60</v>
      </c>
      <c r="D322">
        <v>0.27</v>
      </c>
      <c r="E322" t="s">
        <v>143</v>
      </c>
      <c r="F322" t="s">
        <v>31</v>
      </c>
      <c r="G322" t="s">
        <v>419</v>
      </c>
      <c r="H322" t="s">
        <v>14</v>
      </c>
      <c r="I322" s="26" t="s">
        <v>378</v>
      </c>
    </row>
    <row r="323" spans="1:9" x14ac:dyDescent="0.3">
      <c r="A323" s="24">
        <v>45355</v>
      </c>
      <c r="B323" t="s">
        <v>113</v>
      </c>
      <c r="C323" t="s">
        <v>60</v>
      </c>
      <c r="D323">
        <v>0.45</v>
      </c>
      <c r="E323" t="s">
        <v>48</v>
      </c>
      <c r="F323" t="s">
        <v>31</v>
      </c>
      <c r="G323" t="s">
        <v>126</v>
      </c>
      <c r="H323" t="s">
        <v>14</v>
      </c>
      <c r="I323" s="26" t="s">
        <v>378</v>
      </c>
    </row>
    <row r="324" spans="1:9" x14ac:dyDescent="0.3">
      <c r="A324" s="24">
        <v>45355</v>
      </c>
      <c r="B324" t="s">
        <v>132</v>
      </c>
      <c r="C324" t="s">
        <v>29</v>
      </c>
      <c r="D324">
        <v>1.45</v>
      </c>
      <c r="E324" t="s">
        <v>81</v>
      </c>
      <c r="F324" t="s">
        <v>31</v>
      </c>
      <c r="G324" t="e">
        <f>- Received raw invoices.</f>
        <v>#NAME?</v>
      </c>
      <c r="H324" t="s">
        <v>14</v>
      </c>
      <c r="I324" s="26" t="s">
        <v>378</v>
      </c>
    </row>
    <row r="325" spans="1:9" x14ac:dyDescent="0.3">
      <c r="A325" s="24">
        <v>45355</v>
      </c>
      <c r="B325" t="s">
        <v>132</v>
      </c>
      <c r="C325" t="s">
        <v>53</v>
      </c>
      <c r="D325">
        <v>1.28</v>
      </c>
      <c r="E325" t="s">
        <v>54</v>
      </c>
      <c r="F325" t="s">
        <v>55</v>
      </c>
      <c r="G325" t="e">
        <f>- Admin tasks   - Finalizing the planned farewell Lunch Party for Con.</f>
        <v>#NAME?</v>
      </c>
      <c r="H325" t="s">
        <v>14</v>
      </c>
      <c r="I325" s="26" t="s">
        <v>378</v>
      </c>
    </row>
    <row r="326" spans="1:9" x14ac:dyDescent="0.3">
      <c r="A326" s="24">
        <v>45355</v>
      </c>
      <c r="B326" t="s">
        <v>132</v>
      </c>
      <c r="C326" t="s">
        <v>53</v>
      </c>
      <c r="D326">
        <v>6.27</v>
      </c>
      <c r="E326" t="s">
        <v>54</v>
      </c>
      <c r="F326" t="s">
        <v>55</v>
      </c>
      <c r="G326" t="e">
        <f>- ASIC - ATO - Admin tasks   - Arranging for the wifi connecton request in the office. - Clean up files</f>
        <v>#NAME?</v>
      </c>
      <c r="H326" t="s">
        <v>14</v>
      </c>
      <c r="I326" s="26" t="s">
        <v>378</v>
      </c>
    </row>
    <row r="327" spans="1:9" x14ac:dyDescent="0.3">
      <c r="A327" s="24">
        <v>45355</v>
      </c>
      <c r="B327" t="s">
        <v>134</v>
      </c>
      <c r="C327" t="s">
        <v>29</v>
      </c>
      <c r="D327">
        <v>0.5</v>
      </c>
      <c r="E327" t="s">
        <v>420</v>
      </c>
      <c r="F327" t="s">
        <v>31</v>
      </c>
      <c r="G327" t="s">
        <v>421</v>
      </c>
      <c r="H327" t="s">
        <v>14</v>
      </c>
      <c r="I327" s="26" t="s">
        <v>378</v>
      </c>
    </row>
    <row r="328" spans="1:9" x14ac:dyDescent="0.3">
      <c r="A328" s="24">
        <v>45355</v>
      </c>
      <c r="B328" t="s">
        <v>134</v>
      </c>
      <c r="C328" t="s">
        <v>29</v>
      </c>
      <c r="D328">
        <v>0.73</v>
      </c>
      <c r="E328" t="s">
        <v>135</v>
      </c>
      <c r="F328" t="s">
        <v>55</v>
      </c>
      <c r="G328" t="s">
        <v>422</v>
      </c>
      <c r="H328" t="s">
        <v>14</v>
      </c>
      <c r="I328" s="26" t="s">
        <v>378</v>
      </c>
    </row>
    <row r="329" spans="1:9" x14ac:dyDescent="0.3">
      <c r="A329" s="24">
        <v>45355</v>
      </c>
      <c r="B329" t="s">
        <v>134</v>
      </c>
      <c r="C329" t="s">
        <v>29</v>
      </c>
      <c r="D329">
        <v>1</v>
      </c>
      <c r="E329" t="s">
        <v>423</v>
      </c>
      <c r="F329" t="s">
        <v>55</v>
      </c>
      <c r="G329" t="s">
        <v>424</v>
      </c>
      <c r="H329" t="s">
        <v>14</v>
      </c>
      <c r="I329" s="26" t="s">
        <v>378</v>
      </c>
    </row>
    <row r="330" spans="1:9" x14ac:dyDescent="0.3">
      <c r="A330" s="24">
        <v>45355</v>
      </c>
      <c r="B330" t="s">
        <v>134</v>
      </c>
      <c r="C330" t="s">
        <v>29</v>
      </c>
      <c r="D330">
        <v>1.32</v>
      </c>
      <c r="E330" t="s">
        <v>139</v>
      </c>
      <c r="F330" t="s">
        <v>31</v>
      </c>
      <c r="G330" t="s">
        <v>425</v>
      </c>
      <c r="H330" t="s">
        <v>14</v>
      </c>
      <c r="I330" s="26" t="s">
        <v>378</v>
      </c>
    </row>
    <row r="331" spans="1:9" x14ac:dyDescent="0.3">
      <c r="A331" s="24">
        <v>45355</v>
      </c>
      <c r="B331" t="s">
        <v>134</v>
      </c>
      <c r="C331" t="s">
        <v>29</v>
      </c>
      <c r="D331">
        <v>2.2000000000000002</v>
      </c>
      <c r="E331" t="s">
        <v>137</v>
      </c>
      <c r="F331" t="s">
        <v>31</v>
      </c>
      <c r="G331" t="s">
        <v>426</v>
      </c>
      <c r="H331" t="s">
        <v>14</v>
      </c>
      <c r="I331" s="26" t="s">
        <v>378</v>
      </c>
    </row>
    <row r="332" spans="1:9" x14ac:dyDescent="0.3">
      <c r="A332" s="24">
        <v>45355</v>
      </c>
      <c r="B332" t="s">
        <v>134</v>
      </c>
      <c r="C332" t="s">
        <v>142</v>
      </c>
      <c r="D332">
        <v>1.2</v>
      </c>
      <c r="E332" t="s">
        <v>143</v>
      </c>
      <c r="F332" t="s">
        <v>31</v>
      </c>
      <c r="G332" t="s">
        <v>427</v>
      </c>
      <c r="H332" t="s">
        <v>14</v>
      </c>
      <c r="I332" s="26" t="s">
        <v>378</v>
      </c>
    </row>
    <row r="333" spans="1:9" x14ac:dyDescent="0.3">
      <c r="A333" s="24">
        <v>45355</v>
      </c>
      <c r="B333" t="s">
        <v>134</v>
      </c>
      <c r="C333" t="s">
        <v>428</v>
      </c>
      <c r="D333">
        <v>0.55000000000000004</v>
      </c>
      <c r="E333" t="s">
        <v>143</v>
      </c>
      <c r="F333" t="s">
        <v>31</v>
      </c>
      <c r="G333" t="s">
        <v>429</v>
      </c>
      <c r="H333" t="s">
        <v>14</v>
      </c>
      <c r="I333" s="26" t="s">
        <v>378</v>
      </c>
    </row>
    <row r="334" spans="1:9" x14ac:dyDescent="0.3">
      <c r="A334" s="24">
        <v>45355</v>
      </c>
      <c r="B334" t="s">
        <v>134</v>
      </c>
      <c r="C334" t="s">
        <v>53</v>
      </c>
      <c r="D334">
        <v>0.5</v>
      </c>
      <c r="E334" t="s">
        <v>54</v>
      </c>
      <c r="F334" t="s">
        <v>55</v>
      </c>
      <c r="G334" t="s">
        <v>110</v>
      </c>
      <c r="H334" t="s">
        <v>14</v>
      </c>
      <c r="I334" s="26" t="s">
        <v>378</v>
      </c>
    </row>
    <row r="335" spans="1:9" x14ac:dyDescent="0.3">
      <c r="A335" s="24">
        <v>45355</v>
      </c>
      <c r="B335" t="s">
        <v>150</v>
      </c>
      <c r="C335" t="s">
        <v>29</v>
      </c>
      <c r="D335">
        <v>0.13</v>
      </c>
      <c r="E335" t="s">
        <v>151</v>
      </c>
      <c r="F335" t="s">
        <v>55</v>
      </c>
      <c r="G335" t="s">
        <v>430</v>
      </c>
      <c r="H335" t="s">
        <v>14</v>
      </c>
      <c r="I335" s="26" t="s">
        <v>378</v>
      </c>
    </row>
    <row r="336" spans="1:9" x14ac:dyDescent="0.3">
      <c r="A336" s="24">
        <v>45355</v>
      </c>
      <c r="B336" t="s">
        <v>150</v>
      </c>
      <c r="C336" t="s">
        <v>29</v>
      </c>
      <c r="D336">
        <v>0.2</v>
      </c>
      <c r="E336" t="s">
        <v>114</v>
      </c>
      <c r="F336" t="s">
        <v>31</v>
      </c>
      <c r="G336" t="s">
        <v>431</v>
      </c>
      <c r="H336" t="s">
        <v>14</v>
      </c>
      <c r="I336" s="26" t="s">
        <v>378</v>
      </c>
    </row>
    <row r="337" spans="1:9" x14ac:dyDescent="0.3">
      <c r="A337" s="24">
        <v>45355</v>
      </c>
      <c r="B337" t="s">
        <v>150</v>
      </c>
      <c r="C337" t="s">
        <v>29</v>
      </c>
      <c r="D337">
        <v>0.23</v>
      </c>
      <c r="E337" t="s">
        <v>151</v>
      </c>
      <c r="F337" t="s">
        <v>31</v>
      </c>
      <c r="G337" t="s">
        <v>432</v>
      </c>
      <c r="H337" t="s">
        <v>14</v>
      </c>
      <c r="I337" s="26" t="s">
        <v>378</v>
      </c>
    </row>
    <row r="338" spans="1:9" x14ac:dyDescent="0.3">
      <c r="A338" s="24">
        <v>45355</v>
      </c>
      <c r="B338" t="s">
        <v>150</v>
      </c>
      <c r="C338" t="s">
        <v>29</v>
      </c>
      <c r="D338">
        <v>0.3</v>
      </c>
      <c r="E338" t="s">
        <v>151</v>
      </c>
      <c r="F338" t="s">
        <v>31</v>
      </c>
      <c r="G338" t="s">
        <v>433</v>
      </c>
      <c r="H338" t="s">
        <v>14</v>
      </c>
      <c r="I338" s="26" t="s">
        <v>378</v>
      </c>
    </row>
    <row r="339" spans="1:9" x14ac:dyDescent="0.3">
      <c r="A339" s="24">
        <v>45355</v>
      </c>
      <c r="B339" t="s">
        <v>150</v>
      </c>
      <c r="C339" t="s">
        <v>29</v>
      </c>
      <c r="D339">
        <v>0.43</v>
      </c>
      <c r="E339" t="s">
        <v>151</v>
      </c>
      <c r="F339" t="s">
        <v>31</v>
      </c>
      <c r="G339" t="s">
        <v>434</v>
      </c>
      <c r="H339" t="s">
        <v>14</v>
      </c>
      <c r="I339" s="26" t="s">
        <v>378</v>
      </c>
    </row>
    <row r="340" spans="1:9" x14ac:dyDescent="0.3">
      <c r="A340" s="24">
        <v>45355</v>
      </c>
      <c r="B340" t="s">
        <v>150</v>
      </c>
      <c r="C340" t="s">
        <v>29</v>
      </c>
      <c r="D340">
        <v>0.43</v>
      </c>
      <c r="E340" t="s">
        <v>114</v>
      </c>
      <c r="F340" t="s">
        <v>31</v>
      </c>
      <c r="G340" t="s">
        <v>435</v>
      </c>
      <c r="H340" t="s">
        <v>14</v>
      </c>
      <c r="I340" s="26" t="s">
        <v>378</v>
      </c>
    </row>
    <row r="341" spans="1:9" x14ac:dyDescent="0.3">
      <c r="A341" s="24">
        <v>45355</v>
      </c>
      <c r="B341" t="s">
        <v>150</v>
      </c>
      <c r="C341" t="s">
        <v>29</v>
      </c>
      <c r="D341">
        <v>1.08</v>
      </c>
      <c r="E341" t="s">
        <v>151</v>
      </c>
      <c r="F341" t="s">
        <v>31</v>
      </c>
      <c r="G341" t="s">
        <v>436</v>
      </c>
      <c r="H341" t="s">
        <v>14</v>
      </c>
      <c r="I341" s="26" t="s">
        <v>378</v>
      </c>
    </row>
    <row r="342" spans="1:9" x14ac:dyDescent="0.3">
      <c r="A342" s="24">
        <v>45355</v>
      </c>
      <c r="B342" t="s">
        <v>150</v>
      </c>
      <c r="C342" t="s">
        <v>29</v>
      </c>
      <c r="D342">
        <v>1.67</v>
      </c>
      <c r="E342" t="s">
        <v>437</v>
      </c>
      <c r="F342" t="s">
        <v>31</v>
      </c>
      <c r="G342" t="s">
        <v>152</v>
      </c>
      <c r="H342" t="s">
        <v>14</v>
      </c>
      <c r="I342" s="26" t="s">
        <v>378</v>
      </c>
    </row>
    <row r="343" spans="1:9" x14ac:dyDescent="0.3">
      <c r="A343" s="24">
        <v>45355</v>
      </c>
      <c r="B343" t="s">
        <v>150</v>
      </c>
      <c r="C343" t="s">
        <v>29</v>
      </c>
      <c r="D343">
        <v>2.02</v>
      </c>
      <c r="E343" t="s">
        <v>437</v>
      </c>
      <c r="F343" t="s">
        <v>31</v>
      </c>
      <c r="G343" t="s">
        <v>438</v>
      </c>
      <c r="H343" t="s">
        <v>14</v>
      </c>
      <c r="I343" s="26" t="s">
        <v>378</v>
      </c>
    </row>
    <row r="344" spans="1:9" x14ac:dyDescent="0.3">
      <c r="A344" s="24">
        <v>45355</v>
      </c>
      <c r="B344" t="s">
        <v>150</v>
      </c>
      <c r="C344" t="s">
        <v>85</v>
      </c>
      <c r="D344">
        <v>0.27</v>
      </c>
      <c r="E344" t="s">
        <v>162</v>
      </c>
      <c r="F344" t="s">
        <v>55</v>
      </c>
      <c r="G344" t="s">
        <v>439</v>
      </c>
      <c r="H344" t="s">
        <v>14</v>
      </c>
      <c r="I344" s="26" t="s">
        <v>378</v>
      </c>
    </row>
    <row r="345" spans="1:9" x14ac:dyDescent="0.3">
      <c r="A345" s="24">
        <v>45355</v>
      </c>
      <c r="B345" t="s">
        <v>150</v>
      </c>
      <c r="C345" t="s">
        <v>53</v>
      </c>
      <c r="D345">
        <v>0.15</v>
      </c>
      <c r="E345" t="s">
        <v>54</v>
      </c>
      <c r="F345" t="s">
        <v>55</v>
      </c>
      <c r="G345" t="s">
        <v>158</v>
      </c>
      <c r="H345" t="s">
        <v>14</v>
      </c>
      <c r="I345" s="26" t="s">
        <v>378</v>
      </c>
    </row>
    <row r="346" spans="1:9" x14ac:dyDescent="0.3">
      <c r="A346" s="24">
        <v>45355</v>
      </c>
      <c r="B346" t="s">
        <v>150</v>
      </c>
      <c r="C346" t="s">
        <v>60</v>
      </c>
      <c r="D346">
        <v>0.37</v>
      </c>
      <c r="E346" t="s">
        <v>156</v>
      </c>
      <c r="F346" t="s">
        <v>31</v>
      </c>
      <c r="G346" t="s">
        <v>440</v>
      </c>
      <c r="H346" t="s">
        <v>14</v>
      </c>
      <c r="I346" s="26" t="s">
        <v>378</v>
      </c>
    </row>
    <row r="347" spans="1:9" x14ac:dyDescent="0.3">
      <c r="A347" s="24">
        <v>45355</v>
      </c>
      <c r="B347" t="s">
        <v>150</v>
      </c>
      <c r="C347" t="s">
        <v>60</v>
      </c>
      <c r="D347">
        <v>0.8</v>
      </c>
      <c r="E347" t="s">
        <v>151</v>
      </c>
      <c r="F347" t="s">
        <v>31</v>
      </c>
      <c r="G347" t="s">
        <v>441</v>
      </c>
      <c r="H347" t="s">
        <v>14</v>
      </c>
      <c r="I347" s="26" t="s">
        <v>378</v>
      </c>
    </row>
    <row r="348" spans="1:9" x14ac:dyDescent="0.3">
      <c r="A348" s="24">
        <v>45355</v>
      </c>
      <c r="B348" t="s">
        <v>164</v>
      </c>
      <c r="C348" t="s">
        <v>442</v>
      </c>
      <c r="D348">
        <v>8</v>
      </c>
      <c r="E348" t="s">
        <v>54</v>
      </c>
      <c r="F348" t="s">
        <v>55</v>
      </c>
      <c r="G348" t="s">
        <v>443</v>
      </c>
      <c r="H348" t="s">
        <v>14</v>
      </c>
      <c r="I348" s="26" t="s">
        <v>378</v>
      </c>
    </row>
    <row r="349" spans="1:9" x14ac:dyDescent="0.3">
      <c r="A349" s="24">
        <v>45355</v>
      </c>
      <c r="B349" t="s">
        <v>169</v>
      </c>
      <c r="C349" t="s">
        <v>29</v>
      </c>
      <c r="D349">
        <v>3.93</v>
      </c>
      <c r="E349" t="s">
        <v>170</v>
      </c>
      <c r="F349" t="s">
        <v>31</v>
      </c>
      <c r="H349" t="s">
        <v>14</v>
      </c>
      <c r="I349" s="26" t="s">
        <v>378</v>
      </c>
    </row>
    <row r="350" spans="1:9" x14ac:dyDescent="0.3">
      <c r="A350" s="24">
        <v>45355</v>
      </c>
      <c r="B350" t="s">
        <v>169</v>
      </c>
      <c r="C350" t="s">
        <v>60</v>
      </c>
      <c r="D350">
        <v>0.73</v>
      </c>
      <c r="E350" t="s">
        <v>444</v>
      </c>
      <c r="F350" t="s">
        <v>31</v>
      </c>
      <c r="H350" t="s">
        <v>14</v>
      </c>
      <c r="I350" s="26" t="s">
        <v>378</v>
      </c>
    </row>
    <row r="351" spans="1:9" x14ac:dyDescent="0.3">
      <c r="A351" s="24">
        <v>45355</v>
      </c>
      <c r="B351" t="s">
        <v>169</v>
      </c>
      <c r="C351" t="s">
        <v>60</v>
      </c>
      <c r="D351">
        <v>3.48</v>
      </c>
      <c r="E351" t="s">
        <v>445</v>
      </c>
      <c r="F351" t="s">
        <v>31</v>
      </c>
      <c r="H351" t="s">
        <v>14</v>
      </c>
      <c r="I351" s="26" t="s">
        <v>378</v>
      </c>
    </row>
    <row r="352" spans="1:9" x14ac:dyDescent="0.3">
      <c r="A352" s="24">
        <v>45355</v>
      </c>
      <c r="B352" t="s">
        <v>172</v>
      </c>
      <c r="C352" t="s">
        <v>173</v>
      </c>
      <c r="D352">
        <v>7.35</v>
      </c>
      <c r="E352" t="s">
        <v>162</v>
      </c>
      <c r="F352" t="s">
        <v>31</v>
      </c>
      <c r="G352" t="s">
        <v>446</v>
      </c>
      <c r="H352" t="s">
        <v>14</v>
      </c>
      <c r="I352" s="26" t="s">
        <v>378</v>
      </c>
    </row>
    <row r="353" spans="1:9" x14ac:dyDescent="0.3">
      <c r="A353" s="24">
        <v>45355</v>
      </c>
      <c r="B353" t="s">
        <v>175</v>
      </c>
      <c r="C353" t="s">
        <v>29</v>
      </c>
      <c r="D353">
        <v>0.13</v>
      </c>
      <c r="E353" t="s">
        <v>185</v>
      </c>
      <c r="F353" t="s">
        <v>31</v>
      </c>
      <c r="H353" t="s">
        <v>14</v>
      </c>
      <c r="I353" s="26" t="s">
        <v>378</v>
      </c>
    </row>
    <row r="354" spans="1:9" x14ac:dyDescent="0.3">
      <c r="A354" s="24">
        <v>45355</v>
      </c>
      <c r="B354" t="s">
        <v>175</v>
      </c>
      <c r="C354" t="s">
        <v>29</v>
      </c>
      <c r="D354">
        <v>0.37</v>
      </c>
      <c r="E354" t="s">
        <v>176</v>
      </c>
      <c r="F354" t="s">
        <v>31</v>
      </c>
      <c r="G354" t="s">
        <v>447</v>
      </c>
      <c r="H354" t="s">
        <v>14</v>
      </c>
      <c r="I354" s="26" t="s">
        <v>378</v>
      </c>
    </row>
    <row r="355" spans="1:9" x14ac:dyDescent="0.3">
      <c r="A355" s="24">
        <v>45355</v>
      </c>
      <c r="B355" t="s">
        <v>175</v>
      </c>
      <c r="C355" t="s">
        <v>29</v>
      </c>
      <c r="D355">
        <v>0.4</v>
      </c>
      <c r="E355" t="s">
        <v>178</v>
      </c>
      <c r="F355" t="s">
        <v>31</v>
      </c>
      <c r="G355" t="s">
        <v>448</v>
      </c>
      <c r="H355" t="s">
        <v>14</v>
      </c>
      <c r="I355" s="26" t="s">
        <v>378</v>
      </c>
    </row>
    <row r="356" spans="1:9" x14ac:dyDescent="0.3">
      <c r="A356" s="24">
        <v>45355</v>
      </c>
      <c r="B356" t="s">
        <v>175</v>
      </c>
      <c r="C356" t="s">
        <v>29</v>
      </c>
      <c r="D356">
        <v>0.47</v>
      </c>
      <c r="E356" t="s">
        <v>182</v>
      </c>
      <c r="F356" t="s">
        <v>31</v>
      </c>
      <c r="G356" t="s">
        <v>449</v>
      </c>
      <c r="H356" t="s">
        <v>14</v>
      </c>
      <c r="I356" s="26" t="s">
        <v>378</v>
      </c>
    </row>
    <row r="357" spans="1:9" x14ac:dyDescent="0.3">
      <c r="A357" s="24">
        <v>45355</v>
      </c>
      <c r="B357" t="s">
        <v>175</v>
      </c>
      <c r="C357" t="s">
        <v>29</v>
      </c>
      <c r="D357">
        <v>0.5</v>
      </c>
      <c r="E357" t="s">
        <v>176</v>
      </c>
      <c r="F357" t="s">
        <v>31</v>
      </c>
      <c r="G357" t="s">
        <v>450</v>
      </c>
      <c r="H357" t="s">
        <v>14</v>
      </c>
      <c r="I357" s="26" t="s">
        <v>378</v>
      </c>
    </row>
    <row r="358" spans="1:9" x14ac:dyDescent="0.3">
      <c r="A358" s="24">
        <v>45355</v>
      </c>
      <c r="B358" t="s">
        <v>175</v>
      </c>
      <c r="C358" t="s">
        <v>29</v>
      </c>
      <c r="D358">
        <v>0.95</v>
      </c>
      <c r="E358" t="s">
        <v>182</v>
      </c>
      <c r="F358" t="s">
        <v>31</v>
      </c>
      <c r="H358" t="s">
        <v>14</v>
      </c>
      <c r="I358" s="26" t="s">
        <v>378</v>
      </c>
    </row>
    <row r="359" spans="1:9" x14ac:dyDescent="0.3">
      <c r="A359" s="24">
        <v>45355</v>
      </c>
      <c r="B359" t="s">
        <v>175</v>
      </c>
      <c r="C359" t="s">
        <v>29</v>
      </c>
      <c r="D359">
        <v>1.4</v>
      </c>
      <c r="E359" t="s">
        <v>127</v>
      </c>
      <c r="F359" t="s">
        <v>31</v>
      </c>
      <c r="H359" t="s">
        <v>14</v>
      </c>
      <c r="I359" s="26" t="s">
        <v>378</v>
      </c>
    </row>
    <row r="360" spans="1:9" x14ac:dyDescent="0.3">
      <c r="A360" s="24">
        <v>45355</v>
      </c>
      <c r="B360" t="s">
        <v>175</v>
      </c>
      <c r="C360" t="s">
        <v>29</v>
      </c>
      <c r="D360">
        <v>1.53</v>
      </c>
      <c r="E360" t="s">
        <v>179</v>
      </c>
      <c r="F360" t="s">
        <v>31</v>
      </c>
      <c r="G360" t="s">
        <v>451</v>
      </c>
      <c r="H360" t="s">
        <v>14</v>
      </c>
      <c r="I360" s="26" t="s">
        <v>378</v>
      </c>
    </row>
    <row r="361" spans="1:9" x14ac:dyDescent="0.3">
      <c r="A361" s="24">
        <v>45355</v>
      </c>
      <c r="B361" t="s">
        <v>175</v>
      </c>
      <c r="C361" t="s">
        <v>29</v>
      </c>
      <c r="D361">
        <v>1.55</v>
      </c>
      <c r="E361" t="s">
        <v>127</v>
      </c>
      <c r="F361" t="s">
        <v>31</v>
      </c>
      <c r="G361" t="s">
        <v>452</v>
      </c>
      <c r="H361" t="s">
        <v>14</v>
      </c>
      <c r="I361" s="26" t="s">
        <v>378</v>
      </c>
    </row>
    <row r="362" spans="1:9" x14ac:dyDescent="0.3">
      <c r="A362" s="24">
        <v>45355</v>
      </c>
      <c r="B362" t="s">
        <v>175</v>
      </c>
      <c r="C362" t="s">
        <v>58</v>
      </c>
      <c r="D362">
        <v>1.02</v>
      </c>
      <c r="E362" t="s">
        <v>54</v>
      </c>
      <c r="F362" t="s">
        <v>55</v>
      </c>
      <c r="G362" t="s">
        <v>453</v>
      </c>
      <c r="H362" t="s">
        <v>14</v>
      </c>
      <c r="I362" s="26" t="s">
        <v>378</v>
      </c>
    </row>
    <row r="363" spans="1:9" x14ac:dyDescent="0.3">
      <c r="A363" s="24">
        <v>45355</v>
      </c>
      <c r="B363" t="s">
        <v>188</v>
      </c>
      <c r="C363" t="s">
        <v>454</v>
      </c>
      <c r="D363">
        <v>8</v>
      </c>
      <c r="E363" t="s">
        <v>54</v>
      </c>
      <c r="F363" t="s">
        <v>55</v>
      </c>
      <c r="G363" t="s">
        <v>189</v>
      </c>
      <c r="H363" t="s">
        <v>14</v>
      </c>
      <c r="I363" s="26" t="s">
        <v>378</v>
      </c>
    </row>
    <row r="364" spans="1:9" x14ac:dyDescent="0.3">
      <c r="A364" s="24">
        <v>45355</v>
      </c>
      <c r="B364" t="s">
        <v>190</v>
      </c>
      <c r="C364" t="s">
        <v>89</v>
      </c>
      <c r="D364">
        <v>8</v>
      </c>
      <c r="E364" t="s">
        <v>54</v>
      </c>
      <c r="F364" t="s">
        <v>55</v>
      </c>
      <c r="H364" t="s">
        <v>14</v>
      </c>
      <c r="I364" s="26" t="s">
        <v>378</v>
      </c>
    </row>
    <row r="365" spans="1:9" x14ac:dyDescent="0.3">
      <c r="A365" s="24">
        <v>45355</v>
      </c>
      <c r="B365" t="s">
        <v>191</v>
      </c>
      <c r="C365" t="s">
        <v>89</v>
      </c>
      <c r="D365">
        <v>8</v>
      </c>
      <c r="E365" t="s">
        <v>54</v>
      </c>
      <c r="F365" t="s">
        <v>55</v>
      </c>
      <c r="G365" t="s">
        <v>455</v>
      </c>
      <c r="H365" t="s">
        <v>14</v>
      </c>
      <c r="I365" s="26" t="s">
        <v>378</v>
      </c>
    </row>
    <row r="366" spans="1:9" x14ac:dyDescent="0.3">
      <c r="A366" s="24">
        <v>45355</v>
      </c>
      <c r="B366" t="s">
        <v>193</v>
      </c>
      <c r="C366" t="s">
        <v>29</v>
      </c>
      <c r="D366">
        <v>0.25</v>
      </c>
      <c r="E366" t="s">
        <v>30</v>
      </c>
      <c r="F366" t="s">
        <v>55</v>
      </c>
      <c r="G366" t="s">
        <v>456</v>
      </c>
      <c r="H366" t="s">
        <v>14</v>
      </c>
      <c r="I366" s="26" t="s">
        <v>378</v>
      </c>
    </row>
    <row r="367" spans="1:9" x14ac:dyDescent="0.3">
      <c r="A367" s="24">
        <v>45355</v>
      </c>
      <c r="B367" t="s">
        <v>193</v>
      </c>
      <c r="C367" t="s">
        <v>29</v>
      </c>
      <c r="D367">
        <v>0.37</v>
      </c>
      <c r="E367" t="s">
        <v>227</v>
      </c>
      <c r="F367" t="s">
        <v>31</v>
      </c>
      <c r="G367" t="s">
        <v>457</v>
      </c>
      <c r="H367" t="s">
        <v>14</v>
      </c>
      <c r="I367" s="26" t="s">
        <v>378</v>
      </c>
    </row>
    <row r="368" spans="1:9" x14ac:dyDescent="0.3">
      <c r="A368" s="24">
        <v>45355</v>
      </c>
      <c r="B368" t="s">
        <v>193</v>
      </c>
      <c r="C368" t="s">
        <v>29</v>
      </c>
      <c r="D368">
        <v>0.52</v>
      </c>
      <c r="E368" t="s">
        <v>227</v>
      </c>
      <c r="F368" t="s">
        <v>31</v>
      </c>
      <c r="G368" t="s">
        <v>458</v>
      </c>
      <c r="H368" t="s">
        <v>14</v>
      </c>
      <c r="I368" s="26" t="s">
        <v>378</v>
      </c>
    </row>
    <row r="369" spans="1:9" x14ac:dyDescent="0.3">
      <c r="A369" s="24">
        <v>45355</v>
      </c>
      <c r="B369" t="s">
        <v>193</v>
      </c>
      <c r="C369" t="s">
        <v>197</v>
      </c>
      <c r="D369">
        <v>0.08</v>
      </c>
      <c r="E369" t="s">
        <v>54</v>
      </c>
      <c r="F369" t="s">
        <v>55</v>
      </c>
      <c r="G369" t="s">
        <v>459</v>
      </c>
      <c r="H369" t="s">
        <v>14</v>
      </c>
      <c r="I369" s="26" t="s">
        <v>378</v>
      </c>
    </row>
    <row r="370" spans="1:9" x14ac:dyDescent="0.3">
      <c r="A370" s="24">
        <v>45355</v>
      </c>
      <c r="B370" t="s">
        <v>193</v>
      </c>
      <c r="C370" t="s">
        <v>202</v>
      </c>
      <c r="D370">
        <v>0.08</v>
      </c>
      <c r="E370" t="s">
        <v>460</v>
      </c>
      <c r="F370" t="s">
        <v>31</v>
      </c>
      <c r="G370" t="s">
        <v>461</v>
      </c>
      <c r="H370" t="s">
        <v>14</v>
      </c>
      <c r="I370" s="26" t="s">
        <v>378</v>
      </c>
    </row>
    <row r="371" spans="1:9" x14ac:dyDescent="0.3">
      <c r="A371" s="24">
        <v>45355</v>
      </c>
      <c r="B371" t="s">
        <v>193</v>
      </c>
      <c r="C371" t="s">
        <v>202</v>
      </c>
      <c r="D371">
        <v>0.13</v>
      </c>
      <c r="E371" t="s">
        <v>271</v>
      </c>
      <c r="F371" t="s">
        <v>31</v>
      </c>
      <c r="G371" t="s">
        <v>462</v>
      </c>
      <c r="H371" t="s">
        <v>14</v>
      </c>
      <c r="I371" s="26" t="s">
        <v>378</v>
      </c>
    </row>
    <row r="372" spans="1:9" x14ac:dyDescent="0.3">
      <c r="A372" s="24">
        <v>45355</v>
      </c>
      <c r="B372" t="s">
        <v>193</v>
      </c>
      <c r="C372" t="s">
        <v>202</v>
      </c>
      <c r="D372">
        <v>0.2</v>
      </c>
      <c r="E372" t="s">
        <v>229</v>
      </c>
      <c r="F372" t="s">
        <v>31</v>
      </c>
      <c r="G372" t="s">
        <v>463</v>
      </c>
      <c r="H372" t="s">
        <v>14</v>
      </c>
      <c r="I372" s="26" t="s">
        <v>378</v>
      </c>
    </row>
    <row r="373" spans="1:9" x14ac:dyDescent="0.3">
      <c r="A373" s="24">
        <v>45355</v>
      </c>
      <c r="B373" t="s">
        <v>193</v>
      </c>
      <c r="C373" t="s">
        <v>202</v>
      </c>
      <c r="D373">
        <v>0.38</v>
      </c>
      <c r="E373" t="s">
        <v>229</v>
      </c>
      <c r="F373" t="s">
        <v>31</v>
      </c>
      <c r="G373" t="s">
        <v>464</v>
      </c>
      <c r="H373" t="s">
        <v>14</v>
      </c>
      <c r="I373" s="26" t="s">
        <v>378</v>
      </c>
    </row>
    <row r="374" spans="1:9" x14ac:dyDescent="0.3">
      <c r="A374" s="24">
        <v>45355</v>
      </c>
      <c r="B374" t="s">
        <v>193</v>
      </c>
      <c r="C374" t="s">
        <v>202</v>
      </c>
      <c r="D374">
        <v>0.5</v>
      </c>
      <c r="E374" t="s">
        <v>229</v>
      </c>
      <c r="F374" t="s">
        <v>31</v>
      </c>
      <c r="G374" t="s">
        <v>465</v>
      </c>
      <c r="H374" t="s">
        <v>14</v>
      </c>
      <c r="I374" s="26" t="s">
        <v>378</v>
      </c>
    </row>
    <row r="375" spans="1:9" x14ac:dyDescent="0.3">
      <c r="A375" s="24">
        <v>45355</v>
      </c>
      <c r="B375" t="s">
        <v>193</v>
      </c>
      <c r="C375" t="s">
        <v>202</v>
      </c>
      <c r="D375">
        <v>0.63</v>
      </c>
      <c r="E375" t="s">
        <v>205</v>
      </c>
      <c r="F375" t="s">
        <v>31</v>
      </c>
      <c r="G375" t="s">
        <v>466</v>
      </c>
      <c r="H375" t="s">
        <v>14</v>
      </c>
      <c r="I375" s="26" t="s">
        <v>378</v>
      </c>
    </row>
    <row r="376" spans="1:9" x14ac:dyDescent="0.3">
      <c r="A376" s="24">
        <v>45355</v>
      </c>
      <c r="B376" t="s">
        <v>193</v>
      </c>
      <c r="C376" t="s">
        <v>53</v>
      </c>
      <c r="D376">
        <v>0.17</v>
      </c>
      <c r="E376" t="s">
        <v>54</v>
      </c>
      <c r="F376" t="s">
        <v>55</v>
      </c>
      <c r="G376" t="s">
        <v>243</v>
      </c>
      <c r="H376" t="s">
        <v>14</v>
      </c>
      <c r="I376" s="26" t="s">
        <v>378</v>
      </c>
    </row>
    <row r="377" spans="1:9" x14ac:dyDescent="0.3">
      <c r="A377" s="24">
        <v>45355</v>
      </c>
      <c r="B377" t="s">
        <v>193</v>
      </c>
      <c r="C377" t="s">
        <v>53</v>
      </c>
      <c r="D377">
        <v>0.17</v>
      </c>
      <c r="E377" t="s">
        <v>54</v>
      </c>
      <c r="F377" t="s">
        <v>55</v>
      </c>
      <c r="G377" t="s">
        <v>467</v>
      </c>
      <c r="H377" t="s">
        <v>14</v>
      </c>
      <c r="I377" s="26" t="s">
        <v>378</v>
      </c>
    </row>
    <row r="378" spans="1:9" x14ac:dyDescent="0.3">
      <c r="A378" s="24">
        <v>45355</v>
      </c>
      <c r="B378" t="s">
        <v>193</v>
      </c>
      <c r="C378" t="s">
        <v>53</v>
      </c>
      <c r="D378">
        <v>0.17</v>
      </c>
      <c r="E378" t="s">
        <v>54</v>
      </c>
      <c r="F378" t="s">
        <v>55</v>
      </c>
      <c r="G378" t="s">
        <v>468</v>
      </c>
      <c r="H378" t="s">
        <v>14</v>
      </c>
      <c r="I378" s="26" t="s">
        <v>378</v>
      </c>
    </row>
    <row r="379" spans="1:9" x14ac:dyDescent="0.3">
      <c r="A379" s="24">
        <v>45355</v>
      </c>
      <c r="B379" t="s">
        <v>193</v>
      </c>
      <c r="C379" t="s">
        <v>53</v>
      </c>
      <c r="D379">
        <v>0.25</v>
      </c>
      <c r="E379" t="s">
        <v>54</v>
      </c>
      <c r="F379" t="s">
        <v>55</v>
      </c>
      <c r="G379" t="s">
        <v>469</v>
      </c>
      <c r="H379" t="s">
        <v>14</v>
      </c>
      <c r="I379" s="26" t="s">
        <v>378</v>
      </c>
    </row>
    <row r="380" spans="1:9" x14ac:dyDescent="0.3">
      <c r="A380" s="24">
        <v>45355</v>
      </c>
      <c r="B380" t="s">
        <v>193</v>
      </c>
      <c r="C380" t="s">
        <v>53</v>
      </c>
      <c r="D380">
        <v>0.35</v>
      </c>
      <c r="E380" t="s">
        <v>54</v>
      </c>
      <c r="F380" t="s">
        <v>55</v>
      </c>
      <c r="G380" t="s">
        <v>470</v>
      </c>
      <c r="H380" t="s">
        <v>14</v>
      </c>
      <c r="I380" s="26" t="s">
        <v>378</v>
      </c>
    </row>
    <row r="381" spans="1:9" x14ac:dyDescent="0.3">
      <c r="A381" s="24">
        <v>45355</v>
      </c>
      <c r="B381" t="s">
        <v>193</v>
      </c>
      <c r="C381" t="s">
        <v>53</v>
      </c>
      <c r="D381">
        <v>0.42</v>
      </c>
      <c r="E381" t="s">
        <v>54</v>
      </c>
      <c r="F381" t="s">
        <v>55</v>
      </c>
      <c r="G381" t="s">
        <v>471</v>
      </c>
      <c r="H381" t="s">
        <v>14</v>
      </c>
      <c r="I381" s="26" t="s">
        <v>378</v>
      </c>
    </row>
    <row r="382" spans="1:9" x14ac:dyDescent="0.3">
      <c r="A382" s="24">
        <v>45355</v>
      </c>
      <c r="B382" t="s">
        <v>193</v>
      </c>
      <c r="C382" t="s">
        <v>232</v>
      </c>
      <c r="D382">
        <v>0.25</v>
      </c>
      <c r="E382" t="s">
        <v>472</v>
      </c>
      <c r="F382" t="s">
        <v>55</v>
      </c>
      <c r="G382" t="s">
        <v>473</v>
      </c>
      <c r="H382" t="s">
        <v>14</v>
      </c>
      <c r="I382" s="26" t="s">
        <v>378</v>
      </c>
    </row>
    <row r="383" spans="1:9" x14ac:dyDescent="0.3">
      <c r="A383" s="24">
        <v>45355</v>
      </c>
      <c r="B383" t="s">
        <v>193</v>
      </c>
      <c r="C383" t="s">
        <v>58</v>
      </c>
      <c r="D383">
        <v>0.47</v>
      </c>
      <c r="E383" t="s">
        <v>54</v>
      </c>
      <c r="F383" t="s">
        <v>55</v>
      </c>
      <c r="G383" t="s">
        <v>161</v>
      </c>
      <c r="H383" t="s">
        <v>14</v>
      </c>
      <c r="I383" s="26" t="s">
        <v>378</v>
      </c>
    </row>
    <row r="384" spans="1:9" x14ac:dyDescent="0.3">
      <c r="A384" s="24">
        <v>45355</v>
      </c>
      <c r="B384" t="s">
        <v>193</v>
      </c>
      <c r="C384" t="s">
        <v>60</v>
      </c>
      <c r="D384">
        <v>0.17</v>
      </c>
      <c r="E384" t="s">
        <v>104</v>
      </c>
      <c r="F384" t="s">
        <v>31</v>
      </c>
      <c r="G384" t="s">
        <v>474</v>
      </c>
      <c r="H384" t="s">
        <v>14</v>
      </c>
      <c r="I384" s="26" t="s">
        <v>378</v>
      </c>
    </row>
    <row r="385" spans="1:9" x14ac:dyDescent="0.3">
      <c r="A385" s="24">
        <v>45355</v>
      </c>
      <c r="B385" t="s">
        <v>193</v>
      </c>
      <c r="C385" t="s">
        <v>60</v>
      </c>
      <c r="D385">
        <v>0.17</v>
      </c>
      <c r="E385" t="s">
        <v>230</v>
      </c>
      <c r="F385" t="s">
        <v>31</v>
      </c>
      <c r="G385" t="s">
        <v>475</v>
      </c>
      <c r="H385" t="s">
        <v>14</v>
      </c>
      <c r="I385" s="26" t="s">
        <v>378</v>
      </c>
    </row>
    <row r="386" spans="1:9" x14ac:dyDescent="0.3">
      <c r="A386" s="24">
        <v>45355</v>
      </c>
      <c r="B386" t="s">
        <v>193</v>
      </c>
      <c r="C386" t="s">
        <v>60</v>
      </c>
      <c r="D386">
        <v>0.22</v>
      </c>
      <c r="E386" t="s">
        <v>102</v>
      </c>
      <c r="F386" t="s">
        <v>31</v>
      </c>
      <c r="G386" t="s">
        <v>476</v>
      </c>
      <c r="H386" t="s">
        <v>14</v>
      </c>
      <c r="I386" s="26" t="s">
        <v>378</v>
      </c>
    </row>
    <row r="387" spans="1:9" x14ac:dyDescent="0.3">
      <c r="A387" s="24">
        <v>45355</v>
      </c>
      <c r="B387" t="s">
        <v>193</v>
      </c>
      <c r="C387" t="s">
        <v>60</v>
      </c>
      <c r="D387">
        <v>0.43</v>
      </c>
      <c r="E387" t="s">
        <v>162</v>
      </c>
      <c r="F387" t="s">
        <v>31</v>
      </c>
      <c r="G387" t="s">
        <v>477</v>
      </c>
      <c r="H387" t="s">
        <v>14</v>
      </c>
      <c r="I387" s="26" t="s">
        <v>378</v>
      </c>
    </row>
    <row r="388" spans="1:9" x14ac:dyDescent="0.3">
      <c r="A388" s="24">
        <v>45355</v>
      </c>
      <c r="B388" t="s">
        <v>193</v>
      </c>
      <c r="C388" t="s">
        <v>60</v>
      </c>
      <c r="D388">
        <v>0.56999999999999995</v>
      </c>
      <c r="E388" t="s">
        <v>102</v>
      </c>
      <c r="F388" t="s">
        <v>31</v>
      </c>
      <c r="G388" t="s">
        <v>478</v>
      </c>
      <c r="H388" t="s">
        <v>14</v>
      </c>
      <c r="I388" s="26" t="s">
        <v>378</v>
      </c>
    </row>
    <row r="389" spans="1:9" x14ac:dyDescent="0.3">
      <c r="A389" s="24">
        <v>45355</v>
      </c>
      <c r="B389" t="s">
        <v>193</v>
      </c>
      <c r="C389" t="s">
        <v>60</v>
      </c>
      <c r="D389">
        <v>0.75</v>
      </c>
      <c r="E389" t="s">
        <v>162</v>
      </c>
      <c r="F389" t="s">
        <v>31</v>
      </c>
      <c r="G389" t="s">
        <v>479</v>
      </c>
      <c r="H389" t="s">
        <v>14</v>
      </c>
      <c r="I389" s="26" t="s">
        <v>378</v>
      </c>
    </row>
    <row r="390" spans="1:9" x14ac:dyDescent="0.3">
      <c r="A390" s="24">
        <v>45355</v>
      </c>
      <c r="B390" t="s">
        <v>212</v>
      </c>
      <c r="C390" t="s">
        <v>85</v>
      </c>
      <c r="D390">
        <v>0.08</v>
      </c>
      <c r="E390" t="s">
        <v>54</v>
      </c>
      <c r="F390" t="s">
        <v>55</v>
      </c>
      <c r="G390" t="s">
        <v>480</v>
      </c>
      <c r="H390" t="s">
        <v>14</v>
      </c>
      <c r="I390" s="26" t="s">
        <v>378</v>
      </c>
    </row>
    <row r="391" spans="1:9" x14ac:dyDescent="0.3">
      <c r="A391" s="24">
        <v>45355</v>
      </c>
      <c r="B391" t="s">
        <v>212</v>
      </c>
      <c r="C391" t="s">
        <v>85</v>
      </c>
      <c r="D391">
        <v>0.13</v>
      </c>
      <c r="E391" t="s">
        <v>54</v>
      </c>
      <c r="F391" t="s">
        <v>55</v>
      </c>
      <c r="G391" t="s">
        <v>481</v>
      </c>
      <c r="H391" t="s">
        <v>14</v>
      </c>
      <c r="I391" s="26" t="s">
        <v>378</v>
      </c>
    </row>
    <row r="392" spans="1:9" x14ac:dyDescent="0.3">
      <c r="A392" s="24">
        <v>45355</v>
      </c>
      <c r="B392" t="s">
        <v>212</v>
      </c>
      <c r="C392" t="s">
        <v>85</v>
      </c>
      <c r="D392">
        <v>0.18</v>
      </c>
      <c r="E392" t="s">
        <v>54</v>
      </c>
      <c r="F392" t="s">
        <v>55</v>
      </c>
      <c r="G392" t="s">
        <v>482</v>
      </c>
      <c r="H392" t="s">
        <v>14</v>
      </c>
      <c r="I392" s="26" t="s">
        <v>378</v>
      </c>
    </row>
    <row r="393" spans="1:9" x14ac:dyDescent="0.3">
      <c r="A393" s="24">
        <v>45355</v>
      </c>
      <c r="B393" t="s">
        <v>212</v>
      </c>
      <c r="C393" t="s">
        <v>85</v>
      </c>
      <c r="D393">
        <v>0.25</v>
      </c>
      <c r="E393" t="s">
        <v>483</v>
      </c>
      <c r="F393" t="s">
        <v>55</v>
      </c>
      <c r="G393" t="s">
        <v>484</v>
      </c>
      <c r="H393" t="s">
        <v>14</v>
      </c>
      <c r="I393" s="26" t="s">
        <v>378</v>
      </c>
    </row>
    <row r="394" spans="1:9" x14ac:dyDescent="0.3">
      <c r="A394" s="24">
        <v>45355</v>
      </c>
      <c r="B394" t="s">
        <v>212</v>
      </c>
      <c r="C394" t="s">
        <v>85</v>
      </c>
      <c r="D394">
        <v>0.28000000000000003</v>
      </c>
      <c r="E394" t="s">
        <v>304</v>
      </c>
      <c r="F394" t="s">
        <v>31</v>
      </c>
      <c r="G394" t="s">
        <v>485</v>
      </c>
      <c r="H394" t="s">
        <v>14</v>
      </c>
      <c r="I394" s="26" t="s">
        <v>378</v>
      </c>
    </row>
    <row r="395" spans="1:9" x14ac:dyDescent="0.3">
      <c r="A395" s="24">
        <v>45355</v>
      </c>
      <c r="B395" t="s">
        <v>212</v>
      </c>
      <c r="C395" t="s">
        <v>85</v>
      </c>
      <c r="D395">
        <v>0.38</v>
      </c>
      <c r="E395" t="s">
        <v>179</v>
      </c>
      <c r="F395" t="s">
        <v>55</v>
      </c>
      <c r="G395" t="s">
        <v>486</v>
      </c>
      <c r="H395" t="s">
        <v>14</v>
      </c>
      <c r="I395" s="26" t="s">
        <v>378</v>
      </c>
    </row>
    <row r="396" spans="1:9" x14ac:dyDescent="0.3">
      <c r="A396" s="24">
        <v>45355</v>
      </c>
      <c r="B396" t="s">
        <v>212</v>
      </c>
      <c r="C396" t="s">
        <v>85</v>
      </c>
      <c r="D396">
        <v>0.63</v>
      </c>
      <c r="E396" t="s">
        <v>106</v>
      </c>
      <c r="F396" t="s">
        <v>55</v>
      </c>
      <c r="G396" t="s">
        <v>487</v>
      </c>
      <c r="H396" t="s">
        <v>14</v>
      </c>
      <c r="I396" s="26" t="s">
        <v>378</v>
      </c>
    </row>
    <row r="397" spans="1:9" x14ac:dyDescent="0.3">
      <c r="A397" s="24">
        <v>45355</v>
      </c>
      <c r="B397" t="s">
        <v>212</v>
      </c>
      <c r="C397" t="s">
        <v>85</v>
      </c>
      <c r="D397">
        <v>1.1200000000000001</v>
      </c>
      <c r="E397" t="s">
        <v>54</v>
      </c>
      <c r="F397" t="s">
        <v>55</v>
      </c>
      <c r="G397" t="s">
        <v>488</v>
      </c>
      <c r="H397" t="s">
        <v>14</v>
      </c>
      <c r="I397" s="26" t="s">
        <v>378</v>
      </c>
    </row>
    <row r="398" spans="1:9" x14ac:dyDescent="0.3">
      <c r="A398" s="24">
        <v>45355</v>
      </c>
      <c r="B398" t="s">
        <v>212</v>
      </c>
      <c r="C398" t="s">
        <v>53</v>
      </c>
      <c r="D398">
        <v>0.25</v>
      </c>
      <c r="E398" t="s">
        <v>54</v>
      </c>
      <c r="F398" t="s">
        <v>55</v>
      </c>
      <c r="G398" t="s">
        <v>221</v>
      </c>
      <c r="H398" t="s">
        <v>14</v>
      </c>
      <c r="I398" s="26" t="s">
        <v>378</v>
      </c>
    </row>
    <row r="399" spans="1:9" x14ac:dyDescent="0.3">
      <c r="A399" s="24">
        <v>45355</v>
      </c>
      <c r="B399" t="s">
        <v>212</v>
      </c>
      <c r="C399" t="s">
        <v>53</v>
      </c>
      <c r="D399">
        <v>0.25</v>
      </c>
      <c r="E399" t="s">
        <v>54</v>
      </c>
      <c r="F399" t="s">
        <v>55</v>
      </c>
      <c r="G399" t="s">
        <v>222</v>
      </c>
      <c r="H399" t="s">
        <v>14</v>
      </c>
      <c r="I399" s="26" t="s">
        <v>378</v>
      </c>
    </row>
    <row r="400" spans="1:9" x14ac:dyDescent="0.3">
      <c r="A400" s="24">
        <v>45355</v>
      </c>
      <c r="B400" t="s">
        <v>212</v>
      </c>
      <c r="C400" t="s">
        <v>53</v>
      </c>
      <c r="D400">
        <v>0.62</v>
      </c>
      <c r="E400" t="s">
        <v>54</v>
      </c>
      <c r="F400" t="s">
        <v>55</v>
      </c>
      <c r="G400" t="s">
        <v>489</v>
      </c>
      <c r="H400" t="s">
        <v>14</v>
      </c>
      <c r="I400" s="26" t="s">
        <v>378</v>
      </c>
    </row>
    <row r="401" spans="1:9" x14ac:dyDescent="0.3">
      <c r="A401" s="24">
        <v>45355</v>
      </c>
      <c r="B401" t="s">
        <v>212</v>
      </c>
      <c r="C401" t="s">
        <v>53</v>
      </c>
      <c r="D401">
        <v>0.93</v>
      </c>
      <c r="E401" t="s">
        <v>54</v>
      </c>
      <c r="F401" t="s">
        <v>55</v>
      </c>
      <c r="G401" t="s">
        <v>490</v>
      </c>
      <c r="H401" t="s">
        <v>14</v>
      </c>
      <c r="I401" s="26" t="s">
        <v>378</v>
      </c>
    </row>
    <row r="402" spans="1:9" x14ac:dyDescent="0.3">
      <c r="A402" s="24">
        <v>45355</v>
      </c>
      <c r="B402" t="s">
        <v>212</v>
      </c>
      <c r="C402" t="s">
        <v>491</v>
      </c>
      <c r="D402">
        <v>0.9</v>
      </c>
      <c r="E402" t="s">
        <v>106</v>
      </c>
      <c r="F402" t="s">
        <v>31</v>
      </c>
      <c r="G402" t="s">
        <v>492</v>
      </c>
      <c r="H402" t="s">
        <v>14</v>
      </c>
      <c r="I402" s="26" t="s">
        <v>378</v>
      </c>
    </row>
    <row r="403" spans="1:9" x14ac:dyDescent="0.3">
      <c r="A403" s="24">
        <v>45355</v>
      </c>
      <c r="B403" t="s">
        <v>212</v>
      </c>
      <c r="C403" t="s">
        <v>493</v>
      </c>
      <c r="D403">
        <v>0.53</v>
      </c>
      <c r="E403" t="s">
        <v>106</v>
      </c>
      <c r="F403" t="s">
        <v>31</v>
      </c>
      <c r="G403" t="s">
        <v>494</v>
      </c>
      <c r="H403" t="s">
        <v>14</v>
      </c>
      <c r="I403" s="26" t="s">
        <v>378</v>
      </c>
    </row>
    <row r="404" spans="1:9" x14ac:dyDescent="0.3">
      <c r="A404" s="24">
        <v>45355</v>
      </c>
      <c r="B404" t="s">
        <v>212</v>
      </c>
      <c r="C404" t="s">
        <v>493</v>
      </c>
      <c r="D404">
        <v>0.62</v>
      </c>
      <c r="E404" t="s">
        <v>106</v>
      </c>
      <c r="F404" t="s">
        <v>31</v>
      </c>
      <c r="G404" t="s">
        <v>495</v>
      </c>
      <c r="H404" t="s">
        <v>14</v>
      </c>
      <c r="I404" s="26" t="s">
        <v>378</v>
      </c>
    </row>
    <row r="405" spans="1:9" x14ac:dyDescent="0.3">
      <c r="A405" s="24">
        <v>45355</v>
      </c>
      <c r="B405" t="s">
        <v>212</v>
      </c>
      <c r="C405" t="s">
        <v>232</v>
      </c>
      <c r="D405">
        <v>0.25</v>
      </c>
      <c r="E405" t="s">
        <v>106</v>
      </c>
      <c r="F405" t="s">
        <v>55</v>
      </c>
      <c r="G405" t="s">
        <v>496</v>
      </c>
      <c r="H405" t="s">
        <v>14</v>
      </c>
      <c r="I405" s="26" t="s">
        <v>378</v>
      </c>
    </row>
    <row r="406" spans="1:9" x14ac:dyDescent="0.3">
      <c r="A406" s="24">
        <v>45355</v>
      </c>
      <c r="B406" t="s">
        <v>212</v>
      </c>
      <c r="C406" t="s">
        <v>235</v>
      </c>
      <c r="D406">
        <v>0.67</v>
      </c>
      <c r="E406" t="s">
        <v>54</v>
      </c>
      <c r="F406" t="s">
        <v>55</v>
      </c>
      <c r="G406" t="s">
        <v>497</v>
      </c>
      <c r="H406" t="s">
        <v>14</v>
      </c>
      <c r="I406" s="26" t="s">
        <v>378</v>
      </c>
    </row>
    <row r="407" spans="1:9" x14ac:dyDescent="0.3">
      <c r="A407" s="24">
        <v>45355</v>
      </c>
      <c r="B407" t="s">
        <v>498</v>
      </c>
      <c r="C407" t="s">
        <v>123</v>
      </c>
      <c r="D407">
        <v>3</v>
      </c>
      <c r="E407" t="s">
        <v>54</v>
      </c>
      <c r="F407" t="s">
        <v>55</v>
      </c>
      <c r="G407" t="s">
        <v>499</v>
      </c>
      <c r="H407" t="s">
        <v>14</v>
      </c>
      <c r="I407" s="26" t="s">
        <v>378</v>
      </c>
    </row>
    <row r="408" spans="1:9" x14ac:dyDescent="0.3">
      <c r="A408" s="24">
        <v>45355</v>
      </c>
      <c r="B408" t="s">
        <v>498</v>
      </c>
      <c r="C408" t="s">
        <v>58</v>
      </c>
      <c r="D408">
        <v>0.5</v>
      </c>
      <c r="E408" t="s">
        <v>54</v>
      </c>
      <c r="F408" t="s">
        <v>55</v>
      </c>
      <c r="G408" t="s">
        <v>161</v>
      </c>
      <c r="H408" t="s">
        <v>14</v>
      </c>
      <c r="I408" s="26" t="s">
        <v>378</v>
      </c>
    </row>
    <row r="409" spans="1:9" x14ac:dyDescent="0.3">
      <c r="A409" s="24">
        <v>45355</v>
      </c>
      <c r="B409" t="s">
        <v>498</v>
      </c>
      <c r="C409" t="s">
        <v>173</v>
      </c>
      <c r="D409">
        <v>4.5</v>
      </c>
      <c r="E409" t="s">
        <v>49</v>
      </c>
      <c r="F409" t="s">
        <v>31</v>
      </c>
      <c r="G409" t="s">
        <v>500</v>
      </c>
      <c r="H409" t="s">
        <v>14</v>
      </c>
      <c r="I409" s="26" t="s">
        <v>378</v>
      </c>
    </row>
    <row r="410" spans="1:9" x14ac:dyDescent="0.3">
      <c r="A410" s="24">
        <v>45355</v>
      </c>
      <c r="B410" t="s">
        <v>240</v>
      </c>
      <c r="C410" t="s">
        <v>29</v>
      </c>
      <c r="D410">
        <v>7.53</v>
      </c>
      <c r="E410" t="s">
        <v>81</v>
      </c>
      <c r="F410" t="s">
        <v>31</v>
      </c>
      <c r="H410" t="s">
        <v>14</v>
      </c>
      <c r="I410" s="26" t="s">
        <v>378</v>
      </c>
    </row>
    <row r="411" spans="1:9" x14ac:dyDescent="0.3">
      <c r="A411" s="24">
        <v>45355</v>
      </c>
      <c r="B411" t="s">
        <v>240</v>
      </c>
      <c r="C411" t="s">
        <v>53</v>
      </c>
      <c r="D411">
        <v>0.23</v>
      </c>
      <c r="E411" t="s">
        <v>54</v>
      </c>
      <c r="F411" t="s">
        <v>55</v>
      </c>
      <c r="G411" t="s">
        <v>501</v>
      </c>
      <c r="H411" t="s">
        <v>14</v>
      </c>
      <c r="I411" s="26" t="s">
        <v>378</v>
      </c>
    </row>
    <row r="412" spans="1:9" x14ac:dyDescent="0.3">
      <c r="A412" s="24">
        <v>45355</v>
      </c>
      <c r="B412" t="s">
        <v>240</v>
      </c>
      <c r="C412" t="s">
        <v>60</v>
      </c>
      <c r="D412">
        <v>0.4</v>
      </c>
      <c r="E412" t="s">
        <v>241</v>
      </c>
      <c r="F412" t="s">
        <v>31</v>
      </c>
      <c r="H412" t="s">
        <v>14</v>
      </c>
      <c r="I412" s="26" t="s">
        <v>378</v>
      </c>
    </row>
    <row r="413" spans="1:9" x14ac:dyDescent="0.3">
      <c r="A413" s="24">
        <v>45355</v>
      </c>
      <c r="B413" t="s">
        <v>249</v>
      </c>
      <c r="C413" t="s">
        <v>250</v>
      </c>
      <c r="D413">
        <v>0.75</v>
      </c>
      <c r="E413" t="s">
        <v>81</v>
      </c>
      <c r="F413" t="s">
        <v>55</v>
      </c>
      <c r="G413" t="s">
        <v>251</v>
      </c>
      <c r="H413" t="s">
        <v>14</v>
      </c>
      <c r="I413" s="26" t="s">
        <v>378</v>
      </c>
    </row>
    <row r="414" spans="1:9" x14ac:dyDescent="0.3">
      <c r="A414" s="24">
        <v>45355</v>
      </c>
      <c r="B414" t="s">
        <v>249</v>
      </c>
      <c r="C414" t="s">
        <v>252</v>
      </c>
      <c r="D414">
        <v>6</v>
      </c>
      <c r="E414" t="s">
        <v>81</v>
      </c>
      <c r="F414" t="s">
        <v>31</v>
      </c>
      <c r="H414" t="s">
        <v>14</v>
      </c>
      <c r="I414" s="26" t="s">
        <v>378</v>
      </c>
    </row>
    <row r="415" spans="1:9" x14ac:dyDescent="0.3">
      <c r="A415" s="24">
        <v>45355</v>
      </c>
      <c r="B415" t="s">
        <v>249</v>
      </c>
      <c r="C415" t="s">
        <v>53</v>
      </c>
      <c r="D415">
        <v>0.5</v>
      </c>
      <c r="E415" t="s">
        <v>54</v>
      </c>
      <c r="F415" t="s">
        <v>55</v>
      </c>
      <c r="G415" t="s">
        <v>253</v>
      </c>
      <c r="H415" t="s">
        <v>14</v>
      </c>
      <c r="I415" s="26" t="s">
        <v>378</v>
      </c>
    </row>
    <row r="416" spans="1:9" x14ac:dyDescent="0.3">
      <c r="A416" s="24">
        <v>45355</v>
      </c>
      <c r="B416" t="s">
        <v>249</v>
      </c>
      <c r="C416" t="s">
        <v>53</v>
      </c>
      <c r="D416">
        <v>0.75</v>
      </c>
      <c r="E416" t="s">
        <v>54</v>
      </c>
      <c r="F416" t="s">
        <v>55</v>
      </c>
      <c r="G416" t="s">
        <v>502</v>
      </c>
      <c r="H416" t="s">
        <v>14</v>
      </c>
      <c r="I416" s="26" t="s">
        <v>378</v>
      </c>
    </row>
    <row r="417" spans="1:9" x14ac:dyDescent="0.3">
      <c r="A417" s="24">
        <v>45355</v>
      </c>
      <c r="B417" t="s">
        <v>256</v>
      </c>
      <c r="C417" t="s">
        <v>159</v>
      </c>
      <c r="D417">
        <v>1.8</v>
      </c>
      <c r="E417" t="s">
        <v>54</v>
      </c>
      <c r="F417" t="s">
        <v>55</v>
      </c>
      <c r="G417" t="s">
        <v>503</v>
      </c>
      <c r="H417" t="s">
        <v>14</v>
      </c>
      <c r="I417" s="26" t="s">
        <v>378</v>
      </c>
    </row>
    <row r="418" spans="1:9" x14ac:dyDescent="0.3">
      <c r="A418" s="24">
        <v>45355</v>
      </c>
      <c r="B418" t="s">
        <v>256</v>
      </c>
      <c r="C418" t="s">
        <v>159</v>
      </c>
      <c r="D418">
        <v>1.83</v>
      </c>
      <c r="E418" t="s">
        <v>54</v>
      </c>
      <c r="F418" t="s">
        <v>55</v>
      </c>
      <c r="G418" t="s">
        <v>504</v>
      </c>
      <c r="H418" t="s">
        <v>14</v>
      </c>
      <c r="I418" s="26" t="s">
        <v>378</v>
      </c>
    </row>
    <row r="419" spans="1:9" x14ac:dyDescent="0.3">
      <c r="A419" s="24">
        <v>45355</v>
      </c>
      <c r="B419" t="s">
        <v>256</v>
      </c>
      <c r="C419" t="s">
        <v>159</v>
      </c>
      <c r="D419">
        <v>2.12</v>
      </c>
      <c r="E419" t="s">
        <v>81</v>
      </c>
      <c r="F419" t="s">
        <v>31</v>
      </c>
      <c r="G419" t="s">
        <v>505</v>
      </c>
      <c r="H419" t="s">
        <v>14</v>
      </c>
      <c r="I419" s="26" t="s">
        <v>378</v>
      </c>
    </row>
    <row r="420" spans="1:9" x14ac:dyDescent="0.3">
      <c r="A420" s="24">
        <v>45355</v>
      </c>
      <c r="B420" t="s">
        <v>256</v>
      </c>
      <c r="C420" t="s">
        <v>159</v>
      </c>
      <c r="D420">
        <v>2.33</v>
      </c>
      <c r="E420" t="s">
        <v>54</v>
      </c>
      <c r="F420" t="s">
        <v>55</v>
      </c>
      <c r="G420" t="s">
        <v>506</v>
      </c>
      <c r="H420" t="s">
        <v>14</v>
      </c>
      <c r="I420" s="26" t="s">
        <v>378</v>
      </c>
    </row>
    <row r="421" spans="1:9" x14ac:dyDescent="0.3">
      <c r="A421" s="24">
        <v>45355</v>
      </c>
      <c r="B421" t="s">
        <v>262</v>
      </c>
      <c r="C421" t="s">
        <v>29</v>
      </c>
      <c r="D421">
        <v>1.57</v>
      </c>
      <c r="E421" t="s">
        <v>263</v>
      </c>
      <c r="F421" t="s">
        <v>31</v>
      </c>
      <c r="G421" t="s">
        <v>507</v>
      </c>
      <c r="H421" t="s">
        <v>14</v>
      </c>
      <c r="I421" s="26" t="s">
        <v>378</v>
      </c>
    </row>
    <row r="422" spans="1:9" x14ac:dyDescent="0.3">
      <c r="A422" s="24">
        <v>45355</v>
      </c>
      <c r="B422" t="s">
        <v>262</v>
      </c>
      <c r="C422" t="s">
        <v>29</v>
      </c>
      <c r="D422">
        <v>5.95</v>
      </c>
      <c r="E422" t="s">
        <v>263</v>
      </c>
      <c r="F422" t="s">
        <v>31</v>
      </c>
      <c r="G422" t="s">
        <v>508</v>
      </c>
      <c r="H422" t="s">
        <v>14</v>
      </c>
      <c r="I422" s="26" t="s">
        <v>378</v>
      </c>
    </row>
    <row r="423" spans="1:9" x14ac:dyDescent="0.3">
      <c r="A423" s="24">
        <v>45355</v>
      </c>
      <c r="B423" t="s">
        <v>262</v>
      </c>
      <c r="C423" t="s">
        <v>53</v>
      </c>
      <c r="D423">
        <v>0.5</v>
      </c>
      <c r="E423" t="s">
        <v>54</v>
      </c>
      <c r="F423" t="s">
        <v>55</v>
      </c>
      <c r="G423" t="s">
        <v>253</v>
      </c>
      <c r="H423" t="s">
        <v>14</v>
      </c>
      <c r="I423" s="26" t="s">
        <v>378</v>
      </c>
    </row>
    <row r="424" spans="1:9" x14ac:dyDescent="0.3">
      <c r="A424" s="24">
        <v>45355</v>
      </c>
      <c r="B424" t="s">
        <v>266</v>
      </c>
      <c r="C424" t="s">
        <v>267</v>
      </c>
      <c r="D424">
        <v>9</v>
      </c>
      <c r="E424" t="s">
        <v>54</v>
      </c>
      <c r="F424" t="s">
        <v>55</v>
      </c>
      <c r="G424" t="s">
        <v>509</v>
      </c>
      <c r="H424" t="s">
        <v>14</v>
      </c>
      <c r="I424" s="26" t="s">
        <v>378</v>
      </c>
    </row>
    <row r="425" spans="1:9" x14ac:dyDescent="0.3">
      <c r="A425" s="24">
        <v>45355</v>
      </c>
      <c r="B425" t="s">
        <v>269</v>
      </c>
      <c r="C425" t="s">
        <v>29</v>
      </c>
      <c r="D425">
        <v>0.63</v>
      </c>
      <c r="E425" t="s">
        <v>42</v>
      </c>
      <c r="F425" t="s">
        <v>31</v>
      </c>
      <c r="G425" t="s">
        <v>510</v>
      </c>
      <c r="H425" t="s">
        <v>14</v>
      </c>
      <c r="I425" s="26" t="s">
        <v>378</v>
      </c>
    </row>
    <row r="426" spans="1:9" x14ac:dyDescent="0.3">
      <c r="A426" s="24">
        <v>45355</v>
      </c>
      <c r="B426" t="s">
        <v>269</v>
      </c>
      <c r="C426" t="s">
        <v>29</v>
      </c>
      <c r="D426">
        <v>1.1200000000000001</v>
      </c>
      <c r="E426" t="s">
        <v>42</v>
      </c>
      <c r="F426" t="s">
        <v>31</v>
      </c>
      <c r="H426" t="s">
        <v>14</v>
      </c>
      <c r="I426" s="26" t="s">
        <v>378</v>
      </c>
    </row>
    <row r="427" spans="1:9" x14ac:dyDescent="0.3">
      <c r="A427" s="24">
        <v>45355</v>
      </c>
      <c r="B427" t="s">
        <v>269</v>
      </c>
      <c r="C427" t="s">
        <v>29</v>
      </c>
      <c r="D427">
        <v>1.38</v>
      </c>
      <c r="E427" t="s">
        <v>116</v>
      </c>
      <c r="F427" t="s">
        <v>31</v>
      </c>
      <c r="G427" t="s">
        <v>511</v>
      </c>
      <c r="H427" t="s">
        <v>14</v>
      </c>
      <c r="I427" s="26" t="s">
        <v>378</v>
      </c>
    </row>
    <row r="428" spans="1:9" x14ac:dyDescent="0.3">
      <c r="A428" s="24">
        <v>45355</v>
      </c>
      <c r="B428" t="s">
        <v>269</v>
      </c>
      <c r="C428" t="s">
        <v>29</v>
      </c>
      <c r="D428">
        <v>4.2699999999999996</v>
      </c>
      <c r="E428" t="s">
        <v>271</v>
      </c>
      <c r="F428" t="s">
        <v>31</v>
      </c>
      <c r="G428" t="s">
        <v>512</v>
      </c>
      <c r="H428" t="s">
        <v>14</v>
      </c>
      <c r="I428" s="26" t="s">
        <v>378</v>
      </c>
    </row>
    <row r="429" spans="1:9" x14ac:dyDescent="0.3">
      <c r="A429" s="24">
        <v>45355</v>
      </c>
      <c r="B429" t="s">
        <v>269</v>
      </c>
      <c r="C429" t="s">
        <v>60</v>
      </c>
      <c r="D429">
        <v>0.72</v>
      </c>
      <c r="E429" t="s">
        <v>203</v>
      </c>
      <c r="F429" t="s">
        <v>31</v>
      </c>
      <c r="G429" t="s">
        <v>513</v>
      </c>
      <c r="H429" t="s">
        <v>14</v>
      </c>
      <c r="I429" s="26" t="s">
        <v>378</v>
      </c>
    </row>
    <row r="430" spans="1:9" x14ac:dyDescent="0.3">
      <c r="A430" s="24">
        <v>45355</v>
      </c>
      <c r="B430" t="s">
        <v>278</v>
      </c>
      <c r="C430" t="s">
        <v>279</v>
      </c>
      <c r="D430">
        <v>0.13</v>
      </c>
      <c r="E430" t="s">
        <v>54</v>
      </c>
      <c r="F430" t="s">
        <v>55</v>
      </c>
      <c r="G430" t="s">
        <v>514</v>
      </c>
      <c r="H430" t="s">
        <v>14</v>
      </c>
      <c r="I430" s="26" t="s">
        <v>378</v>
      </c>
    </row>
    <row r="431" spans="1:9" x14ac:dyDescent="0.3">
      <c r="A431" s="24">
        <v>45355</v>
      </c>
      <c r="B431" t="s">
        <v>278</v>
      </c>
      <c r="C431" t="s">
        <v>279</v>
      </c>
      <c r="D431">
        <v>0.45</v>
      </c>
      <c r="E431" t="s">
        <v>54</v>
      </c>
      <c r="F431" t="s">
        <v>55</v>
      </c>
      <c r="G431" t="s">
        <v>515</v>
      </c>
      <c r="H431" t="s">
        <v>14</v>
      </c>
      <c r="I431" s="26" t="s">
        <v>378</v>
      </c>
    </row>
    <row r="432" spans="1:9" x14ac:dyDescent="0.3">
      <c r="A432" s="24">
        <v>45355</v>
      </c>
      <c r="B432" t="s">
        <v>278</v>
      </c>
      <c r="C432" t="s">
        <v>279</v>
      </c>
      <c r="D432">
        <v>1.1000000000000001</v>
      </c>
      <c r="E432" t="s">
        <v>54</v>
      </c>
      <c r="F432" t="s">
        <v>55</v>
      </c>
      <c r="G432" t="s">
        <v>516</v>
      </c>
      <c r="H432" t="s">
        <v>14</v>
      </c>
      <c r="I432" s="26" t="s">
        <v>378</v>
      </c>
    </row>
    <row r="433" spans="1:9" x14ac:dyDescent="0.3">
      <c r="A433" s="24">
        <v>45355</v>
      </c>
      <c r="B433" t="s">
        <v>278</v>
      </c>
      <c r="C433" t="s">
        <v>279</v>
      </c>
      <c r="D433">
        <v>1.25</v>
      </c>
      <c r="E433" t="s">
        <v>54</v>
      </c>
      <c r="F433" t="s">
        <v>55</v>
      </c>
      <c r="G433" t="s">
        <v>517</v>
      </c>
      <c r="H433" t="s">
        <v>14</v>
      </c>
      <c r="I433" s="26" t="s">
        <v>378</v>
      </c>
    </row>
    <row r="434" spans="1:9" x14ac:dyDescent="0.3">
      <c r="A434" s="24">
        <v>45355</v>
      </c>
      <c r="B434" t="s">
        <v>278</v>
      </c>
      <c r="C434" t="s">
        <v>279</v>
      </c>
      <c r="D434">
        <v>1.28</v>
      </c>
      <c r="E434" t="s">
        <v>54</v>
      </c>
      <c r="F434" t="s">
        <v>55</v>
      </c>
      <c r="G434" t="s">
        <v>518</v>
      </c>
      <c r="H434" t="s">
        <v>14</v>
      </c>
      <c r="I434" s="26" t="s">
        <v>378</v>
      </c>
    </row>
    <row r="435" spans="1:9" x14ac:dyDescent="0.3">
      <c r="A435" s="24">
        <v>45355</v>
      </c>
      <c r="B435" t="s">
        <v>278</v>
      </c>
      <c r="C435" t="s">
        <v>279</v>
      </c>
      <c r="D435">
        <v>2.0699999999999998</v>
      </c>
      <c r="E435" t="s">
        <v>254</v>
      </c>
      <c r="F435" t="s">
        <v>55</v>
      </c>
      <c r="G435" t="s">
        <v>519</v>
      </c>
      <c r="H435" t="s">
        <v>14</v>
      </c>
      <c r="I435" s="26" t="s">
        <v>378</v>
      </c>
    </row>
    <row r="436" spans="1:9" x14ac:dyDescent="0.3">
      <c r="A436" s="24">
        <v>45355</v>
      </c>
      <c r="B436" t="s">
        <v>278</v>
      </c>
      <c r="C436" t="s">
        <v>279</v>
      </c>
      <c r="D436">
        <v>2.42</v>
      </c>
      <c r="E436" t="s">
        <v>54</v>
      </c>
      <c r="F436" t="s">
        <v>55</v>
      </c>
      <c r="G436" t="s">
        <v>520</v>
      </c>
      <c r="H436" t="s">
        <v>14</v>
      </c>
      <c r="I436" s="26" t="s">
        <v>378</v>
      </c>
    </row>
    <row r="437" spans="1:9" x14ac:dyDescent="0.3">
      <c r="A437" s="24">
        <v>45355</v>
      </c>
      <c r="B437" t="s">
        <v>278</v>
      </c>
      <c r="C437" t="s">
        <v>60</v>
      </c>
      <c r="D437">
        <v>0.35</v>
      </c>
      <c r="E437" t="s">
        <v>254</v>
      </c>
      <c r="F437" t="s">
        <v>55</v>
      </c>
      <c r="G437" t="s">
        <v>521</v>
      </c>
      <c r="H437" t="s">
        <v>14</v>
      </c>
      <c r="I437" s="26" t="s">
        <v>378</v>
      </c>
    </row>
    <row r="438" spans="1:9" x14ac:dyDescent="0.3">
      <c r="A438" s="24">
        <v>45355</v>
      </c>
      <c r="B438" t="s">
        <v>278</v>
      </c>
      <c r="C438" t="s">
        <v>60</v>
      </c>
      <c r="D438">
        <v>0.55000000000000004</v>
      </c>
      <c r="E438" t="s">
        <v>54</v>
      </c>
      <c r="F438" t="s">
        <v>55</v>
      </c>
      <c r="G438" t="s">
        <v>522</v>
      </c>
      <c r="H438" t="s">
        <v>14</v>
      </c>
      <c r="I438" s="26" t="s">
        <v>378</v>
      </c>
    </row>
    <row r="439" spans="1:9" x14ac:dyDescent="0.3">
      <c r="A439" s="24">
        <v>45355</v>
      </c>
      <c r="B439" t="s">
        <v>286</v>
      </c>
      <c r="C439" t="s">
        <v>287</v>
      </c>
      <c r="D439">
        <v>10</v>
      </c>
      <c r="E439" t="s">
        <v>54</v>
      </c>
      <c r="F439" t="s">
        <v>55</v>
      </c>
      <c r="G439" t="s">
        <v>523</v>
      </c>
      <c r="H439" t="s">
        <v>14</v>
      </c>
      <c r="I439" s="26" t="s">
        <v>378</v>
      </c>
    </row>
    <row r="440" spans="1:9" x14ac:dyDescent="0.3">
      <c r="A440" s="24">
        <v>45355</v>
      </c>
      <c r="B440" t="s">
        <v>289</v>
      </c>
      <c r="C440" t="s">
        <v>29</v>
      </c>
      <c r="D440">
        <v>0.25</v>
      </c>
      <c r="E440" t="s">
        <v>524</v>
      </c>
      <c r="F440" t="s">
        <v>31</v>
      </c>
      <c r="H440" t="s">
        <v>14</v>
      </c>
      <c r="I440" s="26" t="s">
        <v>378</v>
      </c>
    </row>
    <row r="441" spans="1:9" x14ac:dyDescent="0.3">
      <c r="A441" s="24">
        <v>45355</v>
      </c>
      <c r="B441" t="s">
        <v>289</v>
      </c>
      <c r="C441" t="s">
        <v>29</v>
      </c>
      <c r="D441">
        <v>0.5</v>
      </c>
      <c r="E441" t="s">
        <v>291</v>
      </c>
      <c r="F441" t="s">
        <v>31</v>
      </c>
      <c r="G441" t="s">
        <v>292</v>
      </c>
      <c r="H441" t="s">
        <v>14</v>
      </c>
      <c r="I441" s="26" t="s">
        <v>378</v>
      </c>
    </row>
    <row r="442" spans="1:9" x14ac:dyDescent="0.3">
      <c r="A442" s="24">
        <v>45355</v>
      </c>
      <c r="B442" t="s">
        <v>289</v>
      </c>
      <c r="C442" t="s">
        <v>29</v>
      </c>
      <c r="D442">
        <v>0.5</v>
      </c>
      <c r="E442" t="s">
        <v>290</v>
      </c>
      <c r="F442" t="s">
        <v>31</v>
      </c>
      <c r="H442" t="s">
        <v>14</v>
      </c>
      <c r="I442" s="26" t="s">
        <v>378</v>
      </c>
    </row>
    <row r="443" spans="1:9" x14ac:dyDescent="0.3">
      <c r="A443" s="24">
        <v>45355</v>
      </c>
      <c r="B443" t="s">
        <v>289</v>
      </c>
      <c r="C443" t="s">
        <v>29</v>
      </c>
      <c r="D443">
        <v>1</v>
      </c>
      <c r="E443" t="s">
        <v>291</v>
      </c>
      <c r="F443" t="s">
        <v>31</v>
      </c>
      <c r="G443" t="s">
        <v>525</v>
      </c>
      <c r="H443" t="s">
        <v>14</v>
      </c>
      <c r="I443" s="26" t="s">
        <v>378</v>
      </c>
    </row>
    <row r="444" spans="1:9" x14ac:dyDescent="0.3">
      <c r="A444" s="24">
        <v>45355</v>
      </c>
      <c r="B444" t="s">
        <v>289</v>
      </c>
      <c r="C444" t="s">
        <v>159</v>
      </c>
      <c r="D444">
        <v>2.25</v>
      </c>
      <c r="E444" t="s">
        <v>226</v>
      </c>
      <c r="F444" t="s">
        <v>31</v>
      </c>
      <c r="H444" t="s">
        <v>14</v>
      </c>
      <c r="I444" s="26" t="s">
        <v>378</v>
      </c>
    </row>
    <row r="445" spans="1:9" x14ac:dyDescent="0.3">
      <c r="A445" s="24">
        <v>45355</v>
      </c>
      <c r="B445" t="s">
        <v>289</v>
      </c>
      <c r="C445" t="s">
        <v>58</v>
      </c>
      <c r="D445">
        <v>1</v>
      </c>
      <c r="E445" t="s">
        <v>54</v>
      </c>
      <c r="F445" t="s">
        <v>55</v>
      </c>
      <c r="G445" t="s">
        <v>526</v>
      </c>
      <c r="H445" t="s">
        <v>14</v>
      </c>
      <c r="I445" s="26" t="s">
        <v>378</v>
      </c>
    </row>
    <row r="446" spans="1:9" x14ac:dyDescent="0.3">
      <c r="A446" s="24">
        <v>45355</v>
      </c>
      <c r="B446" t="s">
        <v>294</v>
      </c>
      <c r="C446" t="s">
        <v>202</v>
      </c>
      <c r="D446">
        <v>0.52</v>
      </c>
      <c r="E446" t="s">
        <v>30</v>
      </c>
      <c r="F446" t="s">
        <v>31</v>
      </c>
      <c r="G446" t="s">
        <v>300</v>
      </c>
      <c r="H446" t="s">
        <v>14</v>
      </c>
      <c r="I446" s="26" t="s">
        <v>378</v>
      </c>
    </row>
    <row r="447" spans="1:9" x14ac:dyDescent="0.3">
      <c r="A447" s="24">
        <v>45355</v>
      </c>
      <c r="B447" t="s">
        <v>294</v>
      </c>
      <c r="C447" t="s">
        <v>202</v>
      </c>
      <c r="D447">
        <v>1.07</v>
      </c>
      <c r="E447" t="s">
        <v>445</v>
      </c>
      <c r="F447" t="s">
        <v>31</v>
      </c>
      <c r="G447" t="s">
        <v>527</v>
      </c>
      <c r="H447" t="s">
        <v>14</v>
      </c>
      <c r="I447" s="26" t="s">
        <v>378</v>
      </c>
    </row>
    <row r="448" spans="1:9" x14ac:dyDescent="0.3">
      <c r="A448" s="24">
        <v>45355</v>
      </c>
      <c r="B448" t="s">
        <v>294</v>
      </c>
      <c r="C448" t="s">
        <v>202</v>
      </c>
      <c r="D448">
        <v>2.38</v>
      </c>
      <c r="E448" t="s">
        <v>30</v>
      </c>
      <c r="F448" t="s">
        <v>55</v>
      </c>
      <c r="G448" t="s">
        <v>528</v>
      </c>
      <c r="H448" t="s">
        <v>14</v>
      </c>
      <c r="I448" s="26" t="s">
        <v>378</v>
      </c>
    </row>
    <row r="449" spans="1:9" x14ac:dyDescent="0.3">
      <c r="A449" s="24">
        <v>45355</v>
      </c>
      <c r="B449" t="s">
        <v>294</v>
      </c>
      <c r="C449" t="s">
        <v>53</v>
      </c>
      <c r="D449">
        <v>1.23</v>
      </c>
      <c r="E449" t="s">
        <v>54</v>
      </c>
      <c r="F449" t="s">
        <v>55</v>
      </c>
      <c r="G449" t="s">
        <v>300</v>
      </c>
      <c r="H449" t="s">
        <v>14</v>
      </c>
      <c r="I449" s="26" t="s">
        <v>378</v>
      </c>
    </row>
    <row r="450" spans="1:9" x14ac:dyDescent="0.3">
      <c r="A450" s="24">
        <v>45355</v>
      </c>
      <c r="B450" t="s">
        <v>294</v>
      </c>
      <c r="C450" t="s">
        <v>58</v>
      </c>
      <c r="D450">
        <v>0.5</v>
      </c>
      <c r="E450" t="s">
        <v>54</v>
      </c>
      <c r="F450" t="s">
        <v>55</v>
      </c>
      <c r="G450" t="s">
        <v>529</v>
      </c>
      <c r="H450" t="s">
        <v>14</v>
      </c>
      <c r="I450" s="26" t="s">
        <v>378</v>
      </c>
    </row>
    <row r="451" spans="1:9" x14ac:dyDescent="0.3">
      <c r="A451" s="24">
        <v>45355</v>
      </c>
      <c r="B451" t="s">
        <v>301</v>
      </c>
      <c r="C451" t="s">
        <v>29</v>
      </c>
      <c r="D451">
        <v>0.1</v>
      </c>
      <c r="E451" t="s">
        <v>304</v>
      </c>
      <c r="F451" t="s">
        <v>31</v>
      </c>
      <c r="G451" t="s">
        <v>530</v>
      </c>
      <c r="H451" t="s">
        <v>14</v>
      </c>
      <c r="I451" s="26" t="s">
        <v>378</v>
      </c>
    </row>
    <row r="452" spans="1:9" x14ac:dyDescent="0.3">
      <c r="A452" s="24">
        <v>45355</v>
      </c>
      <c r="B452" t="s">
        <v>301</v>
      </c>
      <c r="C452" t="s">
        <v>29</v>
      </c>
      <c r="D452">
        <v>0.15</v>
      </c>
      <c r="E452" t="s">
        <v>304</v>
      </c>
      <c r="F452" t="s">
        <v>31</v>
      </c>
      <c r="G452" t="s">
        <v>531</v>
      </c>
      <c r="H452" t="s">
        <v>14</v>
      </c>
      <c r="I452" s="26" t="s">
        <v>378</v>
      </c>
    </row>
    <row r="453" spans="1:9" x14ac:dyDescent="0.3">
      <c r="A453" s="24">
        <v>45355</v>
      </c>
      <c r="B453" t="s">
        <v>301</v>
      </c>
      <c r="C453" t="s">
        <v>29</v>
      </c>
      <c r="D453">
        <v>0.28000000000000003</v>
      </c>
      <c r="E453" t="s">
        <v>156</v>
      </c>
      <c r="F453" t="s">
        <v>31</v>
      </c>
      <c r="H453" t="s">
        <v>14</v>
      </c>
      <c r="I453" s="26" t="s">
        <v>378</v>
      </c>
    </row>
    <row r="454" spans="1:9" x14ac:dyDescent="0.3">
      <c r="A454" s="24">
        <v>45355</v>
      </c>
      <c r="B454" t="s">
        <v>301</v>
      </c>
      <c r="C454" t="s">
        <v>29</v>
      </c>
      <c r="D454">
        <v>2.0699999999999998</v>
      </c>
      <c r="E454" t="s">
        <v>304</v>
      </c>
      <c r="F454" t="s">
        <v>31</v>
      </c>
      <c r="G454" t="s">
        <v>532</v>
      </c>
      <c r="H454" t="s">
        <v>14</v>
      </c>
      <c r="I454" s="26" t="s">
        <v>378</v>
      </c>
    </row>
    <row r="455" spans="1:9" x14ac:dyDescent="0.3">
      <c r="A455" s="24">
        <v>45355</v>
      </c>
      <c r="B455" t="s">
        <v>301</v>
      </c>
      <c r="C455" t="s">
        <v>29</v>
      </c>
      <c r="D455">
        <v>2.5499999999999998</v>
      </c>
      <c r="E455" t="s">
        <v>156</v>
      </c>
      <c r="F455" t="s">
        <v>31</v>
      </c>
      <c r="G455" t="s">
        <v>533</v>
      </c>
      <c r="H455" t="s">
        <v>14</v>
      </c>
      <c r="I455" s="26" t="s">
        <v>378</v>
      </c>
    </row>
    <row r="456" spans="1:9" x14ac:dyDescent="0.3">
      <c r="A456" s="24">
        <v>45355</v>
      </c>
      <c r="B456" t="s">
        <v>301</v>
      </c>
      <c r="C456" t="s">
        <v>53</v>
      </c>
      <c r="D456">
        <v>0.15</v>
      </c>
      <c r="E456" t="s">
        <v>54</v>
      </c>
      <c r="F456" t="s">
        <v>55</v>
      </c>
      <c r="G456" t="s">
        <v>309</v>
      </c>
      <c r="H456" t="s">
        <v>14</v>
      </c>
      <c r="I456" s="26" t="s">
        <v>378</v>
      </c>
    </row>
    <row r="457" spans="1:9" x14ac:dyDescent="0.3">
      <c r="A457" s="24">
        <v>45355</v>
      </c>
      <c r="B457" t="s">
        <v>301</v>
      </c>
      <c r="C457" t="s">
        <v>60</v>
      </c>
      <c r="D457">
        <v>0.4</v>
      </c>
      <c r="E457" t="s">
        <v>143</v>
      </c>
      <c r="F457" t="s">
        <v>31</v>
      </c>
      <c r="G457" t="s">
        <v>534</v>
      </c>
      <c r="H457" t="s">
        <v>14</v>
      </c>
      <c r="I457" s="26" t="s">
        <v>378</v>
      </c>
    </row>
    <row r="458" spans="1:9" x14ac:dyDescent="0.3">
      <c r="A458" s="24">
        <v>45355</v>
      </c>
      <c r="B458" t="s">
        <v>301</v>
      </c>
      <c r="C458" t="s">
        <v>60</v>
      </c>
      <c r="D458">
        <v>0.83</v>
      </c>
      <c r="E458" t="s">
        <v>143</v>
      </c>
      <c r="F458" t="s">
        <v>31</v>
      </c>
      <c r="G458" t="s">
        <v>535</v>
      </c>
      <c r="H458" t="s">
        <v>14</v>
      </c>
      <c r="I458" s="26" t="s">
        <v>378</v>
      </c>
    </row>
    <row r="459" spans="1:9" x14ac:dyDescent="0.3">
      <c r="A459" s="24">
        <v>45355</v>
      </c>
      <c r="B459" t="s">
        <v>301</v>
      </c>
      <c r="C459" t="s">
        <v>60</v>
      </c>
      <c r="D459">
        <v>1.45</v>
      </c>
      <c r="E459" t="s">
        <v>143</v>
      </c>
      <c r="F459" t="s">
        <v>31</v>
      </c>
      <c r="H459" t="s">
        <v>14</v>
      </c>
      <c r="I459" s="26" t="s">
        <v>378</v>
      </c>
    </row>
    <row r="460" spans="1:9" x14ac:dyDescent="0.3">
      <c r="A460" s="24">
        <v>45355</v>
      </c>
      <c r="B460" t="s">
        <v>313</v>
      </c>
      <c r="C460" t="s">
        <v>53</v>
      </c>
      <c r="D460">
        <v>0.15</v>
      </c>
      <c r="E460" t="s">
        <v>54</v>
      </c>
      <c r="F460" t="s">
        <v>55</v>
      </c>
      <c r="G460" t="s">
        <v>316</v>
      </c>
      <c r="H460" t="s">
        <v>14</v>
      </c>
      <c r="I460" s="26" t="s">
        <v>378</v>
      </c>
    </row>
    <row r="461" spans="1:9" x14ac:dyDescent="0.3">
      <c r="A461" s="24">
        <v>45355</v>
      </c>
      <c r="B461" t="s">
        <v>313</v>
      </c>
      <c r="C461" t="s">
        <v>159</v>
      </c>
      <c r="D461">
        <v>9.35</v>
      </c>
      <c r="E461" t="s">
        <v>170</v>
      </c>
      <c r="F461" t="s">
        <v>31</v>
      </c>
      <c r="H461" t="s">
        <v>14</v>
      </c>
      <c r="I461" s="26" t="s">
        <v>378</v>
      </c>
    </row>
    <row r="462" spans="1:9" x14ac:dyDescent="0.3">
      <c r="A462" s="24">
        <v>45355</v>
      </c>
      <c r="B462" t="s">
        <v>318</v>
      </c>
      <c r="C462" t="s">
        <v>53</v>
      </c>
      <c r="D462">
        <v>1.02</v>
      </c>
      <c r="E462" t="s">
        <v>54</v>
      </c>
      <c r="F462" t="s">
        <v>55</v>
      </c>
      <c r="G462" t="s">
        <v>536</v>
      </c>
      <c r="H462" t="s">
        <v>14</v>
      </c>
      <c r="I462" s="26" t="s">
        <v>378</v>
      </c>
    </row>
    <row r="463" spans="1:9" x14ac:dyDescent="0.3">
      <c r="A463" s="24">
        <v>45355</v>
      </c>
      <c r="B463" t="s">
        <v>318</v>
      </c>
      <c r="C463" t="s">
        <v>53</v>
      </c>
      <c r="D463">
        <v>2.5499999999999998</v>
      </c>
      <c r="E463" t="s">
        <v>54</v>
      </c>
      <c r="F463" t="s">
        <v>55</v>
      </c>
      <c r="G463" t="s">
        <v>537</v>
      </c>
      <c r="H463" t="s">
        <v>14</v>
      </c>
      <c r="I463" s="26" t="s">
        <v>378</v>
      </c>
    </row>
    <row r="464" spans="1:9" x14ac:dyDescent="0.3">
      <c r="A464" s="24">
        <v>45355</v>
      </c>
      <c r="B464" t="s">
        <v>318</v>
      </c>
      <c r="C464" t="s">
        <v>53</v>
      </c>
      <c r="D464">
        <v>2.8</v>
      </c>
      <c r="E464" t="s">
        <v>54</v>
      </c>
      <c r="F464" t="s">
        <v>55</v>
      </c>
      <c r="G464" t="s">
        <v>538</v>
      </c>
      <c r="H464" t="s">
        <v>14</v>
      </c>
      <c r="I464" s="26" t="s">
        <v>378</v>
      </c>
    </row>
    <row r="465" spans="1:9" x14ac:dyDescent="0.3">
      <c r="A465" s="24">
        <v>45355</v>
      </c>
      <c r="B465" t="s">
        <v>318</v>
      </c>
      <c r="C465" t="s">
        <v>58</v>
      </c>
      <c r="D465">
        <v>0.98</v>
      </c>
      <c r="E465" t="s">
        <v>54</v>
      </c>
      <c r="F465" t="s">
        <v>55</v>
      </c>
      <c r="G465" t="s">
        <v>539</v>
      </c>
      <c r="H465" t="s">
        <v>14</v>
      </c>
      <c r="I465" s="26" t="s">
        <v>378</v>
      </c>
    </row>
    <row r="466" spans="1:9" x14ac:dyDescent="0.3">
      <c r="A466" s="24">
        <v>45355</v>
      </c>
      <c r="B466" t="s">
        <v>318</v>
      </c>
      <c r="C466" t="s">
        <v>58</v>
      </c>
      <c r="D466">
        <v>1.03</v>
      </c>
      <c r="E466" t="s">
        <v>54</v>
      </c>
      <c r="F466" t="s">
        <v>55</v>
      </c>
      <c r="G466" t="s">
        <v>540</v>
      </c>
      <c r="H466" t="s">
        <v>14</v>
      </c>
      <c r="I466" s="26" t="s">
        <v>378</v>
      </c>
    </row>
    <row r="467" spans="1:9" x14ac:dyDescent="0.3">
      <c r="A467" s="24">
        <v>45355</v>
      </c>
      <c r="B467" t="s">
        <v>324</v>
      </c>
      <c r="C467" t="s">
        <v>29</v>
      </c>
      <c r="D467">
        <v>8.57</v>
      </c>
      <c r="E467" t="s">
        <v>81</v>
      </c>
      <c r="F467" t="s">
        <v>31</v>
      </c>
      <c r="H467" t="s">
        <v>14</v>
      </c>
      <c r="I467" s="26" t="s">
        <v>378</v>
      </c>
    </row>
    <row r="468" spans="1:9" x14ac:dyDescent="0.3">
      <c r="A468" s="24">
        <v>45355</v>
      </c>
      <c r="B468" t="s">
        <v>328</v>
      </c>
      <c r="C468" t="s">
        <v>29</v>
      </c>
      <c r="D468">
        <v>0.9</v>
      </c>
      <c r="E468" t="s">
        <v>420</v>
      </c>
      <c r="F468" t="s">
        <v>31</v>
      </c>
      <c r="G468" t="s">
        <v>541</v>
      </c>
      <c r="H468" t="s">
        <v>14</v>
      </c>
      <c r="I468" s="26" t="s">
        <v>378</v>
      </c>
    </row>
    <row r="469" spans="1:9" x14ac:dyDescent="0.3">
      <c r="A469" s="24">
        <v>45355</v>
      </c>
      <c r="B469" t="s">
        <v>328</v>
      </c>
      <c r="C469" t="s">
        <v>53</v>
      </c>
      <c r="D469">
        <v>0.25</v>
      </c>
      <c r="E469" t="s">
        <v>54</v>
      </c>
      <c r="F469" t="s">
        <v>55</v>
      </c>
      <c r="G469" t="s">
        <v>542</v>
      </c>
      <c r="H469" t="s">
        <v>14</v>
      </c>
      <c r="I469" s="26" t="s">
        <v>378</v>
      </c>
    </row>
    <row r="470" spans="1:9" x14ac:dyDescent="0.3">
      <c r="A470" s="24">
        <v>45355</v>
      </c>
      <c r="B470" t="s">
        <v>328</v>
      </c>
      <c r="C470" t="s">
        <v>53</v>
      </c>
      <c r="D470">
        <v>0.7</v>
      </c>
      <c r="E470" t="s">
        <v>54</v>
      </c>
      <c r="F470" t="s">
        <v>55</v>
      </c>
      <c r="G470" t="s">
        <v>543</v>
      </c>
      <c r="H470" t="s">
        <v>14</v>
      </c>
      <c r="I470" s="26" t="s">
        <v>378</v>
      </c>
    </row>
    <row r="471" spans="1:9" x14ac:dyDescent="0.3">
      <c r="A471" s="24">
        <v>45355</v>
      </c>
      <c r="B471" t="s">
        <v>328</v>
      </c>
      <c r="C471" t="s">
        <v>58</v>
      </c>
      <c r="D471">
        <v>0.62</v>
      </c>
      <c r="E471" t="s">
        <v>54</v>
      </c>
      <c r="F471" t="s">
        <v>55</v>
      </c>
      <c r="G471" t="s">
        <v>544</v>
      </c>
      <c r="H471" t="s">
        <v>14</v>
      </c>
      <c r="I471" s="26" t="s">
        <v>378</v>
      </c>
    </row>
    <row r="472" spans="1:9" x14ac:dyDescent="0.3">
      <c r="A472" s="24">
        <v>45355</v>
      </c>
      <c r="B472" t="s">
        <v>328</v>
      </c>
      <c r="C472" t="s">
        <v>60</v>
      </c>
      <c r="D472">
        <v>0.27</v>
      </c>
      <c r="E472" t="s">
        <v>81</v>
      </c>
      <c r="F472" t="s">
        <v>31</v>
      </c>
      <c r="G472" t="s">
        <v>545</v>
      </c>
      <c r="H472" t="s">
        <v>14</v>
      </c>
      <c r="I472" s="26" t="s">
        <v>378</v>
      </c>
    </row>
    <row r="473" spans="1:9" x14ac:dyDescent="0.3">
      <c r="A473" s="24">
        <v>45355</v>
      </c>
      <c r="B473" t="s">
        <v>328</v>
      </c>
      <c r="C473" t="s">
        <v>60</v>
      </c>
      <c r="D473">
        <v>0.27</v>
      </c>
      <c r="E473" t="s">
        <v>179</v>
      </c>
      <c r="F473" t="s">
        <v>31</v>
      </c>
      <c r="G473" t="s">
        <v>546</v>
      </c>
      <c r="H473" t="s">
        <v>14</v>
      </c>
      <c r="I473" s="26" t="s">
        <v>378</v>
      </c>
    </row>
    <row r="474" spans="1:9" x14ac:dyDescent="0.3">
      <c r="A474" s="24">
        <v>45355</v>
      </c>
      <c r="B474" t="s">
        <v>328</v>
      </c>
      <c r="C474" t="s">
        <v>60</v>
      </c>
      <c r="D474">
        <v>0.32</v>
      </c>
      <c r="E474" t="s">
        <v>445</v>
      </c>
      <c r="F474" t="s">
        <v>31</v>
      </c>
      <c r="G474" t="s">
        <v>547</v>
      </c>
      <c r="H474" t="s">
        <v>14</v>
      </c>
      <c r="I474" s="26" t="s">
        <v>378</v>
      </c>
    </row>
    <row r="475" spans="1:9" x14ac:dyDescent="0.3">
      <c r="A475" s="24">
        <v>45355</v>
      </c>
      <c r="B475" t="s">
        <v>328</v>
      </c>
      <c r="C475" t="s">
        <v>60</v>
      </c>
      <c r="D475">
        <v>0.48</v>
      </c>
      <c r="E475" t="s">
        <v>81</v>
      </c>
      <c r="F475" t="s">
        <v>31</v>
      </c>
      <c r="G475" t="s">
        <v>548</v>
      </c>
      <c r="H475" t="s">
        <v>14</v>
      </c>
      <c r="I475" s="26" t="s">
        <v>378</v>
      </c>
    </row>
    <row r="476" spans="1:9" x14ac:dyDescent="0.3">
      <c r="A476" s="24">
        <v>45355</v>
      </c>
      <c r="B476" t="s">
        <v>328</v>
      </c>
      <c r="C476" t="s">
        <v>60</v>
      </c>
      <c r="D476">
        <v>0.75</v>
      </c>
      <c r="E476" t="s">
        <v>162</v>
      </c>
      <c r="F476" t="s">
        <v>31</v>
      </c>
      <c r="G476" t="s">
        <v>549</v>
      </c>
      <c r="H476" t="s">
        <v>14</v>
      </c>
      <c r="I476" s="26" t="s">
        <v>378</v>
      </c>
    </row>
    <row r="477" spans="1:9" x14ac:dyDescent="0.3">
      <c r="A477" s="24">
        <v>45355</v>
      </c>
      <c r="B477" t="s">
        <v>328</v>
      </c>
      <c r="C477" t="s">
        <v>60</v>
      </c>
      <c r="D477">
        <v>1</v>
      </c>
      <c r="E477" t="s">
        <v>81</v>
      </c>
      <c r="F477" t="s">
        <v>31</v>
      </c>
      <c r="G477" t="s">
        <v>550</v>
      </c>
      <c r="H477" t="s">
        <v>14</v>
      </c>
      <c r="I477" s="26" t="s">
        <v>378</v>
      </c>
    </row>
    <row r="478" spans="1:9" x14ac:dyDescent="0.3">
      <c r="A478" s="24">
        <v>45355</v>
      </c>
      <c r="B478" t="s">
        <v>328</v>
      </c>
      <c r="C478" t="s">
        <v>60</v>
      </c>
      <c r="D478">
        <v>1.22</v>
      </c>
      <c r="E478" t="s">
        <v>162</v>
      </c>
      <c r="F478" t="s">
        <v>31</v>
      </c>
      <c r="G478" t="s">
        <v>551</v>
      </c>
      <c r="H478" t="s">
        <v>14</v>
      </c>
      <c r="I478" s="26" t="s">
        <v>378</v>
      </c>
    </row>
    <row r="479" spans="1:9" x14ac:dyDescent="0.3">
      <c r="A479" s="24">
        <v>45355</v>
      </c>
      <c r="B479" t="s">
        <v>328</v>
      </c>
      <c r="C479" t="s">
        <v>60</v>
      </c>
      <c r="D479">
        <v>1.23</v>
      </c>
      <c r="E479" t="s">
        <v>162</v>
      </c>
      <c r="F479" t="s">
        <v>31</v>
      </c>
      <c r="G479" t="s">
        <v>552</v>
      </c>
      <c r="H479" t="s">
        <v>14</v>
      </c>
      <c r="I479" s="26" t="s">
        <v>378</v>
      </c>
    </row>
    <row r="480" spans="1:9" x14ac:dyDescent="0.3">
      <c r="A480" s="24">
        <v>45355</v>
      </c>
      <c r="B480" t="s">
        <v>331</v>
      </c>
      <c r="C480" t="s">
        <v>29</v>
      </c>
      <c r="D480">
        <v>0.82</v>
      </c>
      <c r="E480" t="s">
        <v>176</v>
      </c>
      <c r="F480" t="s">
        <v>31</v>
      </c>
      <c r="G480" t="s">
        <v>553</v>
      </c>
      <c r="H480" t="s">
        <v>14</v>
      </c>
      <c r="I480" s="26" t="s">
        <v>378</v>
      </c>
    </row>
    <row r="481" spans="1:9" x14ac:dyDescent="0.3">
      <c r="A481" s="24">
        <v>45355</v>
      </c>
      <c r="B481" t="s">
        <v>331</v>
      </c>
      <c r="C481" t="s">
        <v>29</v>
      </c>
      <c r="D481">
        <v>1.1499999999999999</v>
      </c>
      <c r="E481" t="s">
        <v>176</v>
      </c>
      <c r="F481" t="s">
        <v>31</v>
      </c>
      <c r="G481" t="s">
        <v>554</v>
      </c>
      <c r="H481" t="s">
        <v>14</v>
      </c>
      <c r="I481" s="26" t="s">
        <v>378</v>
      </c>
    </row>
    <row r="482" spans="1:9" x14ac:dyDescent="0.3">
      <c r="A482" s="24">
        <v>45355</v>
      </c>
      <c r="B482" t="s">
        <v>331</v>
      </c>
      <c r="C482" t="s">
        <v>29</v>
      </c>
      <c r="D482">
        <v>1.38</v>
      </c>
      <c r="E482" t="s">
        <v>91</v>
      </c>
      <c r="F482" t="s">
        <v>31</v>
      </c>
      <c r="G482" t="s">
        <v>555</v>
      </c>
      <c r="H482" t="s">
        <v>14</v>
      </c>
      <c r="I482" s="26" t="s">
        <v>378</v>
      </c>
    </row>
    <row r="483" spans="1:9" x14ac:dyDescent="0.3">
      <c r="A483" s="24">
        <v>45355</v>
      </c>
      <c r="B483" t="s">
        <v>331</v>
      </c>
      <c r="C483" t="s">
        <v>53</v>
      </c>
      <c r="D483">
        <v>0.5</v>
      </c>
      <c r="E483" t="s">
        <v>54</v>
      </c>
      <c r="F483" t="s">
        <v>55</v>
      </c>
      <c r="G483" t="s">
        <v>332</v>
      </c>
      <c r="H483" t="s">
        <v>14</v>
      </c>
      <c r="I483" s="26" t="s">
        <v>378</v>
      </c>
    </row>
    <row r="484" spans="1:9" x14ac:dyDescent="0.3">
      <c r="A484" s="24">
        <v>45355</v>
      </c>
      <c r="B484" t="s">
        <v>331</v>
      </c>
      <c r="C484" t="s">
        <v>53</v>
      </c>
      <c r="D484">
        <v>0.63</v>
      </c>
      <c r="E484" t="s">
        <v>54</v>
      </c>
      <c r="F484" t="s">
        <v>55</v>
      </c>
      <c r="G484" t="s">
        <v>556</v>
      </c>
      <c r="H484" t="s">
        <v>14</v>
      </c>
      <c r="I484" s="26" t="s">
        <v>378</v>
      </c>
    </row>
    <row r="485" spans="1:9" x14ac:dyDescent="0.3">
      <c r="A485" s="24">
        <v>45355</v>
      </c>
      <c r="B485" t="s">
        <v>331</v>
      </c>
      <c r="C485" t="s">
        <v>58</v>
      </c>
      <c r="D485">
        <v>0.5</v>
      </c>
      <c r="E485" t="s">
        <v>54</v>
      </c>
      <c r="F485" t="s">
        <v>55</v>
      </c>
      <c r="G485" t="s">
        <v>557</v>
      </c>
      <c r="H485" t="s">
        <v>14</v>
      </c>
      <c r="I485" s="26" t="s">
        <v>378</v>
      </c>
    </row>
    <row r="486" spans="1:9" x14ac:dyDescent="0.3">
      <c r="A486" s="24">
        <v>45355</v>
      </c>
      <c r="B486" t="s">
        <v>331</v>
      </c>
      <c r="C486" t="s">
        <v>60</v>
      </c>
      <c r="D486">
        <v>1.33</v>
      </c>
      <c r="E486" t="s">
        <v>337</v>
      </c>
      <c r="F486" t="s">
        <v>31</v>
      </c>
      <c r="G486" t="s">
        <v>558</v>
      </c>
      <c r="H486" t="s">
        <v>14</v>
      </c>
      <c r="I486" s="26" t="s">
        <v>378</v>
      </c>
    </row>
    <row r="487" spans="1:9" x14ac:dyDescent="0.3">
      <c r="A487" s="24">
        <v>45355</v>
      </c>
      <c r="B487" t="s">
        <v>331</v>
      </c>
      <c r="C487" t="s">
        <v>60</v>
      </c>
      <c r="D487">
        <v>1.68</v>
      </c>
      <c r="E487" t="s">
        <v>334</v>
      </c>
      <c r="F487" t="s">
        <v>31</v>
      </c>
      <c r="G487" t="s">
        <v>558</v>
      </c>
      <c r="H487" t="s">
        <v>14</v>
      </c>
      <c r="I487" s="26" t="s">
        <v>378</v>
      </c>
    </row>
    <row r="488" spans="1:9" x14ac:dyDescent="0.3">
      <c r="A488" s="24">
        <v>45355</v>
      </c>
      <c r="B488" t="s">
        <v>340</v>
      </c>
      <c r="C488" t="s">
        <v>53</v>
      </c>
      <c r="D488">
        <v>7.6</v>
      </c>
      <c r="E488" t="s">
        <v>54</v>
      </c>
      <c r="F488" t="s">
        <v>55</v>
      </c>
      <c r="G488" t="s">
        <v>559</v>
      </c>
      <c r="H488" t="s">
        <v>14</v>
      </c>
      <c r="I488" s="26" t="s">
        <v>378</v>
      </c>
    </row>
    <row r="489" spans="1:9" x14ac:dyDescent="0.3">
      <c r="A489" s="24">
        <v>45355</v>
      </c>
      <c r="B489" t="s">
        <v>351</v>
      </c>
      <c r="C489" t="s">
        <v>29</v>
      </c>
      <c r="D489">
        <v>0.25</v>
      </c>
      <c r="E489" t="s">
        <v>81</v>
      </c>
      <c r="F489" t="s">
        <v>31</v>
      </c>
      <c r="G489" t="s">
        <v>560</v>
      </c>
      <c r="H489" t="s">
        <v>14</v>
      </c>
      <c r="I489" s="26" t="s">
        <v>378</v>
      </c>
    </row>
    <row r="490" spans="1:9" x14ac:dyDescent="0.3">
      <c r="A490" s="24">
        <v>45355</v>
      </c>
      <c r="B490" t="s">
        <v>351</v>
      </c>
      <c r="C490" t="s">
        <v>29</v>
      </c>
      <c r="D490">
        <v>0.92</v>
      </c>
      <c r="E490" t="s">
        <v>81</v>
      </c>
      <c r="F490" t="s">
        <v>55</v>
      </c>
      <c r="G490" t="s">
        <v>561</v>
      </c>
      <c r="H490" t="s">
        <v>14</v>
      </c>
      <c r="I490" s="26" t="s">
        <v>378</v>
      </c>
    </row>
    <row r="491" spans="1:9" x14ac:dyDescent="0.3">
      <c r="A491" s="24">
        <v>45355</v>
      </c>
      <c r="B491" t="s">
        <v>351</v>
      </c>
      <c r="C491" t="s">
        <v>29</v>
      </c>
      <c r="D491">
        <v>2.25</v>
      </c>
      <c r="E491" t="s">
        <v>81</v>
      </c>
      <c r="F491" t="s">
        <v>55</v>
      </c>
      <c r="G491" t="s">
        <v>562</v>
      </c>
      <c r="H491" t="s">
        <v>14</v>
      </c>
      <c r="I491" s="26" t="s">
        <v>378</v>
      </c>
    </row>
    <row r="492" spans="1:9" x14ac:dyDescent="0.3">
      <c r="A492" s="24">
        <v>45355</v>
      </c>
      <c r="B492" t="s">
        <v>351</v>
      </c>
      <c r="C492" t="s">
        <v>53</v>
      </c>
      <c r="D492">
        <v>2.08</v>
      </c>
      <c r="E492" t="s">
        <v>54</v>
      </c>
      <c r="F492" t="s">
        <v>55</v>
      </c>
      <c r="G492" t="s">
        <v>563</v>
      </c>
      <c r="H492" t="s">
        <v>14</v>
      </c>
      <c r="I492" s="26" t="s">
        <v>378</v>
      </c>
    </row>
    <row r="493" spans="1:9" x14ac:dyDescent="0.3">
      <c r="A493" s="24">
        <v>45355</v>
      </c>
      <c r="B493" t="s">
        <v>351</v>
      </c>
      <c r="C493" t="s">
        <v>159</v>
      </c>
      <c r="D493">
        <v>2</v>
      </c>
      <c r="E493" t="s">
        <v>81</v>
      </c>
      <c r="F493" t="s">
        <v>31</v>
      </c>
      <c r="G493" t="s">
        <v>564</v>
      </c>
      <c r="H493" t="s">
        <v>14</v>
      </c>
      <c r="I493" s="26" t="s">
        <v>378</v>
      </c>
    </row>
    <row r="494" spans="1:9" x14ac:dyDescent="0.3">
      <c r="A494" s="24">
        <v>45355</v>
      </c>
      <c r="B494" t="s">
        <v>351</v>
      </c>
      <c r="C494" t="s">
        <v>58</v>
      </c>
      <c r="D494">
        <v>0.5</v>
      </c>
      <c r="E494" t="s">
        <v>54</v>
      </c>
      <c r="F494" t="s">
        <v>55</v>
      </c>
      <c r="G494" t="s">
        <v>565</v>
      </c>
      <c r="H494" t="s">
        <v>14</v>
      </c>
      <c r="I494" s="26" t="s">
        <v>378</v>
      </c>
    </row>
    <row r="495" spans="1:9" x14ac:dyDescent="0.3">
      <c r="A495" s="24">
        <v>45355</v>
      </c>
      <c r="B495" t="s">
        <v>355</v>
      </c>
      <c r="C495" t="s">
        <v>250</v>
      </c>
      <c r="D495">
        <v>0.1</v>
      </c>
      <c r="E495" t="s">
        <v>356</v>
      </c>
      <c r="F495" t="s">
        <v>31</v>
      </c>
      <c r="G495" t="s">
        <v>566</v>
      </c>
      <c r="H495" t="s">
        <v>14</v>
      </c>
      <c r="I495" s="26" t="s">
        <v>378</v>
      </c>
    </row>
    <row r="496" spans="1:9" x14ac:dyDescent="0.3">
      <c r="A496" s="24">
        <v>45355</v>
      </c>
      <c r="B496" t="s">
        <v>355</v>
      </c>
      <c r="C496" t="s">
        <v>29</v>
      </c>
      <c r="D496">
        <v>0.3</v>
      </c>
      <c r="E496" t="s">
        <v>91</v>
      </c>
      <c r="F496" t="s">
        <v>31</v>
      </c>
      <c r="G496" t="s">
        <v>567</v>
      </c>
      <c r="H496" t="s">
        <v>14</v>
      </c>
      <c r="I496" s="26" t="s">
        <v>378</v>
      </c>
    </row>
    <row r="497" spans="1:9" x14ac:dyDescent="0.3">
      <c r="A497" s="24">
        <v>45355</v>
      </c>
      <c r="B497" t="s">
        <v>355</v>
      </c>
      <c r="C497" t="s">
        <v>29</v>
      </c>
      <c r="D497">
        <v>0.8</v>
      </c>
      <c r="E497" t="s">
        <v>91</v>
      </c>
      <c r="F497" t="s">
        <v>31</v>
      </c>
      <c r="G497" t="s">
        <v>568</v>
      </c>
      <c r="H497" t="s">
        <v>14</v>
      </c>
      <c r="I497" s="26" t="s">
        <v>378</v>
      </c>
    </row>
    <row r="498" spans="1:9" x14ac:dyDescent="0.3">
      <c r="A498" s="24">
        <v>45355</v>
      </c>
      <c r="B498" t="s">
        <v>355</v>
      </c>
      <c r="C498" t="s">
        <v>29</v>
      </c>
      <c r="D498">
        <v>1.1000000000000001</v>
      </c>
      <c r="E498" t="s">
        <v>91</v>
      </c>
      <c r="F498" t="s">
        <v>31</v>
      </c>
      <c r="G498" t="s">
        <v>569</v>
      </c>
      <c r="H498" t="s">
        <v>14</v>
      </c>
      <c r="I498" s="26" t="s">
        <v>378</v>
      </c>
    </row>
    <row r="499" spans="1:9" x14ac:dyDescent="0.3">
      <c r="A499" s="24">
        <v>45355</v>
      </c>
      <c r="B499" t="s">
        <v>355</v>
      </c>
      <c r="C499" t="s">
        <v>29</v>
      </c>
      <c r="D499">
        <v>1.5</v>
      </c>
      <c r="E499" t="s">
        <v>91</v>
      </c>
      <c r="F499" t="s">
        <v>31</v>
      </c>
      <c r="G499" t="s">
        <v>570</v>
      </c>
      <c r="H499" t="s">
        <v>14</v>
      </c>
      <c r="I499" s="26" t="s">
        <v>378</v>
      </c>
    </row>
    <row r="500" spans="1:9" x14ac:dyDescent="0.3">
      <c r="A500" s="24">
        <v>45355</v>
      </c>
      <c r="B500" t="s">
        <v>355</v>
      </c>
      <c r="C500" t="s">
        <v>202</v>
      </c>
      <c r="D500">
        <v>0.2</v>
      </c>
      <c r="E500" t="s">
        <v>358</v>
      </c>
      <c r="F500" t="s">
        <v>31</v>
      </c>
      <c r="G500" t="s">
        <v>571</v>
      </c>
      <c r="H500" t="s">
        <v>14</v>
      </c>
      <c r="I500" s="26" t="s">
        <v>378</v>
      </c>
    </row>
    <row r="501" spans="1:9" x14ac:dyDescent="0.3">
      <c r="A501" s="24">
        <v>45355</v>
      </c>
      <c r="B501" t="s">
        <v>355</v>
      </c>
      <c r="C501" t="s">
        <v>202</v>
      </c>
      <c r="D501">
        <v>0.2</v>
      </c>
      <c r="E501" t="s">
        <v>358</v>
      </c>
      <c r="F501" t="s">
        <v>31</v>
      </c>
      <c r="G501" t="s">
        <v>572</v>
      </c>
      <c r="H501" t="s">
        <v>14</v>
      </c>
      <c r="I501" s="26" t="s">
        <v>378</v>
      </c>
    </row>
    <row r="502" spans="1:9" x14ac:dyDescent="0.3">
      <c r="A502" s="24">
        <v>45355</v>
      </c>
      <c r="B502" t="s">
        <v>355</v>
      </c>
      <c r="C502" t="s">
        <v>202</v>
      </c>
      <c r="D502">
        <v>0.8</v>
      </c>
      <c r="E502" t="s">
        <v>91</v>
      </c>
      <c r="F502" t="s">
        <v>31</v>
      </c>
      <c r="G502" t="s">
        <v>573</v>
      </c>
      <c r="H502" t="s">
        <v>14</v>
      </c>
      <c r="I502" s="26" t="s">
        <v>378</v>
      </c>
    </row>
    <row r="503" spans="1:9" x14ac:dyDescent="0.3">
      <c r="A503" s="24">
        <v>45355</v>
      </c>
      <c r="B503" t="s">
        <v>355</v>
      </c>
      <c r="C503" t="s">
        <v>85</v>
      </c>
      <c r="D503">
        <v>2</v>
      </c>
      <c r="E503" t="s">
        <v>91</v>
      </c>
      <c r="F503" t="s">
        <v>31</v>
      </c>
      <c r="G503" t="s">
        <v>574</v>
      </c>
      <c r="H503" t="s">
        <v>14</v>
      </c>
      <c r="I503" s="26" t="s">
        <v>378</v>
      </c>
    </row>
    <row r="504" spans="1:9" x14ac:dyDescent="0.3">
      <c r="A504" s="24">
        <v>45355</v>
      </c>
      <c r="B504" t="s">
        <v>355</v>
      </c>
      <c r="C504" t="s">
        <v>53</v>
      </c>
      <c r="D504">
        <v>0.7</v>
      </c>
      <c r="E504" t="s">
        <v>54</v>
      </c>
      <c r="F504" t="s">
        <v>55</v>
      </c>
      <c r="G504" t="s">
        <v>575</v>
      </c>
      <c r="H504" t="s">
        <v>14</v>
      </c>
      <c r="I504" s="26" t="s">
        <v>378</v>
      </c>
    </row>
    <row r="505" spans="1:9" x14ac:dyDescent="0.3">
      <c r="A505" s="24">
        <v>45355</v>
      </c>
      <c r="B505" t="s">
        <v>374</v>
      </c>
      <c r="C505" t="s">
        <v>53</v>
      </c>
      <c r="D505">
        <v>4</v>
      </c>
      <c r="E505" t="s">
        <v>54</v>
      </c>
      <c r="F505" t="s">
        <v>55</v>
      </c>
      <c r="G505" t="e">
        <f>- finalize technical assessment for payroll Specialist - coordinate with Shane Garena - send out rejection letter to Applicants</f>
        <v>#NAME?</v>
      </c>
      <c r="H505" t="s">
        <v>14</v>
      </c>
      <c r="I505" s="26" t="s">
        <v>378</v>
      </c>
    </row>
    <row r="506" spans="1:9" x14ac:dyDescent="0.3">
      <c r="A506" s="24">
        <v>45355</v>
      </c>
      <c r="B506" t="s">
        <v>374</v>
      </c>
      <c r="C506" t="s">
        <v>123</v>
      </c>
      <c r="D506">
        <v>4</v>
      </c>
      <c r="E506" t="s">
        <v>54</v>
      </c>
      <c r="F506" t="s">
        <v>55</v>
      </c>
      <c r="G506" t="e">
        <f>- recruitment</f>
        <v>#NAME?</v>
      </c>
      <c r="H506" t="s">
        <v>14</v>
      </c>
      <c r="I506" s="26" t="s">
        <v>378</v>
      </c>
    </row>
    <row r="507" spans="1:9" x14ac:dyDescent="0.3">
      <c r="A507" s="24">
        <v>45356</v>
      </c>
      <c r="B507" t="s">
        <v>28</v>
      </c>
      <c r="C507" t="s">
        <v>29</v>
      </c>
      <c r="D507">
        <v>0.08</v>
      </c>
      <c r="E507" t="s">
        <v>45</v>
      </c>
      <c r="F507" t="s">
        <v>31</v>
      </c>
      <c r="G507" t="s">
        <v>46</v>
      </c>
      <c r="H507" t="s">
        <v>14</v>
      </c>
      <c r="I507" s="26" t="s">
        <v>576</v>
      </c>
    </row>
    <row r="508" spans="1:9" x14ac:dyDescent="0.3">
      <c r="A508" s="24">
        <v>45356</v>
      </c>
      <c r="B508" t="s">
        <v>28</v>
      </c>
      <c r="C508" t="s">
        <v>29</v>
      </c>
      <c r="D508">
        <v>0.1</v>
      </c>
      <c r="E508" t="s">
        <v>45</v>
      </c>
      <c r="F508" t="s">
        <v>31</v>
      </c>
      <c r="G508" t="s">
        <v>32</v>
      </c>
      <c r="H508" t="s">
        <v>14</v>
      </c>
      <c r="I508" s="26" t="s">
        <v>576</v>
      </c>
    </row>
    <row r="509" spans="1:9" x14ac:dyDescent="0.3">
      <c r="A509" s="24">
        <v>45356</v>
      </c>
      <c r="B509" t="s">
        <v>28</v>
      </c>
      <c r="C509" t="s">
        <v>29</v>
      </c>
      <c r="D509">
        <v>0.13</v>
      </c>
      <c r="E509" t="s">
        <v>39</v>
      </c>
      <c r="F509" t="s">
        <v>31</v>
      </c>
      <c r="G509" t="s">
        <v>38</v>
      </c>
      <c r="H509" t="s">
        <v>14</v>
      </c>
      <c r="I509" s="26" t="s">
        <v>576</v>
      </c>
    </row>
    <row r="510" spans="1:9" x14ac:dyDescent="0.3">
      <c r="A510" s="24">
        <v>45356</v>
      </c>
      <c r="B510" t="s">
        <v>28</v>
      </c>
      <c r="C510" t="s">
        <v>29</v>
      </c>
      <c r="D510">
        <v>0.2</v>
      </c>
      <c r="E510" t="s">
        <v>44</v>
      </c>
      <c r="F510" t="s">
        <v>31</v>
      </c>
      <c r="G510" t="s">
        <v>243</v>
      </c>
      <c r="H510" t="s">
        <v>14</v>
      </c>
      <c r="I510" s="26" t="s">
        <v>576</v>
      </c>
    </row>
    <row r="511" spans="1:9" x14ac:dyDescent="0.3">
      <c r="A511" s="24">
        <v>45356</v>
      </c>
      <c r="B511" t="s">
        <v>28</v>
      </c>
      <c r="C511" t="s">
        <v>29</v>
      </c>
      <c r="D511">
        <v>0.23</v>
      </c>
      <c r="E511" t="s">
        <v>42</v>
      </c>
      <c r="F511" t="s">
        <v>31</v>
      </c>
      <c r="G511" t="s">
        <v>577</v>
      </c>
      <c r="H511" t="s">
        <v>14</v>
      </c>
      <c r="I511" s="26" t="s">
        <v>576</v>
      </c>
    </row>
    <row r="512" spans="1:9" x14ac:dyDescent="0.3">
      <c r="A512" s="24">
        <v>45356</v>
      </c>
      <c r="B512" t="s">
        <v>28</v>
      </c>
      <c r="C512" t="s">
        <v>29</v>
      </c>
      <c r="D512">
        <v>0.45</v>
      </c>
      <c r="E512" t="s">
        <v>40</v>
      </c>
      <c r="F512" t="s">
        <v>31</v>
      </c>
      <c r="G512" t="s">
        <v>38</v>
      </c>
      <c r="H512" t="s">
        <v>14</v>
      </c>
      <c r="I512" s="26" t="s">
        <v>576</v>
      </c>
    </row>
    <row r="513" spans="1:9" x14ac:dyDescent="0.3">
      <c r="A513" s="24">
        <v>45356</v>
      </c>
      <c r="B513" t="s">
        <v>28</v>
      </c>
      <c r="C513" t="s">
        <v>29</v>
      </c>
      <c r="D513">
        <v>0.52</v>
      </c>
      <c r="E513" t="s">
        <v>42</v>
      </c>
      <c r="F513" t="s">
        <v>31</v>
      </c>
      <c r="G513" t="s">
        <v>578</v>
      </c>
      <c r="H513" t="s">
        <v>14</v>
      </c>
      <c r="I513" s="26" t="s">
        <v>576</v>
      </c>
    </row>
    <row r="514" spans="1:9" x14ac:dyDescent="0.3">
      <c r="A514" s="24">
        <v>45356</v>
      </c>
      <c r="B514" t="s">
        <v>28</v>
      </c>
      <c r="C514" t="s">
        <v>29</v>
      </c>
      <c r="D514">
        <v>1.22</v>
      </c>
      <c r="E514" t="s">
        <v>40</v>
      </c>
      <c r="F514" t="s">
        <v>31</v>
      </c>
      <c r="G514" t="s">
        <v>579</v>
      </c>
      <c r="H514" t="s">
        <v>14</v>
      </c>
      <c r="I514" s="26" t="s">
        <v>576</v>
      </c>
    </row>
    <row r="515" spans="1:9" x14ac:dyDescent="0.3">
      <c r="A515" s="24">
        <v>45356</v>
      </c>
      <c r="B515" t="s">
        <v>28</v>
      </c>
      <c r="C515" t="s">
        <v>29</v>
      </c>
      <c r="D515">
        <v>1.58</v>
      </c>
      <c r="E515" t="s">
        <v>49</v>
      </c>
      <c r="F515" t="s">
        <v>31</v>
      </c>
      <c r="G515" t="s">
        <v>50</v>
      </c>
      <c r="H515" t="s">
        <v>14</v>
      </c>
      <c r="I515" s="26" t="s">
        <v>576</v>
      </c>
    </row>
    <row r="516" spans="1:9" x14ac:dyDescent="0.3">
      <c r="A516" s="24">
        <v>45356</v>
      </c>
      <c r="B516" t="s">
        <v>28</v>
      </c>
      <c r="C516" t="s">
        <v>29</v>
      </c>
      <c r="D516">
        <v>1.67</v>
      </c>
      <c r="E516" t="s">
        <v>42</v>
      </c>
      <c r="F516" t="s">
        <v>31</v>
      </c>
      <c r="G516" t="s">
        <v>38</v>
      </c>
      <c r="H516" t="s">
        <v>14</v>
      </c>
      <c r="I516" s="26" t="s">
        <v>576</v>
      </c>
    </row>
    <row r="517" spans="1:9" x14ac:dyDescent="0.3">
      <c r="A517" s="24">
        <v>45356</v>
      </c>
      <c r="B517" t="s">
        <v>28</v>
      </c>
      <c r="C517" t="s">
        <v>148</v>
      </c>
      <c r="D517">
        <v>0.4</v>
      </c>
      <c r="E517" t="s">
        <v>54</v>
      </c>
      <c r="F517" t="s">
        <v>55</v>
      </c>
      <c r="G517" t="s">
        <v>580</v>
      </c>
      <c r="H517" t="s">
        <v>14</v>
      </c>
      <c r="I517" s="26" t="s">
        <v>576</v>
      </c>
    </row>
    <row r="518" spans="1:9" x14ac:dyDescent="0.3">
      <c r="A518" s="24">
        <v>45356</v>
      </c>
      <c r="B518" t="s">
        <v>28</v>
      </c>
      <c r="C518" t="s">
        <v>148</v>
      </c>
      <c r="D518">
        <v>0.53</v>
      </c>
      <c r="E518" t="s">
        <v>54</v>
      </c>
      <c r="F518" t="s">
        <v>55</v>
      </c>
      <c r="G518" t="s">
        <v>581</v>
      </c>
      <c r="H518" t="s">
        <v>14</v>
      </c>
      <c r="I518" s="26" t="s">
        <v>576</v>
      </c>
    </row>
    <row r="519" spans="1:9" x14ac:dyDescent="0.3">
      <c r="A519" s="24">
        <v>45356</v>
      </c>
      <c r="B519" t="s">
        <v>28</v>
      </c>
      <c r="C519" t="s">
        <v>60</v>
      </c>
      <c r="D519">
        <v>7.0000000000000007E-2</v>
      </c>
      <c r="E519" t="s">
        <v>582</v>
      </c>
      <c r="F519" t="s">
        <v>31</v>
      </c>
      <c r="H519" t="s">
        <v>14</v>
      </c>
      <c r="I519" s="26" t="s">
        <v>576</v>
      </c>
    </row>
    <row r="520" spans="1:9" x14ac:dyDescent="0.3">
      <c r="A520" s="24">
        <v>45356</v>
      </c>
      <c r="B520" t="s">
        <v>28</v>
      </c>
      <c r="C520" t="s">
        <v>60</v>
      </c>
      <c r="D520">
        <v>0.22</v>
      </c>
      <c r="E520" t="s">
        <v>48</v>
      </c>
      <c r="F520" t="s">
        <v>31</v>
      </c>
      <c r="H520" t="s">
        <v>14</v>
      </c>
      <c r="I520" s="26" t="s">
        <v>576</v>
      </c>
    </row>
    <row r="521" spans="1:9" x14ac:dyDescent="0.3">
      <c r="A521" s="24">
        <v>45356</v>
      </c>
      <c r="B521" t="s">
        <v>28</v>
      </c>
      <c r="C521" t="s">
        <v>60</v>
      </c>
      <c r="D521">
        <v>0.27</v>
      </c>
      <c r="E521" t="s">
        <v>61</v>
      </c>
      <c r="F521" t="s">
        <v>31</v>
      </c>
      <c r="G521" t="s">
        <v>63</v>
      </c>
      <c r="H521" t="s">
        <v>14</v>
      </c>
      <c r="I521" s="26" t="s">
        <v>576</v>
      </c>
    </row>
    <row r="522" spans="1:9" x14ac:dyDescent="0.3">
      <c r="A522" s="24">
        <v>45356</v>
      </c>
      <c r="B522" t="s">
        <v>28</v>
      </c>
      <c r="C522" t="s">
        <v>60</v>
      </c>
      <c r="D522">
        <v>0.33</v>
      </c>
      <c r="E522" t="s">
        <v>61</v>
      </c>
      <c r="F522" t="s">
        <v>31</v>
      </c>
      <c r="H522" t="s">
        <v>14</v>
      </c>
      <c r="I522" s="26" t="s">
        <v>576</v>
      </c>
    </row>
    <row r="523" spans="1:9" x14ac:dyDescent="0.3">
      <c r="A523" s="24">
        <v>45356</v>
      </c>
      <c r="B523" t="s">
        <v>64</v>
      </c>
      <c r="C523" t="s">
        <v>65</v>
      </c>
      <c r="D523">
        <v>0.57999999999999996</v>
      </c>
      <c r="E523" t="s">
        <v>66</v>
      </c>
      <c r="F523" t="s">
        <v>31</v>
      </c>
      <c r="G523" t="s">
        <v>583</v>
      </c>
      <c r="H523" t="s">
        <v>14</v>
      </c>
      <c r="I523" s="26" t="s">
        <v>576</v>
      </c>
    </row>
    <row r="524" spans="1:9" x14ac:dyDescent="0.3">
      <c r="A524" s="24">
        <v>45356</v>
      </c>
      <c r="B524" t="s">
        <v>64</v>
      </c>
      <c r="C524" t="s">
        <v>68</v>
      </c>
      <c r="D524">
        <v>0.17</v>
      </c>
      <c r="E524" t="s">
        <v>66</v>
      </c>
      <c r="F524" t="s">
        <v>31</v>
      </c>
      <c r="G524" t="s">
        <v>584</v>
      </c>
      <c r="H524" t="s">
        <v>14</v>
      </c>
      <c r="I524" s="26" t="s">
        <v>576</v>
      </c>
    </row>
    <row r="525" spans="1:9" x14ac:dyDescent="0.3">
      <c r="A525" s="24">
        <v>45356</v>
      </c>
      <c r="B525" t="s">
        <v>64</v>
      </c>
      <c r="C525" t="s">
        <v>70</v>
      </c>
      <c r="D525">
        <v>1</v>
      </c>
      <c r="E525" t="s">
        <v>66</v>
      </c>
      <c r="F525" t="s">
        <v>31</v>
      </c>
      <c r="G525" t="s">
        <v>585</v>
      </c>
      <c r="H525" t="s">
        <v>14</v>
      </c>
      <c r="I525" s="26" t="s">
        <v>576</v>
      </c>
    </row>
    <row r="526" spans="1:9" x14ac:dyDescent="0.3">
      <c r="A526" s="24">
        <v>45356</v>
      </c>
      <c r="B526" t="s">
        <v>72</v>
      </c>
      <c r="C526" t="s">
        <v>29</v>
      </c>
      <c r="D526">
        <v>0.08</v>
      </c>
      <c r="E526" t="s">
        <v>358</v>
      </c>
      <c r="F526" t="s">
        <v>31</v>
      </c>
      <c r="G526" t="s">
        <v>586</v>
      </c>
      <c r="H526" t="s">
        <v>14</v>
      </c>
      <c r="I526" s="26" t="s">
        <v>576</v>
      </c>
    </row>
    <row r="527" spans="1:9" x14ac:dyDescent="0.3">
      <c r="A527" s="24">
        <v>45356</v>
      </c>
      <c r="B527" t="s">
        <v>72</v>
      </c>
      <c r="C527" t="s">
        <v>29</v>
      </c>
      <c r="D527">
        <v>0.17</v>
      </c>
      <c r="E527" t="s">
        <v>358</v>
      </c>
      <c r="F527" t="s">
        <v>31</v>
      </c>
      <c r="G527" t="s">
        <v>587</v>
      </c>
      <c r="H527" t="s">
        <v>14</v>
      </c>
      <c r="I527" s="26" t="s">
        <v>576</v>
      </c>
    </row>
    <row r="528" spans="1:9" x14ac:dyDescent="0.3">
      <c r="A528" s="24">
        <v>45356</v>
      </c>
      <c r="B528" t="s">
        <v>72</v>
      </c>
      <c r="C528" t="s">
        <v>29</v>
      </c>
      <c r="D528">
        <v>0.3</v>
      </c>
      <c r="E528" t="s">
        <v>358</v>
      </c>
      <c r="F528" t="s">
        <v>31</v>
      </c>
      <c r="G528" t="s">
        <v>588</v>
      </c>
      <c r="H528" t="s">
        <v>14</v>
      </c>
      <c r="I528" s="26" t="s">
        <v>576</v>
      </c>
    </row>
    <row r="529" spans="1:9" x14ac:dyDescent="0.3">
      <c r="A529" s="24">
        <v>45356</v>
      </c>
      <c r="B529" t="s">
        <v>72</v>
      </c>
      <c r="C529" t="s">
        <v>29</v>
      </c>
      <c r="D529">
        <v>0.57999999999999996</v>
      </c>
      <c r="E529" t="s">
        <v>156</v>
      </c>
      <c r="F529" t="s">
        <v>55</v>
      </c>
      <c r="G529" t="s">
        <v>589</v>
      </c>
      <c r="H529" t="s">
        <v>14</v>
      </c>
      <c r="I529" s="26" t="s">
        <v>576</v>
      </c>
    </row>
    <row r="530" spans="1:9" x14ac:dyDescent="0.3">
      <c r="A530" s="24">
        <v>45356</v>
      </c>
      <c r="B530" t="s">
        <v>72</v>
      </c>
      <c r="C530" t="s">
        <v>29</v>
      </c>
      <c r="D530">
        <v>0.62</v>
      </c>
      <c r="E530" t="s">
        <v>271</v>
      </c>
      <c r="F530" t="s">
        <v>31</v>
      </c>
      <c r="H530" t="s">
        <v>14</v>
      </c>
      <c r="I530" s="26" t="s">
        <v>576</v>
      </c>
    </row>
    <row r="531" spans="1:9" x14ac:dyDescent="0.3">
      <c r="A531" s="24">
        <v>45356</v>
      </c>
      <c r="B531" t="s">
        <v>72</v>
      </c>
      <c r="C531" t="s">
        <v>29</v>
      </c>
      <c r="D531">
        <v>0.8</v>
      </c>
      <c r="E531" t="s">
        <v>358</v>
      </c>
      <c r="F531" t="s">
        <v>31</v>
      </c>
      <c r="G531" t="s">
        <v>590</v>
      </c>
      <c r="H531" t="s">
        <v>14</v>
      </c>
      <c r="I531" s="26" t="s">
        <v>576</v>
      </c>
    </row>
    <row r="532" spans="1:9" x14ac:dyDescent="0.3">
      <c r="A532" s="24">
        <v>45356</v>
      </c>
      <c r="B532" t="s">
        <v>72</v>
      </c>
      <c r="C532" t="s">
        <v>29</v>
      </c>
      <c r="D532">
        <v>1.85</v>
      </c>
      <c r="E532" t="s">
        <v>358</v>
      </c>
      <c r="F532" t="s">
        <v>31</v>
      </c>
      <c r="G532" t="s">
        <v>591</v>
      </c>
      <c r="H532" t="s">
        <v>14</v>
      </c>
      <c r="I532" s="26" t="s">
        <v>576</v>
      </c>
    </row>
    <row r="533" spans="1:9" x14ac:dyDescent="0.3">
      <c r="A533" s="24">
        <v>45356</v>
      </c>
      <c r="B533" t="s">
        <v>72</v>
      </c>
      <c r="C533" t="s">
        <v>53</v>
      </c>
      <c r="D533">
        <v>0.22</v>
      </c>
      <c r="E533" t="s">
        <v>54</v>
      </c>
      <c r="F533" t="s">
        <v>55</v>
      </c>
      <c r="H533" t="s">
        <v>14</v>
      </c>
      <c r="I533" s="26" t="s">
        <v>576</v>
      </c>
    </row>
    <row r="534" spans="1:9" x14ac:dyDescent="0.3">
      <c r="A534" s="24">
        <v>45356</v>
      </c>
      <c r="B534" t="s">
        <v>72</v>
      </c>
      <c r="C534" t="s">
        <v>53</v>
      </c>
      <c r="D534">
        <v>0.32</v>
      </c>
      <c r="E534" t="s">
        <v>54</v>
      </c>
      <c r="F534" t="s">
        <v>55</v>
      </c>
      <c r="G534" t="s">
        <v>592</v>
      </c>
      <c r="H534" t="s">
        <v>14</v>
      </c>
      <c r="I534" s="26" t="s">
        <v>576</v>
      </c>
    </row>
    <row r="535" spans="1:9" x14ac:dyDescent="0.3">
      <c r="A535" s="24">
        <v>45356</v>
      </c>
      <c r="B535" t="s">
        <v>72</v>
      </c>
      <c r="C535" t="s">
        <v>53</v>
      </c>
      <c r="D535">
        <v>0.63</v>
      </c>
      <c r="E535" t="s">
        <v>54</v>
      </c>
      <c r="F535" t="s">
        <v>55</v>
      </c>
      <c r="G535" t="s">
        <v>593</v>
      </c>
      <c r="H535" t="s">
        <v>14</v>
      </c>
      <c r="I535" s="26" t="s">
        <v>576</v>
      </c>
    </row>
    <row r="536" spans="1:9" x14ac:dyDescent="0.3">
      <c r="A536" s="24">
        <v>45356</v>
      </c>
      <c r="B536" t="s">
        <v>72</v>
      </c>
      <c r="C536" t="s">
        <v>53</v>
      </c>
      <c r="D536">
        <v>0.63</v>
      </c>
      <c r="E536" t="s">
        <v>54</v>
      </c>
      <c r="F536" t="s">
        <v>55</v>
      </c>
      <c r="G536" t="s">
        <v>594</v>
      </c>
      <c r="H536" t="s">
        <v>14</v>
      </c>
      <c r="I536" s="26" t="s">
        <v>576</v>
      </c>
    </row>
    <row r="537" spans="1:9" x14ac:dyDescent="0.3">
      <c r="A537" s="24">
        <v>45356</v>
      </c>
      <c r="B537" t="s">
        <v>72</v>
      </c>
      <c r="C537" t="s">
        <v>148</v>
      </c>
      <c r="D537">
        <v>1.93</v>
      </c>
      <c r="E537" t="s">
        <v>54</v>
      </c>
      <c r="F537" t="s">
        <v>55</v>
      </c>
      <c r="G537" t="s">
        <v>595</v>
      </c>
      <c r="H537" t="s">
        <v>14</v>
      </c>
      <c r="I537" s="26" t="s">
        <v>576</v>
      </c>
    </row>
    <row r="538" spans="1:9" x14ac:dyDescent="0.3">
      <c r="A538" s="24">
        <v>45356</v>
      </c>
      <c r="B538" t="s">
        <v>75</v>
      </c>
      <c r="C538" t="s">
        <v>77</v>
      </c>
      <c r="D538">
        <v>8</v>
      </c>
      <c r="E538" t="s">
        <v>54</v>
      </c>
      <c r="F538" t="s">
        <v>55</v>
      </c>
      <c r="G538" t="s">
        <v>596</v>
      </c>
      <c r="H538" t="s">
        <v>14</v>
      </c>
      <c r="I538" s="26" t="s">
        <v>576</v>
      </c>
    </row>
    <row r="539" spans="1:9" x14ac:dyDescent="0.3">
      <c r="A539" s="24">
        <v>45356</v>
      </c>
      <c r="B539" t="s">
        <v>79</v>
      </c>
      <c r="C539" t="s">
        <v>77</v>
      </c>
      <c r="D539">
        <v>7</v>
      </c>
      <c r="E539" t="s">
        <v>54</v>
      </c>
      <c r="F539" t="s">
        <v>55</v>
      </c>
      <c r="H539" t="s">
        <v>14</v>
      </c>
      <c r="I539" s="26" t="s">
        <v>576</v>
      </c>
    </row>
    <row r="540" spans="1:9" x14ac:dyDescent="0.3">
      <c r="A540" s="24">
        <v>45356</v>
      </c>
      <c r="B540" t="s">
        <v>80</v>
      </c>
      <c r="C540" t="s">
        <v>29</v>
      </c>
      <c r="D540">
        <v>1.77</v>
      </c>
      <c r="E540" t="s">
        <v>81</v>
      </c>
      <c r="F540" t="s">
        <v>31</v>
      </c>
      <c r="G540" t="s">
        <v>83</v>
      </c>
      <c r="H540" t="s">
        <v>14</v>
      </c>
      <c r="I540" s="26" t="s">
        <v>576</v>
      </c>
    </row>
    <row r="541" spans="1:9" x14ac:dyDescent="0.3">
      <c r="A541" s="24">
        <v>45356</v>
      </c>
      <c r="B541" t="s">
        <v>80</v>
      </c>
      <c r="C541" t="s">
        <v>29</v>
      </c>
      <c r="D541">
        <v>2.27</v>
      </c>
      <c r="E541" t="s">
        <v>81</v>
      </c>
      <c r="F541" t="s">
        <v>31</v>
      </c>
      <c r="G541" t="s">
        <v>84</v>
      </c>
      <c r="H541" t="s">
        <v>14</v>
      </c>
      <c r="I541" s="26" t="s">
        <v>576</v>
      </c>
    </row>
    <row r="542" spans="1:9" x14ac:dyDescent="0.3">
      <c r="A542" s="24">
        <v>45356</v>
      </c>
      <c r="B542" t="s">
        <v>80</v>
      </c>
      <c r="C542" t="s">
        <v>29</v>
      </c>
      <c r="D542">
        <v>3.52</v>
      </c>
      <c r="E542" t="s">
        <v>81</v>
      </c>
      <c r="F542" t="s">
        <v>31</v>
      </c>
      <c r="G542" t="s">
        <v>597</v>
      </c>
      <c r="H542" t="s">
        <v>14</v>
      </c>
      <c r="I542" s="26" t="s">
        <v>576</v>
      </c>
    </row>
    <row r="543" spans="1:9" x14ac:dyDescent="0.3">
      <c r="A543" s="24">
        <v>45356</v>
      </c>
      <c r="B543" t="s">
        <v>80</v>
      </c>
      <c r="C543" t="s">
        <v>58</v>
      </c>
      <c r="D543">
        <v>1</v>
      </c>
      <c r="E543" t="s">
        <v>54</v>
      </c>
      <c r="F543" t="s">
        <v>55</v>
      </c>
      <c r="G543" t="s">
        <v>598</v>
      </c>
      <c r="H543" t="s">
        <v>14</v>
      </c>
      <c r="I543" s="26" t="s">
        <v>576</v>
      </c>
    </row>
    <row r="544" spans="1:9" x14ac:dyDescent="0.3">
      <c r="A544" s="24">
        <v>45356</v>
      </c>
      <c r="B544" t="s">
        <v>88</v>
      </c>
      <c r="C544" t="s">
        <v>89</v>
      </c>
      <c r="D544">
        <v>3</v>
      </c>
      <c r="E544" t="s">
        <v>54</v>
      </c>
      <c r="F544" t="s">
        <v>55</v>
      </c>
      <c r="G544" t="s">
        <v>599</v>
      </c>
      <c r="H544" t="s">
        <v>14</v>
      </c>
      <c r="I544" s="26" t="s">
        <v>576</v>
      </c>
    </row>
    <row r="545" spans="1:9" x14ac:dyDescent="0.3">
      <c r="A545" s="24">
        <v>45356</v>
      </c>
      <c r="B545" t="s">
        <v>88</v>
      </c>
      <c r="C545" t="s">
        <v>394</v>
      </c>
      <c r="D545">
        <v>5</v>
      </c>
      <c r="E545" t="s">
        <v>54</v>
      </c>
      <c r="F545" t="s">
        <v>55</v>
      </c>
      <c r="G545" t="s">
        <v>600</v>
      </c>
      <c r="H545" t="s">
        <v>14</v>
      </c>
      <c r="I545" s="26" t="s">
        <v>576</v>
      </c>
    </row>
    <row r="546" spans="1:9" x14ac:dyDescent="0.3">
      <c r="A546" s="24">
        <v>45356</v>
      </c>
      <c r="B546" t="s">
        <v>99</v>
      </c>
      <c r="C546" t="s">
        <v>601</v>
      </c>
      <c r="D546">
        <v>9</v>
      </c>
      <c r="E546" t="s">
        <v>54</v>
      </c>
      <c r="F546" t="s">
        <v>55</v>
      </c>
      <c r="G546" t="s">
        <v>602</v>
      </c>
      <c r="H546" t="s">
        <v>14</v>
      </c>
      <c r="I546" s="26" t="s">
        <v>576</v>
      </c>
    </row>
    <row r="547" spans="1:9" x14ac:dyDescent="0.3">
      <c r="A547" s="24">
        <v>45356</v>
      </c>
      <c r="B547" t="s">
        <v>101</v>
      </c>
      <c r="C547" t="s">
        <v>442</v>
      </c>
      <c r="D547">
        <v>8</v>
      </c>
      <c r="E547" t="s">
        <v>54</v>
      </c>
      <c r="F547" t="s">
        <v>55</v>
      </c>
      <c r="G547" t="s">
        <v>603</v>
      </c>
      <c r="H547" t="s">
        <v>14</v>
      </c>
      <c r="I547" s="26" t="s">
        <v>576</v>
      </c>
    </row>
    <row r="548" spans="1:9" x14ac:dyDescent="0.3">
      <c r="A548" s="24">
        <v>45356</v>
      </c>
      <c r="B548" t="s">
        <v>113</v>
      </c>
      <c r="C548" t="s">
        <v>29</v>
      </c>
      <c r="D548">
        <v>0.13</v>
      </c>
      <c r="E548" t="s">
        <v>61</v>
      </c>
      <c r="F548" t="s">
        <v>31</v>
      </c>
      <c r="G548" t="s">
        <v>604</v>
      </c>
      <c r="H548" t="s">
        <v>14</v>
      </c>
      <c r="I548" s="26" t="s">
        <v>576</v>
      </c>
    </row>
    <row r="549" spans="1:9" x14ac:dyDescent="0.3">
      <c r="A549" s="24">
        <v>45356</v>
      </c>
      <c r="B549" t="s">
        <v>113</v>
      </c>
      <c r="C549" t="s">
        <v>29</v>
      </c>
      <c r="D549">
        <v>0.37</v>
      </c>
      <c r="E549" t="s">
        <v>114</v>
      </c>
      <c r="F549" t="s">
        <v>31</v>
      </c>
      <c r="G549" t="s">
        <v>115</v>
      </c>
      <c r="H549" t="s">
        <v>14</v>
      </c>
      <c r="I549" s="26" t="s">
        <v>576</v>
      </c>
    </row>
    <row r="550" spans="1:9" x14ac:dyDescent="0.3">
      <c r="A550" s="24">
        <v>45356</v>
      </c>
      <c r="B550" t="s">
        <v>113</v>
      </c>
      <c r="C550" t="s">
        <v>29</v>
      </c>
      <c r="D550">
        <v>0.55000000000000004</v>
      </c>
      <c r="E550" t="s">
        <v>127</v>
      </c>
      <c r="F550" t="s">
        <v>31</v>
      </c>
      <c r="G550" t="s">
        <v>605</v>
      </c>
      <c r="H550" t="s">
        <v>14</v>
      </c>
      <c r="I550" s="26" t="s">
        <v>576</v>
      </c>
    </row>
    <row r="551" spans="1:9" x14ac:dyDescent="0.3">
      <c r="A551" s="24">
        <v>45356</v>
      </c>
      <c r="B551" t="s">
        <v>113</v>
      </c>
      <c r="C551" t="s">
        <v>29</v>
      </c>
      <c r="D551">
        <v>1.37</v>
      </c>
      <c r="E551" t="s">
        <v>195</v>
      </c>
      <c r="F551" t="s">
        <v>31</v>
      </c>
      <c r="G551" t="s">
        <v>606</v>
      </c>
      <c r="H551" t="s">
        <v>14</v>
      </c>
      <c r="I551" s="26" t="s">
        <v>576</v>
      </c>
    </row>
    <row r="552" spans="1:9" x14ac:dyDescent="0.3">
      <c r="A552" s="24">
        <v>45356</v>
      </c>
      <c r="B552" t="s">
        <v>113</v>
      </c>
      <c r="C552" t="s">
        <v>53</v>
      </c>
      <c r="D552">
        <v>0.12</v>
      </c>
      <c r="E552" t="s">
        <v>54</v>
      </c>
      <c r="F552" t="s">
        <v>55</v>
      </c>
      <c r="G552" t="s">
        <v>607</v>
      </c>
      <c r="H552" t="s">
        <v>14</v>
      </c>
      <c r="I552" s="26" t="s">
        <v>576</v>
      </c>
    </row>
    <row r="553" spans="1:9" x14ac:dyDescent="0.3">
      <c r="A553" s="24">
        <v>45356</v>
      </c>
      <c r="B553" t="s">
        <v>113</v>
      </c>
      <c r="C553" t="s">
        <v>53</v>
      </c>
      <c r="D553">
        <v>0.15</v>
      </c>
      <c r="E553" t="s">
        <v>54</v>
      </c>
      <c r="F553" t="s">
        <v>55</v>
      </c>
      <c r="G553" t="s">
        <v>412</v>
      </c>
      <c r="H553" t="s">
        <v>14</v>
      </c>
      <c r="I553" s="26" t="s">
        <v>576</v>
      </c>
    </row>
    <row r="554" spans="1:9" x14ac:dyDescent="0.3">
      <c r="A554" s="24">
        <v>45356</v>
      </c>
      <c r="B554" t="s">
        <v>113</v>
      </c>
      <c r="C554" t="s">
        <v>53</v>
      </c>
      <c r="D554">
        <v>0.33</v>
      </c>
      <c r="E554" t="s">
        <v>54</v>
      </c>
      <c r="F554" t="s">
        <v>55</v>
      </c>
      <c r="G554" t="s">
        <v>608</v>
      </c>
      <c r="H554" t="s">
        <v>14</v>
      </c>
      <c r="I554" s="26" t="s">
        <v>576</v>
      </c>
    </row>
    <row r="555" spans="1:9" x14ac:dyDescent="0.3">
      <c r="A555" s="24">
        <v>45356</v>
      </c>
      <c r="B555" t="s">
        <v>113</v>
      </c>
      <c r="C555" t="s">
        <v>53</v>
      </c>
      <c r="D555">
        <v>0.35</v>
      </c>
      <c r="E555" t="s">
        <v>54</v>
      </c>
      <c r="F555" t="s">
        <v>55</v>
      </c>
      <c r="G555" t="s">
        <v>609</v>
      </c>
      <c r="H555" t="s">
        <v>14</v>
      </c>
      <c r="I555" s="26" t="s">
        <v>576</v>
      </c>
    </row>
    <row r="556" spans="1:9" x14ac:dyDescent="0.3">
      <c r="A556" s="24">
        <v>45356</v>
      </c>
      <c r="B556" t="s">
        <v>113</v>
      </c>
      <c r="C556" t="s">
        <v>53</v>
      </c>
      <c r="D556">
        <v>0.5</v>
      </c>
      <c r="E556" t="s">
        <v>54</v>
      </c>
      <c r="F556" t="s">
        <v>55</v>
      </c>
      <c r="G556" t="s">
        <v>110</v>
      </c>
      <c r="H556" t="s">
        <v>14</v>
      </c>
      <c r="I556" s="26" t="s">
        <v>576</v>
      </c>
    </row>
    <row r="557" spans="1:9" x14ac:dyDescent="0.3">
      <c r="A557" s="24">
        <v>45356</v>
      </c>
      <c r="B557" t="s">
        <v>113</v>
      </c>
      <c r="C557" t="s">
        <v>123</v>
      </c>
      <c r="D557">
        <v>0.47</v>
      </c>
      <c r="E557" t="s">
        <v>54</v>
      </c>
      <c r="F557" t="s">
        <v>55</v>
      </c>
      <c r="G557" t="s">
        <v>610</v>
      </c>
      <c r="H557" t="s">
        <v>14</v>
      </c>
      <c r="I557" s="26" t="s">
        <v>576</v>
      </c>
    </row>
    <row r="558" spans="1:9" x14ac:dyDescent="0.3">
      <c r="A558" s="24">
        <v>45356</v>
      </c>
      <c r="B558" t="s">
        <v>113</v>
      </c>
      <c r="C558" t="s">
        <v>148</v>
      </c>
      <c r="D558">
        <v>2.13</v>
      </c>
      <c r="E558" t="s">
        <v>54</v>
      </c>
      <c r="F558" t="s">
        <v>55</v>
      </c>
      <c r="G558" t="s">
        <v>611</v>
      </c>
      <c r="H558" t="s">
        <v>14</v>
      </c>
      <c r="I558" s="26" t="s">
        <v>576</v>
      </c>
    </row>
    <row r="559" spans="1:9" x14ac:dyDescent="0.3">
      <c r="A559" s="24">
        <v>45356</v>
      </c>
      <c r="B559" t="s">
        <v>113</v>
      </c>
      <c r="C559" t="s">
        <v>58</v>
      </c>
      <c r="D559">
        <v>1.53</v>
      </c>
      <c r="E559" t="s">
        <v>54</v>
      </c>
      <c r="F559" t="s">
        <v>55</v>
      </c>
      <c r="G559" t="s">
        <v>612</v>
      </c>
      <c r="H559" t="s">
        <v>14</v>
      </c>
      <c r="I559" s="26" t="s">
        <v>576</v>
      </c>
    </row>
    <row r="560" spans="1:9" x14ac:dyDescent="0.3">
      <c r="A560" s="24">
        <v>45356</v>
      </c>
      <c r="B560" t="s">
        <v>132</v>
      </c>
      <c r="C560" t="s">
        <v>53</v>
      </c>
      <c r="D560">
        <v>9.5299999999999994</v>
      </c>
      <c r="E560" t="s">
        <v>54</v>
      </c>
      <c r="F560" t="s">
        <v>55</v>
      </c>
      <c r="G560" t="e">
        <f>- Called ATO for Pinnacle CJs Gregory Hills - ASIC - ATO - Admin tasks   - Arranging for Office Space with Spaces</f>
        <v>#NAME?</v>
      </c>
      <c r="H560" t="s">
        <v>14</v>
      </c>
      <c r="I560" s="26" t="s">
        <v>576</v>
      </c>
    </row>
    <row r="561" spans="1:9" x14ac:dyDescent="0.3">
      <c r="A561" s="24">
        <v>45356</v>
      </c>
      <c r="B561" t="s">
        <v>134</v>
      </c>
      <c r="C561" t="s">
        <v>29</v>
      </c>
      <c r="D561">
        <v>0.87</v>
      </c>
      <c r="E561" t="s">
        <v>137</v>
      </c>
      <c r="F561" t="s">
        <v>31</v>
      </c>
      <c r="G561" t="s">
        <v>613</v>
      </c>
      <c r="H561" t="s">
        <v>14</v>
      </c>
      <c r="I561" s="26" t="s">
        <v>576</v>
      </c>
    </row>
    <row r="562" spans="1:9" x14ac:dyDescent="0.3">
      <c r="A562" s="24">
        <v>45356</v>
      </c>
      <c r="B562" t="s">
        <v>134</v>
      </c>
      <c r="C562" t="s">
        <v>29</v>
      </c>
      <c r="D562">
        <v>0.93</v>
      </c>
      <c r="E562" t="s">
        <v>139</v>
      </c>
      <c r="F562" t="s">
        <v>31</v>
      </c>
      <c r="G562" t="s">
        <v>614</v>
      </c>
      <c r="H562" t="s">
        <v>14</v>
      </c>
      <c r="I562" s="26" t="s">
        <v>576</v>
      </c>
    </row>
    <row r="563" spans="1:9" x14ac:dyDescent="0.3">
      <c r="A563" s="24">
        <v>45356</v>
      </c>
      <c r="B563" t="s">
        <v>134</v>
      </c>
      <c r="C563" t="s">
        <v>29</v>
      </c>
      <c r="D563">
        <v>1.5</v>
      </c>
      <c r="E563" t="s">
        <v>135</v>
      </c>
      <c r="F563" t="s">
        <v>31</v>
      </c>
      <c r="G563" t="s">
        <v>427</v>
      </c>
      <c r="H563" t="s">
        <v>14</v>
      </c>
      <c r="I563" s="26" t="s">
        <v>576</v>
      </c>
    </row>
    <row r="564" spans="1:9" x14ac:dyDescent="0.3">
      <c r="A564" s="24">
        <v>45356</v>
      </c>
      <c r="B564" t="s">
        <v>134</v>
      </c>
      <c r="C564" t="s">
        <v>29</v>
      </c>
      <c r="D564">
        <v>1.7</v>
      </c>
      <c r="E564" t="s">
        <v>420</v>
      </c>
      <c r="F564" t="s">
        <v>31</v>
      </c>
      <c r="G564" t="s">
        <v>427</v>
      </c>
      <c r="H564" t="s">
        <v>14</v>
      </c>
      <c r="I564" s="26" t="s">
        <v>576</v>
      </c>
    </row>
    <row r="565" spans="1:9" x14ac:dyDescent="0.3">
      <c r="A565" s="24">
        <v>45356</v>
      </c>
      <c r="B565" t="s">
        <v>134</v>
      </c>
      <c r="C565" t="s">
        <v>142</v>
      </c>
      <c r="D565">
        <v>0.67</v>
      </c>
      <c r="E565" t="s">
        <v>143</v>
      </c>
      <c r="F565" t="s">
        <v>31</v>
      </c>
      <c r="G565" t="s">
        <v>615</v>
      </c>
      <c r="H565" t="s">
        <v>14</v>
      </c>
      <c r="I565" s="26" t="s">
        <v>576</v>
      </c>
    </row>
    <row r="566" spans="1:9" x14ac:dyDescent="0.3">
      <c r="A566" s="24">
        <v>45356</v>
      </c>
      <c r="B566" t="s">
        <v>134</v>
      </c>
      <c r="C566" t="s">
        <v>142</v>
      </c>
      <c r="D566">
        <v>0.77</v>
      </c>
      <c r="E566" t="s">
        <v>143</v>
      </c>
      <c r="F566" t="s">
        <v>31</v>
      </c>
      <c r="G566" t="s">
        <v>427</v>
      </c>
      <c r="H566" t="s">
        <v>14</v>
      </c>
      <c r="I566" s="26" t="s">
        <v>576</v>
      </c>
    </row>
    <row r="567" spans="1:9" x14ac:dyDescent="0.3">
      <c r="A567" s="24">
        <v>45356</v>
      </c>
      <c r="B567" t="s">
        <v>134</v>
      </c>
      <c r="C567" t="s">
        <v>53</v>
      </c>
      <c r="D567">
        <v>0.5</v>
      </c>
      <c r="E567" t="s">
        <v>54</v>
      </c>
      <c r="F567" t="s">
        <v>55</v>
      </c>
      <c r="G567" t="s">
        <v>110</v>
      </c>
      <c r="H567" t="s">
        <v>14</v>
      </c>
      <c r="I567" s="26" t="s">
        <v>576</v>
      </c>
    </row>
    <row r="568" spans="1:9" x14ac:dyDescent="0.3">
      <c r="A568" s="24">
        <v>45356</v>
      </c>
      <c r="B568" t="s">
        <v>134</v>
      </c>
      <c r="C568" t="s">
        <v>148</v>
      </c>
      <c r="D568">
        <v>1.07</v>
      </c>
      <c r="E568" t="s">
        <v>54</v>
      </c>
      <c r="F568" t="s">
        <v>55</v>
      </c>
      <c r="G568" t="s">
        <v>616</v>
      </c>
      <c r="H568" t="s">
        <v>14</v>
      </c>
      <c r="I568" s="26" t="s">
        <v>576</v>
      </c>
    </row>
    <row r="569" spans="1:9" x14ac:dyDescent="0.3">
      <c r="A569" s="24">
        <v>45356</v>
      </c>
      <c r="B569" t="s">
        <v>150</v>
      </c>
      <c r="C569" t="s">
        <v>29</v>
      </c>
      <c r="D569">
        <v>0.23</v>
      </c>
      <c r="E569" t="s">
        <v>437</v>
      </c>
      <c r="F569" t="s">
        <v>31</v>
      </c>
      <c r="G569" t="s">
        <v>617</v>
      </c>
      <c r="H569" t="s">
        <v>14</v>
      </c>
      <c r="I569" s="26" t="s">
        <v>576</v>
      </c>
    </row>
    <row r="570" spans="1:9" x14ac:dyDescent="0.3">
      <c r="A570" s="24">
        <v>45356</v>
      </c>
      <c r="B570" t="s">
        <v>150</v>
      </c>
      <c r="C570" t="s">
        <v>29</v>
      </c>
      <c r="D570">
        <v>0.28000000000000003</v>
      </c>
      <c r="E570" t="s">
        <v>151</v>
      </c>
      <c r="F570" t="s">
        <v>31</v>
      </c>
      <c r="G570" t="s">
        <v>618</v>
      </c>
      <c r="H570" t="s">
        <v>14</v>
      </c>
      <c r="I570" s="26" t="s">
        <v>576</v>
      </c>
    </row>
    <row r="571" spans="1:9" x14ac:dyDescent="0.3">
      <c r="A571" s="24">
        <v>45356</v>
      </c>
      <c r="B571" t="s">
        <v>150</v>
      </c>
      <c r="C571" t="s">
        <v>29</v>
      </c>
      <c r="D571">
        <v>0.57999999999999996</v>
      </c>
      <c r="E571" t="s">
        <v>151</v>
      </c>
      <c r="F571" t="s">
        <v>31</v>
      </c>
      <c r="G571" t="s">
        <v>619</v>
      </c>
      <c r="H571" t="s">
        <v>14</v>
      </c>
      <c r="I571" s="26" t="s">
        <v>576</v>
      </c>
    </row>
    <row r="572" spans="1:9" x14ac:dyDescent="0.3">
      <c r="A572" s="24">
        <v>45356</v>
      </c>
      <c r="B572" t="s">
        <v>150</v>
      </c>
      <c r="C572" t="s">
        <v>29</v>
      </c>
      <c r="D572">
        <v>0.67</v>
      </c>
      <c r="E572" t="s">
        <v>151</v>
      </c>
      <c r="F572" t="s">
        <v>31</v>
      </c>
      <c r="G572" t="s">
        <v>152</v>
      </c>
      <c r="H572" t="s">
        <v>14</v>
      </c>
      <c r="I572" s="26" t="s">
        <v>576</v>
      </c>
    </row>
    <row r="573" spans="1:9" x14ac:dyDescent="0.3">
      <c r="A573" s="24">
        <v>45356</v>
      </c>
      <c r="B573" t="s">
        <v>150</v>
      </c>
      <c r="C573" t="s">
        <v>29</v>
      </c>
      <c r="D573">
        <v>0.73</v>
      </c>
      <c r="E573" t="s">
        <v>437</v>
      </c>
      <c r="F573" t="s">
        <v>31</v>
      </c>
      <c r="G573" t="s">
        <v>620</v>
      </c>
      <c r="H573" t="s">
        <v>14</v>
      </c>
      <c r="I573" s="26" t="s">
        <v>576</v>
      </c>
    </row>
    <row r="574" spans="1:9" x14ac:dyDescent="0.3">
      <c r="A574" s="24">
        <v>45356</v>
      </c>
      <c r="B574" t="s">
        <v>150</v>
      </c>
      <c r="C574" t="s">
        <v>85</v>
      </c>
      <c r="D574">
        <v>0.6</v>
      </c>
      <c r="E574" t="s">
        <v>156</v>
      </c>
      <c r="F574" t="s">
        <v>55</v>
      </c>
      <c r="G574" t="s">
        <v>621</v>
      </c>
      <c r="H574" t="s">
        <v>14</v>
      </c>
      <c r="I574" s="26" t="s">
        <v>576</v>
      </c>
    </row>
    <row r="575" spans="1:9" x14ac:dyDescent="0.3">
      <c r="A575" s="24">
        <v>45356</v>
      </c>
      <c r="B575" t="s">
        <v>150</v>
      </c>
      <c r="C575" t="s">
        <v>53</v>
      </c>
      <c r="D575">
        <v>0.23</v>
      </c>
      <c r="E575" t="s">
        <v>54</v>
      </c>
      <c r="F575" t="s">
        <v>55</v>
      </c>
      <c r="G575" t="s">
        <v>622</v>
      </c>
      <c r="H575" t="s">
        <v>14</v>
      </c>
      <c r="I575" s="26" t="s">
        <v>576</v>
      </c>
    </row>
    <row r="576" spans="1:9" x14ac:dyDescent="0.3">
      <c r="A576" s="24">
        <v>45356</v>
      </c>
      <c r="B576" t="s">
        <v>150</v>
      </c>
      <c r="C576" t="s">
        <v>148</v>
      </c>
      <c r="D576">
        <v>1.78</v>
      </c>
      <c r="E576" t="s">
        <v>54</v>
      </c>
      <c r="F576" t="s">
        <v>55</v>
      </c>
      <c r="G576" t="s">
        <v>623</v>
      </c>
      <c r="H576" t="s">
        <v>14</v>
      </c>
      <c r="I576" s="26" t="s">
        <v>576</v>
      </c>
    </row>
    <row r="577" spans="1:9" x14ac:dyDescent="0.3">
      <c r="A577" s="24">
        <v>45356</v>
      </c>
      <c r="B577" t="s">
        <v>150</v>
      </c>
      <c r="C577" t="s">
        <v>60</v>
      </c>
      <c r="D577">
        <v>2.88</v>
      </c>
      <c r="E577" t="s">
        <v>162</v>
      </c>
      <c r="F577" t="s">
        <v>31</v>
      </c>
      <c r="G577" t="s">
        <v>624</v>
      </c>
      <c r="H577" t="s">
        <v>14</v>
      </c>
      <c r="I577" s="26" t="s">
        <v>576</v>
      </c>
    </row>
    <row r="578" spans="1:9" x14ac:dyDescent="0.3">
      <c r="A578" s="24">
        <v>45356</v>
      </c>
      <c r="B578" t="s">
        <v>164</v>
      </c>
      <c r="C578" t="s">
        <v>85</v>
      </c>
      <c r="D578">
        <v>0.13</v>
      </c>
      <c r="E578" t="s">
        <v>96</v>
      </c>
      <c r="F578" t="s">
        <v>55</v>
      </c>
      <c r="G578" t="s">
        <v>625</v>
      </c>
      <c r="H578" t="s">
        <v>14</v>
      </c>
      <c r="I578" s="26" t="s">
        <v>576</v>
      </c>
    </row>
    <row r="579" spans="1:9" x14ac:dyDescent="0.3">
      <c r="A579" s="24">
        <v>45356</v>
      </c>
      <c r="B579" t="s">
        <v>164</v>
      </c>
      <c r="C579" t="s">
        <v>85</v>
      </c>
      <c r="D579">
        <v>2.0299999999999998</v>
      </c>
      <c r="E579" t="s">
        <v>96</v>
      </c>
      <c r="F579" t="s">
        <v>55</v>
      </c>
      <c r="G579" t="s">
        <v>626</v>
      </c>
      <c r="H579" t="s">
        <v>14</v>
      </c>
      <c r="I579" s="26" t="s">
        <v>576</v>
      </c>
    </row>
    <row r="580" spans="1:9" x14ac:dyDescent="0.3">
      <c r="A580" s="24">
        <v>45356</v>
      </c>
      <c r="B580" t="s">
        <v>164</v>
      </c>
      <c r="C580" t="s">
        <v>370</v>
      </c>
      <c r="D580">
        <v>0.65</v>
      </c>
      <c r="E580" t="s">
        <v>371</v>
      </c>
      <c r="F580" t="s">
        <v>31</v>
      </c>
      <c r="G580" t="s">
        <v>627</v>
      </c>
      <c r="H580" t="s">
        <v>14</v>
      </c>
      <c r="I580" s="26" t="s">
        <v>576</v>
      </c>
    </row>
    <row r="581" spans="1:9" x14ac:dyDescent="0.3">
      <c r="A581" s="24">
        <v>45356</v>
      </c>
      <c r="B581" t="s">
        <v>164</v>
      </c>
      <c r="C581" t="s">
        <v>53</v>
      </c>
      <c r="D581">
        <v>0.65</v>
      </c>
      <c r="E581" t="s">
        <v>54</v>
      </c>
      <c r="F581" t="s">
        <v>55</v>
      </c>
      <c r="G581" t="s">
        <v>628</v>
      </c>
      <c r="H581" t="s">
        <v>14</v>
      </c>
      <c r="I581" s="26" t="s">
        <v>576</v>
      </c>
    </row>
    <row r="582" spans="1:9" x14ac:dyDescent="0.3">
      <c r="A582" s="24">
        <v>45356</v>
      </c>
      <c r="B582" t="s">
        <v>164</v>
      </c>
      <c r="C582" t="s">
        <v>53</v>
      </c>
      <c r="D582">
        <v>3.82</v>
      </c>
      <c r="E582" t="s">
        <v>54</v>
      </c>
      <c r="F582" t="s">
        <v>55</v>
      </c>
      <c r="G582" t="s">
        <v>629</v>
      </c>
      <c r="H582" t="s">
        <v>14</v>
      </c>
      <c r="I582" s="26" t="s">
        <v>576</v>
      </c>
    </row>
    <row r="583" spans="1:9" x14ac:dyDescent="0.3">
      <c r="A583" s="24">
        <v>45356</v>
      </c>
      <c r="B583" t="s">
        <v>164</v>
      </c>
      <c r="C583" t="s">
        <v>148</v>
      </c>
      <c r="D583">
        <v>1.1200000000000001</v>
      </c>
      <c r="E583" t="s">
        <v>54</v>
      </c>
      <c r="F583" t="s">
        <v>55</v>
      </c>
      <c r="G583" t="s">
        <v>630</v>
      </c>
      <c r="H583" t="s">
        <v>14</v>
      </c>
      <c r="I583" s="26" t="s">
        <v>576</v>
      </c>
    </row>
    <row r="584" spans="1:9" x14ac:dyDescent="0.3">
      <c r="A584" s="24">
        <v>45356</v>
      </c>
      <c r="B584" t="s">
        <v>169</v>
      </c>
      <c r="C584" t="s">
        <v>29</v>
      </c>
      <c r="D584">
        <v>6.12</v>
      </c>
      <c r="E584" t="s">
        <v>170</v>
      </c>
      <c r="F584" t="s">
        <v>31</v>
      </c>
      <c r="H584" t="s">
        <v>14</v>
      </c>
      <c r="I584" s="26" t="s">
        <v>576</v>
      </c>
    </row>
    <row r="585" spans="1:9" x14ac:dyDescent="0.3">
      <c r="A585" s="24">
        <v>45356</v>
      </c>
      <c r="B585" t="s">
        <v>169</v>
      </c>
      <c r="C585" t="s">
        <v>148</v>
      </c>
      <c r="D585">
        <v>1.4</v>
      </c>
      <c r="E585" t="s">
        <v>54</v>
      </c>
      <c r="F585" t="s">
        <v>55</v>
      </c>
      <c r="G585" t="s">
        <v>631</v>
      </c>
      <c r="H585" t="s">
        <v>14</v>
      </c>
      <c r="I585" s="26" t="s">
        <v>576</v>
      </c>
    </row>
    <row r="586" spans="1:9" x14ac:dyDescent="0.3">
      <c r="A586" s="24">
        <v>45356</v>
      </c>
      <c r="B586" t="s">
        <v>169</v>
      </c>
      <c r="C586" t="s">
        <v>58</v>
      </c>
      <c r="D586">
        <v>0.5</v>
      </c>
      <c r="E586" t="s">
        <v>54</v>
      </c>
      <c r="F586" t="s">
        <v>55</v>
      </c>
      <c r="G586" t="s">
        <v>632</v>
      </c>
      <c r="H586" t="s">
        <v>14</v>
      </c>
      <c r="I586" s="26" t="s">
        <v>576</v>
      </c>
    </row>
    <row r="587" spans="1:9" x14ac:dyDescent="0.3">
      <c r="A587" s="24">
        <v>45356</v>
      </c>
      <c r="B587" t="s">
        <v>172</v>
      </c>
      <c r="C587" t="s">
        <v>173</v>
      </c>
      <c r="D587">
        <v>9.33</v>
      </c>
      <c r="E587" t="s">
        <v>162</v>
      </c>
      <c r="F587" t="s">
        <v>31</v>
      </c>
      <c r="G587" t="s">
        <v>633</v>
      </c>
      <c r="H587" t="s">
        <v>14</v>
      </c>
      <c r="I587" s="26" t="s">
        <v>576</v>
      </c>
    </row>
    <row r="588" spans="1:9" x14ac:dyDescent="0.3">
      <c r="A588" s="24">
        <v>45356</v>
      </c>
      <c r="B588" t="s">
        <v>175</v>
      </c>
      <c r="C588" t="s">
        <v>29</v>
      </c>
      <c r="D588">
        <v>0.15</v>
      </c>
      <c r="E588" t="s">
        <v>177</v>
      </c>
      <c r="F588" t="s">
        <v>31</v>
      </c>
      <c r="H588" t="s">
        <v>14</v>
      </c>
      <c r="I588" s="26" t="s">
        <v>576</v>
      </c>
    </row>
    <row r="589" spans="1:9" x14ac:dyDescent="0.3">
      <c r="A589" s="24">
        <v>45356</v>
      </c>
      <c r="B589" t="s">
        <v>175</v>
      </c>
      <c r="C589" t="s">
        <v>29</v>
      </c>
      <c r="D589">
        <v>0.3</v>
      </c>
      <c r="E589" t="s">
        <v>182</v>
      </c>
      <c r="F589" t="s">
        <v>31</v>
      </c>
      <c r="G589" t="s">
        <v>634</v>
      </c>
      <c r="H589" t="s">
        <v>14</v>
      </c>
      <c r="I589" s="26" t="s">
        <v>576</v>
      </c>
    </row>
    <row r="590" spans="1:9" x14ac:dyDescent="0.3">
      <c r="A590" s="24">
        <v>45356</v>
      </c>
      <c r="B590" t="s">
        <v>175</v>
      </c>
      <c r="C590" t="s">
        <v>29</v>
      </c>
      <c r="D590">
        <v>0.38</v>
      </c>
      <c r="E590" t="s">
        <v>176</v>
      </c>
      <c r="F590" t="s">
        <v>31</v>
      </c>
      <c r="G590" t="s">
        <v>635</v>
      </c>
      <c r="H590" t="s">
        <v>14</v>
      </c>
      <c r="I590" s="26" t="s">
        <v>576</v>
      </c>
    </row>
    <row r="591" spans="1:9" x14ac:dyDescent="0.3">
      <c r="A591" s="24">
        <v>45356</v>
      </c>
      <c r="B591" t="s">
        <v>175</v>
      </c>
      <c r="C591" t="s">
        <v>29</v>
      </c>
      <c r="D591">
        <v>0.53</v>
      </c>
      <c r="E591" t="s">
        <v>182</v>
      </c>
      <c r="F591" t="s">
        <v>31</v>
      </c>
      <c r="G591" t="s">
        <v>636</v>
      </c>
      <c r="H591" t="s">
        <v>14</v>
      </c>
      <c r="I591" s="26" t="s">
        <v>576</v>
      </c>
    </row>
    <row r="592" spans="1:9" x14ac:dyDescent="0.3">
      <c r="A592" s="24">
        <v>45356</v>
      </c>
      <c r="B592" t="s">
        <v>175</v>
      </c>
      <c r="C592" t="s">
        <v>29</v>
      </c>
      <c r="D592">
        <v>0.55000000000000004</v>
      </c>
      <c r="E592" t="s">
        <v>127</v>
      </c>
      <c r="F592" t="s">
        <v>31</v>
      </c>
      <c r="G592" t="s">
        <v>637</v>
      </c>
      <c r="H592" t="s">
        <v>14</v>
      </c>
      <c r="I592" s="26" t="s">
        <v>576</v>
      </c>
    </row>
    <row r="593" spans="1:9" x14ac:dyDescent="0.3">
      <c r="A593" s="24">
        <v>45356</v>
      </c>
      <c r="B593" t="s">
        <v>175</v>
      </c>
      <c r="C593" t="s">
        <v>29</v>
      </c>
      <c r="D593">
        <v>0.65</v>
      </c>
      <c r="E593" t="s">
        <v>182</v>
      </c>
      <c r="F593" t="s">
        <v>31</v>
      </c>
      <c r="G593" t="s">
        <v>638</v>
      </c>
      <c r="H593" t="s">
        <v>14</v>
      </c>
      <c r="I593" s="26" t="s">
        <v>576</v>
      </c>
    </row>
    <row r="594" spans="1:9" x14ac:dyDescent="0.3">
      <c r="A594" s="24">
        <v>45356</v>
      </c>
      <c r="B594" t="s">
        <v>175</v>
      </c>
      <c r="C594" t="s">
        <v>29</v>
      </c>
      <c r="D594">
        <v>1.05</v>
      </c>
      <c r="E594" t="s">
        <v>182</v>
      </c>
      <c r="F594" t="s">
        <v>31</v>
      </c>
      <c r="G594" t="s">
        <v>639</v>
      </c>
      <c r="H594" t="s">
        <v>14</v>
      </c>
      <c r="I594" s="26" t="s">
        <v>576</v>
      </c>
    </row>
    <row r="595" spans="1:9" x14ac:dyDescent="0.3">
      <c r="A595" s="24">
        <v>45356</v>
      </c>
      <c r="B595" t="s">
        <v>175</v>
      </c>
      <c r="C595" t="s">
        <v>29</v>
      </c>
      <c r="D595">
        <v>1.18</v>
      </c>
      <c r="E595" t="s">
        <v>185</v>
      </c>
      <c r="F595" t="s">
        <v>31</v>
      </c>
      <c r="H595" t="s">
        <v>14</v>
      </c>
      <c r="I595" s="26" t="s">
        <v>576</v>
      </c>
    </row>
    <row r="596" spans="1:9" x14ac:dyDescent="0.3">
      <c r="A596" s="24">
        <v>45356</v>
      </c>
      <c r="B596" t="s">
        <v>175</v>
      </c>
      <c r="C596" t="s">
        <v>29</v>
      </c>
      <c r="D596">
        <v>2.92</v>
      </c>
      <c r="E596" t="s">
        <v>127</v>
      </c>
      <c r="F596" t="s">
        <v>31</v>
      </c>
      <c r="H596" t="s">
        <v>14</v>
      </c>
      <c r="I596" s="26" t="s">
        <v>576</v>
      </c>
    </row>
    <row r="597" spans="1:9" x14ac:dyDescent="0.3">
      <c r="A597" s="24">
        <v>45356</v>
      </c>
      <c r="B597" t="s">
        <v>175</v>
      </c>
      <c r="C597" t="s">
        <v>148</v>
      </c>
      <c r="D597">
        <v>1.02</v>
      </c>
      <c r="E597" t="s">
        <v>54</v>
      </c>
      <c r="F597" t="s">
        <v>55</v>
      </c>
      <c r="G597" t="s">
        <v>640</v>
      </c>
      <c r="H597" t="s">
        <v>14</v>
      </c>
      <c r="I597" s="26" t="s">
        <v>576</v>
      </c>
    </row>
    <row r="598" spans="1:9" x14ac:dyDescent="0.3">
      <c r="A598" s="24">
        <v>45356</v>
      </c>
      <c r="B598" t="s">
        <v>188</v>
      </c>
      <c r="C598" t="s">
        <v>454</v>
      </c>
      <c r="D598">
        <v>8</v>
      </c>
      <c r="E598" t="s">
        <v>54</v>
      </c>
      <c r="F598" t="s">
        <v>55</v>
      </c>
      <c r="G598" t="s">
        <v>189</v>
      </c>
      <c r="H598" t="s">
        <v>14</v>
      </c>
      <c r="I598" s="26" t="s">
        <v>576</v>
      </c>
    </row>
    <row r="599" spans="1:9" x14ac:dyDescent="0.3">
      <c r="A599" s="24">
        <v>45356</v>
      </c>
      <c r="B599" t="s">
        <v>190</v>
      </c>
      <c r="C599" t="s">
        <v>89</v>
      </c>
      <c r="D599">
        <v>8</v>
      </c>
      <c r="E599" t="s">
        <v>54</v>
      </c>
      <c r="F599" t="s">
        <v>55</v>
      </c>
      <c r="H599" t="s">
        <v>14</v>
      </c>
      <c r="I599" s="26" t="s">
        <v>576</v>
      </c>
    </row>
    <row r="600" spans="1:9" x14ac:dyDescent="0.3">
      <c r="A600" s="24">
        <v>45356</v>
      </c>
      <c r="B600" t="s">
        <v>191</v>
      </c>
      <c r="C600" t="s">
        <v>89</v>
      </c>
      <c r="D600">
        <v>8</v>
      </c>
      <c r="E600" t="s">
        <v>54</v>
      </c>
      <c r="F600" t="s">
        <v>55</v>
      </c>
      <c r="G600" t="s">
        <v>641</v>
      </c>
      <c r="H600" t="s">
        <v>14</v>
      </c>
      <c r="I600" s="26" t="s">
        <v>576</v>
      </c>
    </row>
    <row r="601" spans="1:9" x14ac:dyDescent="0.3">
      <c r="A601" s="24">
        <v>45356</v>
      </c>
      <c r="B601" t="s">
        <v>193</v>
      </c>
      <c r="C601" t="s">
        <v>29</v>
      </c>
      <c r="D601">
        <v>7.0000000000000007E-2</v>
      </c>
      <c r="E601" t="s">
        <v>116</v>
      </c>
      <c r="F601" t="s">
        <v>31</v>
      </c>
      <c r="G601" t="s">
        <v>642</v>
      </c>
      <c r="H601" t="s">
        <v>14</v>
      </c>
      <c r="I601" s="26" t="s">
        <v>576</v>
      </c>
    </row>
    <row r="602" spans="1:9" x14ac:dyDescent="0.3">
      <c r="A602" s="24">
        <v>45356</v>
      </c>
      <c r="B602" t="s">
        <v>193</v>
      </c>
      <c r="C602" t="s">
        <v>29</v>
      </c>
      <c r="D602">
        <v>0.12</v>
      </c>
      <c r="E602" t="s">
        <v>227</v>
      </c>
      <c r="F602" t="s">
        <v>31</v>
      </c>
      <c r="G602" t="s">
        <v>643</v>
      </c>
      <c r="H602" t="s">
        <v>14</v>
      </c>
      <c r="I602" s="26" t="s">
        <v>576</v>
      </c>
    </row>
    <row r="603" spans="1:9" x14ac:dyDescent="0.3">
      <c r="A603" s="24">
        <v>45356</v>
      </c>
      <c r="B603" t="s">
        <v>193</v>
      </c>
      <c r="C603" t="s">
        <v>29</v>
      </c>
      <c r="D603">
        <v>0.13</v>
      </c>
      <c r="E603" t="s">
        <v>229</v>
      </c>
      <c r="F603" t="s">
        <v>31</v>
      </c>
      <c r="G603" t="s">
        <v>644</v>
      </c>
      <c r="H603" t="s">
        <v>14</v>
      </c>
      <c r="I603" s="26" t="s">
        <v>576</v>
      </c>
    </row>
    <row r="604" spans="1:9" x14ac:dyDescent="0.3">
      <c r="A604" s="24">
        <v>45356</v>
      </c>
      <c r="B604" t="s">
        <v>193</v>
      </c>
      <c r="C604" t="s">
        <v>29</v>
      </c>
      <c r="D604">
        <v>0.17</v>
      </c>
      <c r="E604" t="s">
        <v>102</v>
      </c>
      <c r="F604" t="s">
        <v>31</v>
      </c>
      <c r="G604" t="s">
        <v>645</v>
      </c>
      <c r="H604" t="s">
        <v>14</v>
      </c>
      <c r="I604" s="26" t="s">
        <v>576</v>
      </c>
    </row>
    <row r="605" spans="1:9" x14ac:dyDescent="0.3">
      <c r="A605" s="24">
        <v>45356</v>
      </c>
      <c r="B605" t="s">
        <v>193</v>
      </c>
      <c r="C605" t="s">
        <v>29</v>
      </c>
      <c r="D605">
        <v>0.2</v>
      </c>
      <c r="E605" t="s">
        <v>104</v>
      </c>
      <c r="F605" t="s">
        <v>31</v>
      </c>
      <c r="G605" t="s">
        <v>646</v>
      </c>
      <c r="H605" t="s">
        <v>14</v>
      </c>
      <c r="I605" s="26" t="s">
        <v>576</v>
      </c>
    </row>
    <row r="606" spans="1:9" x14ac:dyDescent="0.3">
      <c r="A606" s="24">
        <v>45356</v>
      </c>
      <c r="B606" t="s">
        <v>193</v>
      </c>
      <c r="C606" t="s">
        <v>29</v>
      </c>
      <c r="D606">
        <v>0.35</v>
      </c>
      <c r="E606" t="s">
        <v>104</v>
      </c>
      <c r="F606" t="s">
        <v>31</v>
      </c>
      <c r="G606" t="s">
        <v>647</v>
      </c>
      <c r="H606" t="s">
        <v>14</v>
      </c>
      <c r="I606" s="26" t="s">
        <v>576</v>
      </c>
    </row>
    <row r="607" spans="1:9" x14ac:dyDescent="0.3">
      <c r="A607" s="24">
        <v>45356</v>
      </c>
      <c r="B607" t="s">
        <v>193</v>
      </c>
      <c r="C607" t="s">
        <v>29</v>
      </c>
      <c r="D607">
        <v>0.37</v>
      </c>
      <c r="E607" t="s">
        <v>102</v>
      </c>
      <c r="F607" t="s">
        <v>31</v>
      </c>
      <c r="G607" t="s">
        <v>648</v>
      </c>
      <c r="H607" t="s">
        <v>14</v>
      </c>
      <c r="I607" s="26" t="s">
        <v>576</v>
      </c>
    </row>
    <row r="608" spans="1:9" x14ac:dyDescent="0.3">
      <c r="A608" s="24">
        <v>45356</v>
      </c>
      <c r="B608" t="s">
        <v>193</v>
      </c>
      <c r="C608" t="s">
        <v>202</v>
      </c>
      <c r="D608">
        <v>0.27</v>
      </c>
      <c r="E608" t="s">
        <v>203</v>
      </c>
      <c r="F608" t="s">
        <v>31</v>
      </c>
      <c r="G608" t="s">
        <v>649</v>
      </c>
      <c r="H608" t="s">
        <v>14</v>
      </c>
      <c r="I608" s="26" t="s">
        <v>576</v>
      </c>
    </row>
    <row r="609" spans="1:9" x14ac:dyDescent="0.3">
      <c r="A609" s="24">
        <v>45356</v>
      </c>
      <c r="B609" t="s">
        <v>193</v>
      </c>
      <c r="C609" t="s">
        <v>53</v>
      </c>
      <c r="D609">
        <v>0.17</v>
      </c>
      <c r="E609" t="s">
        <v>54</v>
      </c>
      <c r="F609" t="s">
        <v>55</v>
      </c>
      <c r="G609" t="s">
        <v>650</v>
      </c>
      <c r="H609" t="s">
        <v>14</v>
      </c>
      <c r="I609" s="26" t="s">
        <v>576</v>
      </c>
    </row>
    <row r="610" spans="1:9" x14ac:dyDescent="0.3">
      <c r="A610" s="24">
        <v>45356</v>
      </c>
      <c r="B610" t="s">
        <v>193</v>
      </c>
      <c r="C610" t="s">
        <v>53</v>
      </c>
      <c r="D610">
        <v>0.25</v>
      </c>
      <c r="E610" t="s">
        <v>54</v>
      </c>
      <c r="F610" t="s">
        <v>55</v>
      </c>
      <c r="G610" t="s">
        <v>651</v>
      </c>
      <c r="H610" t="s">
        <v>14</v>
      </c>
      <c r="I610" s="26" t="s">
        <v>576</v>
      </c>
    </row>
    <row r="611" spans="1:9" x14ac:dyDescent="0.3">
      <c r="A611" s="24">
        <v>45356</v>
      </c>
      <c r="B611" t="s">
        <v>193</v>
      </c>
      <c r="C611" t="s">
        <v>53</v>
      </c>
      <c r="D611">
        <v>0.27</v>
      </c>
      <c r="E611" t="s">
        <v>54</v>
      </c>
      <c r="F611" t="s">
        <v>55</v>
      </c>
      <c r="G611" t="s">
        <v>652</v>
      </c>
      <c r="H611" t="s">
        <v>14</v>
      </c>
      <c r="I611" s="26" t="s">
        <v>576</v>
      </c>
    </row>
    <row r="612" spans="1:9" x14ac:dyDescent="0.3">
      <c r="A612" s="24">
        <v>45356</v>
      </c>
      <c r="B612" t="s">
        <v>193</v>
      </c>
      <c r="C612" t="s">
        <v>53</v>
      </c>
      <c r="D612">
        <v>0.42</v>
      </c>
      <c r="E612" t="s">
        <v>54</v>
      </c>
      <c r="F612" t="s">
        <v>55</v>
      </c>
      <c r="G612" t="s">
        <v>243</v>
      </c>
      <c r="H612" t="s">
        <v>14</v>
      </c>
      <c r="I612" s="26" t="s">
        <v>576</v>
      </c>
    </row>
    <row r="613" spans="1:9" x14ac:dyDescent="0.3">
      <c r="A613" s="24">
        <v>45356</v>
      </c>
      <c r="B613" t="s">
        <v>193</v>
      </c>
      <c r="C613" t="s">
        <v>53</v>
      </c>
      <c r="D613">
        <v>0.45</v>
      </c>
      <c r="E613" t="s">
        <v>54</v>
      </c>
      <c r="F613" t="s">
        <v>55</v>
      </c>
      <c r="G613" t="s">
        <v>653</v>
      </c>
      <c r="H613" t="s">
        <v>14</v>
      </c>
      <c r="I613" s="26" t="s">
        <v>576</v>
      </c>
    </row>
    <row r="614" spans="1:9" x14ac:dyDescent="0.3">
      <c r="A614" s="24">
        <v>45356</v>
      </c>
      <c r="B614" t="s">
        <v>193</v>
      </c>
      <c r="C614" t="s">
        <v>225</v>
      </c>
      <c r="D614">
        <v>7.0000000000000007E-2</v>
      </c>
      <c r="E614" t="s">
        <v>104</v>
      </c>
      <c r="F614" t="s">
        <v>31</v>
      </c>
      <c r="G614" t="s">
        <v>654</v>
      </c>
      <c r="H614" t="s">
        <v>14</v>
      </c>
      <c r="I614" s="26" t="s">
        <v>576</v>
      </c>
    </row>
    <row r="615" spans="1:9" x14ac:dyDescent="0.3">
      <c r="A615" s="24">
        <v>45356</v>
      </c>
      <c r="B615" t="s">
        <v>193</v>
      </c>
      <c r="C615" t="s">
        <v>58</v>
      </c>
      <c r="D615">
        <v>0.22</v>
      </c>
      <c r="E615" t="s">
        <v>54</v>
      </c>
      <c r="F615" t="s">
        <v>55</v>
      </c>
      <c r="G615" t="s">
        <v>655</v>
      </c>
      <c r="H615" t="s">
        <v>14</v>
      </c>
      <c r="I615" s="26" t="s">
        <v>576</v>
      </c>
    </row>
    <row r="616" spans="1:9" x14ac:dyDescent="0.3">
      <c r="A616" s="24">
        <v>45356</v>
      </c>
      <c r="B616" t="s">
        <v>193</v>
      </c>
      <c r="C616" t="s">
        <v>60</v>
      </c>
      <c r="D616">
        <v>0.48</v>
      </c>
      <c r="E616" t="s">
        <v>203</v>
      </c>
      <c r="F616" t="s">
        <v>31</v>
      </c>
      <c r="G616" t="s">
        <v>656</v>
      </c>
      <c r="H616" t="s">
        <v>14</v>
      </c>
      <c r="I616" s="26" t="s">
        <v>576</v>
      </c>
    </row>
    <row r="617" spans="1:9" x14ac:dyDescent="0.3">
      <c r="A617" s="24">
        <v>45356</v>
      </c>
      <c r="B617" t="s">
        <v>193</v>
      </c>
      <c r="C617" t="s">
        <v>60</v>
      </c>
      <c r="D617">
        <v>1.08</v>
      </c>
      <c r="E617" t="s">
        <v>657</v>
      </c>
      <c r="F617" t="s">
        <v>31</v>
      </c>
      <c r="G617" t="s">
        <v>658</v>
      </c>
      <c r="H617" t="s">
        <v>14</v>
      </c>
      <c r="I617" s="26" t="s">
        <v>576</v>
      </c>
    </row>
    <row r="618" spans="1:9" x14ac:dyDescent="0.3">
      <c r="A618" s="24">
        <v>45356</v>
      </c>
      <c r="B618" t="s">
        <v>193</v>
      </c>
      <c r="C618" t="s">
        <v>60</v>
      </c>
      <c r="D618">
        <v>1.58</v>
      </c>
      <c r="E618" t="s">
        <v>162</v>
      </c>
      <c r="F618" t="s">
        <v>31</v>
      </c>
      <c r="G618" t="s">
        <v>659</v>
      </c>
      <c r="H618" t="s">
        <v>14</v>
      </c>
      <c r="I618" s="26" t="s">
        <v>576</v>
      </c>
    </row>
    <row r="619" spans="1:9" x14ac:dyDescent="0.3">
      <c r="A619" s="24">
        <v>45356</v>
      </c>
      <c r="B619" t="s">
        <v>212</v>
      </c>
      <c r="C619" t="s">
        <v>85</v>
      </c>
      <c r="D619">
        <v>0.75</v>
      </c>
      <c r="E619" t="s">
        <v>54</v>
      </c>
      <c r="F619" t="s">
        <v>55</v>
      </c>
      <c r="G619" t="s">
        <v>660</v>
      </c>
      <c r="H619" t="s">
        <v>14</v>
      </c>
      <c r="I619" s="26" t="s">
        <v>576</v>
      </c>
    </row>
    <row r="620" spans="1:9" x14ac:dyDescent="0.3">
      <c r="A620" s="24">
        <v>45356</v>
      </c>
      <c r="B620" t="s">
        <v>212</v>
      </c>
      <c r="C620" t="s">
        <v>53</v>
      </c>
      <c r="D620">
        <v>0.25</v>
      </c>
      <c r="E620" t="s">
        <v>54</v>
      </c>
      <c r="F620" t="s">
        <v>55</v>
      </c>
      <c r="G620" t="s">
        <v>221</v>
      </c>
      <c r="H620" t="s">
        <v>14</v>
      </c>
      <c r="I620" s="26" t="s">
        <v>576</v>
      </c>
    </row>
    <row r="621" spans="1:9" x14ac:dyDescent="0.3">
      <c r="A621" s="24">
        <v>45356</v>
      </c>
      <c r="B621" t="s">
        <v>212</v>
      </c>
      <c r="C621" t="s">
        <v>53</v>
      </c>
      <c r="D621">
        <v>0.25</v>
      </c>
      <c r="E621" t="s">
        <v>54</v>
      </c>
      <c r="F621" t="s">
        <v>55</v>
      </c>
      <c r="G621" t="s">
        <v>222</v>
      </c>
      <c r="H621" t="s">
        <v>14</v>
      </c>
      <c r="I621" s="26" t="s">
        <v>576</v>
      </c>
    </row>
    <row r="622" spans="1:9" x14ac:dyDescent="0.3">
      <c r="A622" s="24">
        <v>45356</v>
      </c>
      <c r="B622" t="s">
        <v>212</v>
      </c>
      <c r="C622" t="s">
        <v>53</v>
      </c>
      <c r="D622">
        <v>0.28000000000000003</v>
      </c>
      <c r="E622" t="s">
        <v>54</v>
      </c>
      <c r="F622" t="s">
        <v>55</v>
      </c>
      <c r="G622" t="s">
        <v>661</v>
      </c>
      <c r="H622" t="s">
        <v>14</v>
      </c>
      <c r="I622" s="26" t="s">
        <v>576</v>
      </c>
    </row>
    <row r="623" spans="1:9" x14ac:dyDescent="0.3">
      <c r="A623" s="24">
        <v>45356</v>
      </c>
      <c r="B623" t="s">
        <v>212</v>
      </c>
      <c r="C623" t="s">
        <v>53</v>
      </c>
      <c r="D623">
        <v>0.5</v>
      </c>
      <c r="E623" t="s">
        <v>54</v>
      </c>
      <c r="F623" t="s">
        <v>55</v>
      </c>
      <c r="G623" t="s">
        <v>662</v>
      </c>
      <c r="H623" t="s">
        <v>14</v>
      </c>
      <c r="I623" s="26" t="s">
        <v>576</v>
      </c>
    </row>
    <row r="624" spans="1:9" x14ac:dyDescent="0.3">
      <c r="A624" s="24">
        <v>45356</v>
      </c>
      <c r="B624" t="s">
        <v>212</v>
      </c>
      <c r="C624" t="s">
        <v>53</v>
      </c>
      <c r="D624">
        <v>0.75</v>
      </c>
      <c r="E624" t="s">
        <v>54</v>
      </c>
      <c r="F624" t="s">
        <v>55</v>
      </c>
      <c r="G624" t="s">
        <v>663</v>
      </c>
      <c r="H624" t="s">
        <v>14</v>
      </c>
      <c r="I624" s="26" t="s">
        <v>576</v>
      </c>
    </row>
    <row r="625" spans="1:9" x14ac:dyDescent="0.3">
      <c r="A625" s="24">
        <v>45356</v>
      </c>
      <c r="B625" t="s">
        <v>212</v>
      </c>
      <c r="C625" t="s">
        <v>53</v>
      </c>
      <c r="D625">
        <v>1.23</v>
      </c>
      <c r="E625" t="s">
        <v>54</v>
      </c>
      <c r="F625" t="s">
        <v>55</v>
      </c>
      <c r="G625" t="s">
        <v>664</v>
      </c>
      <c r="H625" t="s">
        <v>14</v>
      </c>
      <c r="I625" s="26" t="s">
        <v>576</v>
      </c>
    </row>
    <row r="626" spans="1:9" x14ac:dyDescent="0.3">
      <c r="A626" s="24">
        <v>45356</v>
      </c>
      <c r="B626" t="s">
        <v>212</v>
      </c>
      <c r="C626" t="s">
        <v>225</v>
      </c>
      <c r="D626">
        <v>0.13</v>
      </c>
      <c r="E626" t="s">
        <v>42</v>
      </c>
      <c r="F626" t="s">
        <v>31</v>
      </c>
      <c r="G626" t="s">
        <v>228</v>
      </c>
      <c r="H626" t="s">
        <v>14</v>
      </c>
      <c r="I626" s="26" t="s">
        <v>576</v>
      </c>
    </row>
    <row r="627" spans="1:9" x14ac:dyDescent="0.3">
      <c r="A627" s="24">
        <v>45356</v>
      </c>
      <c r="B627" t="s">
        <v>212</v>
      </c>
      <c r="C627" t="s">
        <v>225</v>
      </c>
      <c r="D627">
        <v>0.13</v>
      </c>
      <c r="E627" t="s">
        <v>665</v>
      </c>
      <c r="F627" t="s">
        <v>31</v>
      </c>
      <c r="H627" t="s">
        <v>14</v>
      </c>
      <c r="I627" s="26" t="s">
        <v>576</v>
      </c>
    </row>
    <row r="628" spans="1:9" x14ac:dyDescent="0.3">
      <c r="A628" s="24">
        <v>45356</v>
      </c>
      <c r="B628" t="s">
        <v>212</v>
      </c>
      <c r="C628" t="s">
        <v>225</v>
      </c>
      <c r="D628">
        <v>0.15</v>
      </c>
      <c r="E628" t="s">
        <v>666</v>
      </c>
      <c r="F628" t="s">
        <v>31</v>
      </c>
      <c r="H628" t="s">
        <v>14</v>
      </c>
      <c r="I628" s="26" t="s">
        <v>576</v>
      </c>
    </row>
    <row r="629" spans="1:9" x14ac:dyDescent="0.3">
      <c r="A629" s="24">
        <v>45356</v>
      </c>
      <c r="B629" t="s">
        <v>212</v>
      </c>
      <c r="C629" t="s">
        <v>225</v>
      </c>
      <c r="D629">
        <v>0.15</v>
      </c>
      <c r="E629" t="s">
        <v>524</v>
      </c>
      <c r="F629" t="s">
        <v>31</v>
      </c>
      <c r="H629" t="s">
        <v>14</v>
      </c>
      <c r="I629" s="26" t="s">
        <v>576</v>
      </c>
    </row>
    <row r="630" spans="1:9" x14ac:dyDescent="0.3">
      <c r="A630" s="24">
        <v>45356</v>
      </c>
      <c r="B630" t="s">
        <v>212</v>
      </c>
      <c r="C630" t="s">
        <v>225</v>
      </c>
      <c r="D630">
        <v>0.15</v>
      </c>
      <c r="E630" t="s">
        <v>116</v>
      </c>
      <c r="F630" t="s">
        <v>31</v>
      </c>
      <c r="H630" t="s">
        <v>14</v>
      </c>
      <c r="I630" s="26" t="s">
        <v>576</v>
      </c>
    </row>
    <row r="631" spans="1:9" x14ac:dyDescent="0.3">
      <c r="A631" s="24">
        <v>45356</v>
      </c>
      <c r="B631" t="s">
        <v>212</v>
      </c>
      <c r="C631" t="s">
        <v>148</v>
      </c>
      <c r="D631">
        <v>0.22</v>
      </c>
      <c r="E631" t="s">
        <v>54</v>
      </c>
      <c r="F631" t="s">
        <v>55</v>
      </c>
      <c r="G631" t="s">
        <v>667</v>
      </c>
      <c r="H631" t="s">
        <v>14</v>
      </c>
      <c r="I631" s="26" t="s">
        <v>576</v>
      </c>
    </row>
    <row r="632" spans="1:9" x14ac:dyDescent="0.3">
      <c r="A632" s="24">
        <v>45356</v>
      </c>
      <c r="B632" t="s">
        <v>212</v>
      </c>
      <c r="C632" t="s">
        <v>148</v>
      </c>
      <c r="D632">
        <v>0.25</v>
      </c>
      <c r="E632" t="s">
        <v>54</v>
      </c>
      <c r="F632" t="s">
        <v>55</v>
      </c>
      <c r="G632" t="s">
        <v>668</v>
      </c>
      <c r="H632" t="s">
        <v>14</v>
      </c>
      <c r="I632" s="26" t="s">
        <v>576</v>
      </c>
    </row>
    <row r="633" spans="1:9" x14ac:dyDescent="0.3">
      <c r="A633" s="24">
        <v>45356</v>
      </c>
      <c r="B633" t="s">
        <v>212</v>
      </c>
      <c r="C633" t="s">
        <v>148</v>
      </c>
      <c r="D633">
        <v>0.33</v>
      </c>
      <c r="E633" t="s">
        <v>54</v>
      </c>
      <c r="F633" t="s">
        <v>55</v>
      </c>
      <c r="G633" t="s">
        <v>669</v>
      </c>
      <c r="H633" t="s">
        <v>14</v>
      </c>
      <c r="I633" s="26" t="s">
        <v>576</v>
      </c>
    </row>
    <row r="634" spans="1:9" x14ac:dyDescent="0.3">
      <c r="A634" s="24">
        <v>45356</v>
      </c>
      <c r="B634" t="s">
        <v>212</v>
      </c>
      <c r="C634" t="s">
        <v>148</v>
      </c>
      <c r="D634">
        <v>0.98</v>
      </c>
      <c r="E634" t="s">
        <v>54</v>
      </c>
      <c r="F634" t="s">
        <v>55</v>
      </c>
      <c r="G634" t="s">
        <v>670</v>
      </c>
      <c r="H634" t="s">
        <v>14</v>
      </c>
      <c r="I634" s="26" t="s">
        <v>576</v>
      </c>
    </row>
    <row r="635" spans="1:9" x14ac:dyDescent="0.3">
      <c r="A635" s="24">
        <v>45356</v>
      </c>
      <c r="B635" t="s">
        <v>212</v>
      </c>
      <c r="C635" t="s">
        <v>58</v>
      </c>
      <c r="D635">
        <v>0.57999999999999996</v>
      </c>
      <c r="E635" t="s">
        <v>54</v>
      </c>
      <c r="F635" t="s">
        <v>55</v>
      </c>
      <c r="G635" t="s">
        <v>671</v>
      </c>
      <c r="H635" t="s">
        <v>14</v>
      </c>
      <c r="I635" s="26" t="s">
        <v>576</v>
      </c>
    </row>
    <row r="636" spans="1:9" x14ac:dyDescent="0.3">
      <c r="A636" s="24">
        <v>45356</v>
      </c>
      <c r="B636" t="s">
        <v>212</v>
      </c>
      <c r="C636" t="s">
        <v>235</v>
      </c>
      <c r="D636">
        <v>0.92</v>
      </c>
      <c r="E636" t="s">
        <v>54</v>
      </c>
      <c r="F636" t="s">
        <v>55</v>
      </c>
      <c r="G636" t="s">
        <v>672</v>
      </c>
      <c r="H636" t="s">
        <v>14</v>
      </c>
      <c r="I636" s="26" t="s">
        <v>576</v>
      </c>
    </row>
    <row r="637" spans="1:9" x14ac:dyDescent="0.3">
      <c r="A637" s="24">
        <v>45356</v>
      </c>
      <c r="B637" t="s">
        <v>498</v>
      </c>
      <c r="C637" t="s">
        <v>123</v>
      </c>
      <c r="D637">
        <v>2</v>
      </c>
      <c r="E637" t="s">
        <v>54</v>
      </c>
      <c r="F637" t="s">
        <v>55</v>
      </c>
      <c r="G637" t="s">
        <v>673</v>
      </c>
      <c r="H637" t="s">
        <v>14</v>
      </c>
      <c r="I637" s="26" t="s">
        <v>576</v>
      </c>
    </row>
    <row r="638" spans="1:9" x14ac:dyDescent="0.3">
      <c r="A638" s="24">
        <v>45356</v>
      </c>
      <c r="B638" t="s">
        <v>498</v>
      </c>
      <c r="C638" t="s">
        <v>173</v>
      </c>
      <c r="D638">
        <v>6</v>
      </c>
      <c r="E638" t="s">
        <v>49</v>
      </c>
      <c r="F638" t="s">
        <v>31</v>
      </c>
      <c r="G638" t="s">
        <v>674</v>
      </c>
      <c r="H638" t="s">
        <v>14</v>
      </c>
      <c r="I638" s="26" t="s">
        <v>576</v>
      </c>
    </row>
    <row r="639" spans="1:9" x14ac:dyDescent="0.3">
      <c r="A639" s="24">
        <v>45356</v>
      </c>
      <c r="B639" t="s">
        <v>240</v>
      </c>
      <c r="C639" t="s">
        <v>29</v>
      </c>
      <c r="D639">
        <v>0.73</v>
      </c>
      <c r="E639" t="s">
        <v>241</v>
      </c>
      <c r="F639" t="s">
        <v>31</v>
      </c>
      <c r="H639" t="s">
        <v>14</v>
      </c>
      <c r="I639" s="26" t="s">
        <v>576</v>
      </c>
    </row>
    <row r="640" spans="1:9" x14ac:dyDescent="0.3">
      <c r="A640" s="24">
        <v>45356</v>
      </c>
      <c r="B640" t="s">
        <v>240</v>
      </c>
      <c r="C640" t="s">
        <v>29</v>
      </c>
      <c r="D640">
        <v>0.78</v>
      </c>
      <c r="E640" t="s">
        <v>217</v>
      </c>
      <c r="F640" t="s">
        <v>31</v>
      </c>
      <c r="H640" t="s">
        <v>14</v>
      </c>
      <c r="I640" s="26" t="s">
        <v>576</v>
      </c>
    </row>
    <row r="641" spans="1:9" x14ac:dyDescent="0.3">
      <c r="A641" s="24">
        <v>45356</v>
      </c>
      <c r="B641" t="s">
        <v>240</v>
      </c>
      <c r="C641" t="s">
        <v>29</v>
      </c>
      <c r="D641">
        <v>7.38</v>
      </c>
      <c r="E641" t="s">
        <v>81</v>
      </c>
      <c r="F641" t="s">
        <v>31</v>
      </c>
      <c r="H641" t="s">
        <v>14</v>
      </c>
      <c r="I641" s="26" t="s">
        <v>576</v>
      </c>
    </row>
    <row r="642" spans="1:9" x14ac:dyDescent="0.3">
      <c r="A642" s="24">
        <v>45356</v>
      </c>
      <c r="B642" t="s">
        <v>245</v>
      </c>
      <c r="C642" t="s">
        <v>29</v>
      </c>
      <c r="D642">
        <v>1.1499999999999999</v>
      </c>
      <c r="E642" t="s">
        <v>91</v>
      </c>
      <c r="F642" t="s">
        <v>31</v>
      </c>
      <c r="G642" t="s">
        <v>675</v>
      </c>
      <c r="H642" t="s">
        <v>14</v>
      </c>
      <c r="I642" s="26" t="s">
        <v>576</v>
      </c>
    </row>
    <row r="643" spans="1:9" x14ac:dyDescent="0.3">
      <c r="A643" s="24">
        <v>45356</v>
      </c>
      <c r="B643" t="s">
        <v>249</v>
      </c>
      <c r="C643" t="s">
        <v>252</v>
      </c>
      <c r="D643">
        <v>3.5</v>
      </c>
      <c r="E643" t="s">
        <v>54</v>
      </c>
      <c r="F643" t="s">
        <v>55</v>
      </c>
      <c r="H643" t="s">
        <v>14</v>
      </c>
      <c r="I643" s="26" t="s">
        <v>576</v>
      </c>
    </row>
    <row r="644" spans="1:9" x14ac:dyDescent="0.3">
      <c r="A644" s="24">
        <v>45356</v>
      </c>
      <c r="B644" t="s">
        <v>249</v>
      </c>
      <c r="C644" t="s">
        <v>252</v>
      </c>
      <c r="D644">
        <v>4</v>
      </c>
      <c r="E644" t="s">
        <v>81</v>
      </c>
      <c r="F644" t="s">
        <v>31</v>
      </c>
      <c r="H644" t="s">
        <v>14</v>
      </c>
      <c r="I644" s="26" t="s">
        <v>576</v>
      </c>
    </row>
    <row r="645" spans="1:9" x14ac:dyDescent="0.3">
      <c r="A645" s="24">
        <v>45356</v>
      </c>
      <c r="B645" t="s">
        <v>249</v>
      </c>
      <c r="C645" t="s">
        <v>53</v>
      </c>
      <c r="D645">
        <v>0.5</v>
      </c>
      <c r="E645" t="s">
        <v>54</v>
      </c>
      <c r="F645" t="s">
        <v>55</v>
      </c>
      <c r="G645" t="s">
        <v>253</v>
      </c>
      <c r="H645" t="s">
        <v>14</v>
      </c>
      <c r="I645" s="26" t="s">
        <v>576</v>
      </c>
    </row>
    <row r="646" spans="1:9" x14ac:dyDescent="0.3">
      <c r="A646" s="24">
        <v>45356</v>
      </c>
      <c r="B646" t="s">
        <v>256</v>
      </c>
      <c r="C646" t="s">
        <v>29</v>
      </c>
      <c r="D646">
        <v>0.6</v>
      </c>
      <c r="E646" t="s">
        <v>81</v>
      </c>
      <c r="F646" t="s">
        <v>31</v>
      </c>
      <c r="H646" t="s">
        <v>14</v>
      </c>
      <c r="I646" s="26" t="s">
        <v>576</v>
      </c>
    </row>
    <row r="647" spans="1:9" x14ac:dyDescent="0.3">
      <c r="A647" s="24">
        <v>45356</v>
      </c>
      <c r="B647" t="s">
        <v>256</v>
      </c>
      <c r="C647" t="s">
        <v>53</v>
      </c>
      <c r="D647">
        <v>1.25</v>
      </c>
      <c r="E647" t="s">
        <v>54</v>
      </c>
      <c r="F647" t="s">
        <v>55</v>
      </c>
      <c r="G647" t="s">
        <v>676</v>
      </c>
      <c r="H647" t="s">
        <v>14</v>
      </c>
      <c r="I647" s="26" t="s">
        <v>576</v>
      </c>
    </row>
    <row r="648" spans="1:9" x14ac:dyDescent="0.3">
      <c r="A648" s="24">
        <v>45356</v>
      </c>
      <c r="B648" t="s">
        <v>256</v>
      </c>
      <c r="C648" t="s">
        <v>53</v>
      </c>
      <c r="D648">
        <v>1.95</v>
      </c>
      <c r="E648" t="s">
        <v>54</v>
      </c>
      <c r="F648" t="s">
        <v>55</v>
      </c>
      <c r="G648" t="s">
        <v>258</v>
      </c>
      <c r="H648" t="s">
        <v>14</v>
      </c>
      <c r="I648" s="26" t="s">
        <v>576</v>
      </c>
    </row>
    <row r="649" spans="1:9" x14ac:dyDescent="0.3">
      <c r="A649" s="24">
        <v>45356</v>
      </c>
      <c r="B649" t="s">
        <v>256</v>
      </c>
      <c r="C649" t="s">
        <v>53</v>
      </c>
      <c r="D649">
        <v>3.83</v>
      </c>
      <c r="E649" t="s">
        <v>54</v>
      </c>
      <c r="F649" t="s">
        <v>55</v>
      </c>
      <c r="G649" t="s">
        <v>677</v>
      </c>
      <c r="H649" t="s">
        <v>14</v>
      </c>
      <c r="I649" s="26" t="s">
        <v>576</v>
      </c>
    </row>
    <row r="650" spans="1:9" x14ac:dyDescent="0.3">
      <c r="A650" s="24">
        <v>45356</v>
      </c>
      <c r="B650" t="s">
        <v>256</v>
      </c>
      <c r="C650" t="s">
        <v>159</v>
      </c>
      <c r="D650">
        <v>0.5</v>
      </c>
      <c r="E650" t="s">
        <v>81</v>
      </c>
      <c r="F650" t="s">
        <v>31</v>
      </c>
      <c r="G650" t="s">
        <v>678</v>
      </c>
      <c r="H650" t="s">
        <v>14</v>
      </c>
      <c r="I650" s="26" t="s">
        <v>576</v>
      </c>
    </row>
    <row r="651" spans="1:9" x14ac:dyDescent="0.3">
      <c r="A651" s="24">
        <v>45356</v>
      </c>
      <c r="B651" t="s">
        <v>262</v>
      </c>
      <c r="C651" t="s">
        <v>29</v>
      </c>
      <c r="D651">
        <v>0.47</v>
      </c>
      <c r="E651" t="s">
        <v>263</v>
      </c>
      <c r="F651" t="s">
        <v>31</v>
      </c>
      <c r="G651" t="s">
        <v>679</v>
      </c>
      <c r="H651" t="s">
        <v>14</v>
      </c>
      <c r="I651" s="26" t="s">
        <v>576</v>
      </c>
    </row>
    <row r="652" spans="1:9" x14ac:dyDescent="0.3">
      <c r="A652" s="24">
        <v>45356</v>
      </c>
      <c r="B652" t="s">
        <v>262</v>
      </c>
      <c r="C652" t="s">
        <v>29</v>
      </c>
      <c r="D652">
        <v>6.08</v>
      </c>
      <c r="E652" t="s">
        <v>263</v>
      </c>
      <c r="F652" t="s">
        <v>31</v>
      </c>
      <c r="G652" t="s">
        <v>680</v>
      </c>
      <c r="H652" t="s">
        <v>14</v>
      </c>
      <c r="I652" s="26" t="s">
        <v>576</v>
      </c>
    </row>
    <row r="653" spans="1:9" x14ac:dyDescent="0.3">
      <c r="A653" s="24">
        <v>45356</v>
      </c>
      <c r="B653" t="s">
        <v>262</v>
      </c>
      <c r="C653" t="s">
        <v>53</v>
      </c>
      <c r="D653">
        <v>0.5</v>
      </c>
      <c r="E653" t="s">
        <v>54</v>
      </c>
      <c r="F653" t="s">
        <v>55</v>
      </c>
      <c r="G653" t="s">
        <v>253</v>
      </c>
      <c r="H653" t="s">
        <v>14</v>
      </c>
      <c r="I653" s="26" t="s">
        <v>576</v>
      </c>
    </row>
    <row r="654" spans="1:9" x14ac:dyDescent="0.3">
      <c r="A654" s="24">
        <v>45356</v>
      </c>
      <c r="B654" t="s">
        <v>262</v>
      </c>
      <c r="C654" t="s">
        <v>148</v>
      </c>
      <c r="D654">
        <v>0.45</v>
      </c>
      <c r="E654" t="s">
        <v>54</v>
      </c>
      <c r="F654" t="s">
        <v>55</v>
      </c>
      <c r="G654" t="s">
        <v>681</v>
      </c>
      <c r="H654" t="s">
        <v>14</v>
      </c>
      <c r="I654" s="26" t="s">
        <v>576</v>
      </c>
    </row>
    <row r="655" spans="1:9" x14ac:dyDescent="0.3">
      <c r="A655" s="24">
        <v>45356</v>
      </c>
      <c r="B655" t="s">
        <v>262</v>
      </c>
      <c r="C655" t="s">
        <v>148</v>
      </c>
      <c r="D655">
        <v>0.5</v>
      </c>
      <c r="E655" t="s">
        <v>54</v>
      </c>
      <c r="F655" t="s">
        <v>55</v>
      </c>
      <c r="G655" t="s">
        <v>682</v>
      </c>
      <c r="H655" t="s">
        <v>14</v>
      </c>
      <c r="I655" s="26" t="s">
        <v>576</v>
      </c>
    </row>
    <row r="656" spans="1:9" x14ac:dyDescent="0.3">
      <c r="A656" s="24">
        <v>45356</v>
      </c>
      <c r="B656" t="s">
        <v>266</v>
      </c>
      <c r="C656" t="s">
        <v>267</v>
      </c>
      <c r="D656">
        <v>9</v>
      </c>
      <c r="E656" t="s">
        <v>54</v>
      </c>
      <c r="F656" t="s">
        <v>55</v>
      </c>
      <c r="G656" t="s">
        <v>683</v>
      </c>
      <c r="H656" t="s">
        <v>14</v>
      </c>
      <c r="I656" s="26" t="s">
        <v>576</v>
      </c>
    </row>
    <row r="657" spans="1:9" x14ac:dyDescent="0.3">
      <c r="A657" s="24">
        <v>45356</v>
      </c>
      <c r="B657" t="s">
        <v>269</v>
      </c>
      <c r="C657" t="s">
        <v>29</v>
      </c>
      <c r="D657">
        <v>4.55</v>
      </c>
      <c r="E657" t="s">
        <v>271</v>
      </c>
      <c r="F657" t="s">
        <v>31</v>
      </c>
      <c r="G657" t="s">
        <v>684</v>
      </c>
      <c r="H657" t="s">
        <v>14</v>
      </c>
      <c r="I657" s="26" t="s">
        <v>576</v>
      </c>
    </row>
    <row r="658" spans="1:9" x14ac:dyDescent="0.3">
      <c r="A658" s="24">
        <v>45356</v>
      </c>
      <c r="B658" t="s">
        <v>269</v>
      </c>
      <c r="C658" t="s">
        <v>53</v>
      </c>
      <c r="D658">
        <v>0.87</v>
      </c>
      <c r="E658" t="s">
        <v>54</v>
      </c>
      <c r="F658" t="s">
        <v>55</v>
      </c>
      <c r="G658" t="s">
        <v>685</v>
      </c>
      <c r="H658" t="s">
        <v>14</v>
      </c>
      <c r="I658" s="26" t="s">
        <v>576</v>
      </c>
    </row>
    <row r="659" spans="1:9" x14ac:dyDescent="0.3">
      <c r="A659" s="24">
        <v>45356</v>
      </c>
      <c r="B659" t="s">
        <v>269</v>
      </c>
      <c r="C659" t="s">
        <v>148</v>
      </c>
      <c r="D659">
        <v>0.92</v>
      </c>
      <c r="E659" t="s">
        <v>54</v>
      </c>
      <c r="F659" t="s">
        <v>55</v>
      </c>
      <c r="G659" t="s">
        <v>686</v>
      </c>
      <c r="H659" t="s">
        <v>14</v>
      </c>
      <c r="I659" s="26" t="s">
        <v>576</v>
      </c>
    </row>
    <row r="660" spans="1:9" x14ac:dyDescent="0.3">
      <c r="A660" s="24">
        <v>45356</v>
      </c>
      <c r="B660" t="s">
        <v>269</v>
      </c>
      <c r="C660" t="s">
        <v>60</v>
      </c>
      <c r="D660">
        <v>1.67</v>
      </c>
      <c r="E660" t="s">
        <v>203</v>
      </c>
      <c r="F660" t="s">
        <v>31</v>
      </c>
      <c r="G660" t="s">
        <v>687</v>
      </c>
      <c r="H660" t="s">
        <v>14</v>
      </c>
      <c r="I660" s="26" t="s">
        <v>576</v>
      </c>
    </row>
    <row r="661" spans="1:9" x14ac:dyDescent="0.3">
      <c r="A661" s="24">
        <v>45356</v>
      </c>
      <c r="B661" t="s">
        <v>278</v>
      </c>
      <c r="C661" t="s">
        <v>279</v>
      </c>
      <c r="D661">
        <v>0.53</v>
      </c>
      <c r="E661" t="s">
        <v>254</v>
      </c>
      <c r="F661" t="s">
        <v>55</v>
      </c>
      <c r="G661" t="s">
        <v>688</v>
      </c>
      <c r="H661" t="s">
        <v>14</v>
      </c>
      <c r="I661" s="26" t="s">
        <v>576</v>
      </c>
    </row>
    <row r="662" spans="1:9" x14ac:dyDescent="0.3">
      <c r="A662" s="24">
        <v>45356</v>
      </c>
      <c r="B662" t="s">
        <v>278</v>
      </c>
      <c r="C662" t="s">
        <v>279</v>
      </c>
      <c r="D662">
        <v>0.83</v>
      </c>
      <c r="E662" t="s">
        <v>54</v>
      </c>
      <c r="F662" t="s">
        <v>55</v>
      </c>
      <c r="G662" t="s">
        <v>689</v>
      </c>
      <c r="H662" t="s">
        <v>14</v>
      </c>
      <c r="I662" s="26" t="s">
        <v>576</v>
      </c>
    </row>
    <row r="663" spans="1:9" x14ac:dyDescent="0.3">
      <c r="A663" s="24">
        <v>45356</v>
      </c>
      <c r="B663" t="s">
        <v>278</v>
      </c>
      <c r="C663" t="s">
        <v>29</v>
      </c>
      <c r="D663">
        <v>1.33</v>
      </c>
      <c r="E663" t="s">
        <v>54</v>
      </c>
      <c r="F663" t="s">
        <v>55</v>
      </c>
      <c r="G663" t="s">
        <v>690</v>
      </c>
      <c r="H663" t="s">
        <v>14</v>
      </c>
      <c r="I663" s="26" t="s">
        <v>576</v>
      </c>
    </row>
    <row r="664" spans="1:9" x14ac:dyDescent="0.3">
      <c r="A664" s="24">
        <v>45356</v>
      </c>
      <c r="B664" t="s">
        <v>278</v>
      </c>
      <c r="C664" t="s">
        <v>58</v>
      </c>
      <c r="D664">
        <v>0.6</v>
      </c>
      <c r="E664" t="s">
        <v>254</v>
      </c>
      <c r="F664" t="s">
        <v>55</v>
      </c>
      <c r="G664" t="s">
        <v>691</v>
      </c>
      <c r="H664" t="s">
        <v>14</v>
      </c>
      <c r="I664" s="26" t="s">
        <v>576</v>
      </c>
    </row>
    <row r="665" spans="1:9" x14ac:dyDescent="0.3">
      <c r="A665" s="24">
        <v>45356</v>
      </c>
      <c r="B665" t="s">
        <v>278</v>
      </c>
      <c r="C665" t="s">
        <v>60</v>
      </c>
      <c r="D665">
        <v>0.75</v>
      </c>
      <c r="E665" t="s">
        <v>254</v>
      </c>
      <c r="F665" t="s">
        <v>55</v>
      </c>
      <c r="G665" t="s">
        <v>692</v>
      </c>
      <c r="H665" t="s">
        <v>14</v>
      </c>
      <c r="I665" s="26" t="s">
        <v>576</v>
      </c>
    </row>
    <row r="666" spans="1:9" x14ac:dyDescent="0.3">
      <c r="A666" s="24">
        <v>45356</v>
      </c>
      <c r="B666" t="s">
        <v>278</v>
      </c>
      <c r="C666" t="s">
        <v>60</v>
      </c>
      <c r="D666">
        <v>0.9</v>
      </c>
      <c r="E666" t="s">
        <v>254</v>
      </c>
      <c r="F666" t="s">
        <v>55</v>
      </c>
      <c r="G666" t="s">
        <v>693</v>
      </c>
      <c r="H666" t="s">
        <v>14</v>
      </c>
      <c r="I666" s="26" t="s">
        <v>576</v>
      </c>
    </row>
    <row r="667" spans="1:9" x14ac:dyDescent="0.3">
      <c r="A667" s="24">
        <v>45356</v>
      </c>
      <c r="B667" t="s">
        <v>278</v>
      </c>
      <c r="C667" t="s">
        <v>60</v>
      </c>
      <c r="D667">
        <v>0.95</v>
      </c>
      <c r="E667" t="s">
        <v>254</v>
      </c>
      <c r="F667" t="s">
        <v>55</v>
      </c>
      <c r="G667" t="s">
        <v>694</v>
      </c>
      <c r="H667" t="s">
        <v>14</v>
      </c>
      <c r="I667" s="26" t="s">
        <v>576</v>
      </c>
    </row>
    <row r="668" spans="1:9" x14ac:dyDescent="0.3">
      <c r="A668" s="24">
        <v>45356</v>
      </c>
      <c r="B668" t="s">
        <v>278</v>
      </c>
      <c r="C668" t="s">
        <v>60</v>
      </c>
      <c r="D668">
        <v>2.3199999999999998</v>
      </c>
      <c r="E668" t="s">
        <v>254</v>
      </c>
      <c r="F668" t="s">
        <v>55</v>
      </c>
      <c r="G668" t="s">
        <v>695</v>
      </c>
      <c r="H668" t="s">
        <v>14</v>
      </c>
      <c r="I668" s="26" t="s">
        <v>576</v>
      </c>
    </row>
    <row r="669" spans="1:9" x14ac:dyDescent="0.3">
      <c r="A669" s="24">
        <v>45356</v>
      </c>
      <c r="B669" t="s">
        <v>286</v>
      </c>
      <c r="C669" t="s">
        <v>287</v>
      </c>
      <c r="D669">
        <v>10</v>
      </c>
      <c r="E669" t="s">
        <v>54</v>
      </c>
      <c r="F669" t="s">
        <v>55</v>
      </c>
      <c r="G669" t="s">
        <v>696</v>
      </c>
      <c r="H669" t="s">
        <v>14</v>
      </c>
      <c r="I669" s="26" t="s">
        <v>576</v>
      </c>
    </row>
    <row r="670" spans="1:9" x14ac:dyDescent="0.3">
      <c r="A670" s="24">
        <v>45356</v>
      </c>
      <c r="B670" t="s">
        <v>289</v>
      </c>
      <c r="C670" t="s">
        <v>442</v>
      </c>
      <c r="D670">
        <v>5</v>
      </c>
      <c r="E670" t="s">
        <v>54</v>
      </c>
      <c r="F670" t="s">
        <v>55</v>
      </c>
      <c r="H670" t="s">
        <v>14</v>
      </c>
      <c r="I670" s="26" t="s">
        <v>576</v>
      </c>
    </row>
    <row r="671" spans="1:9" x14ac:dyDescent="0.3">
      <c r="A671" s="24">
        <v>45356</v>
      </c>
      <c r="B671" t="s">
        <v>294</v>
      </c>
      <c r="C671" t="s">
        <v>202</v>
      </c>
      <c r="D671">
        <v>0.05</v>
      </c>
      <c r="E671" t="s">
        <v>697</v>
      </c>
      <c r="F671" t="s">
        <v>55</v>
      </c>
      <c r="G671" t="s">
        <v>698</v>
      </c>
      <c r="H671" t="s">
        <v>14</v>
      </c>
      <c r="I671" s="26" t="s">
        <v>576</v>
      </c>
    </row>
    <row r="672" spans="1:9" x14ac:dyDescent="0.3">
      <c r="A672" s="24">
        <v>45356</v>
      </c>
      <c r="B672" t="s">
        <v>294</v>
      </c>
      <c r="C672" t="s">
        <v>202</v>
      </c>
      <c r="D672">
        <v>2</v>
      </c>
      <c r="E672" t="s">
        <v>30</v>
      </c>
      <c r="F672" t="s">
        <v>55</v>
      </c>
      <c r="G672" t="s">
        <v>699</v>
      </c>
      <c r="H672" t="s">
        <v>14</v>
      </c>
      <c r="I672" s="26" t="s">
        <v>576</v>
      </c>
    </row>
    <row r="673" spans="1:9" x14ac:dyDescent="0.3">
      <c r="A673" s="24">
        <v>45356</v>
      </c>
      <c r="B673" t="s">
        <v>294</v>
      </c>
      <c r="C673" t="s">
        <v>85</v>
      </c>
      <c r="D673">
        <v>1</v>
      </c>
      <c r="E673" t="s">
        <v>445</v>
      </c>
      <c r="F673" t="s">
        <v>31</v>
      </c>
      <c r="G673" t="s">
        <v>700</v>
      </c>
      <c r="H673" t="s">
        <v>14</v>
      </c>
      <c r="I673" s="26" t="s">
        <v>576</v>
      </c>
    </row>
    <row r="674" spans="1:9" x14ac:dyDescent="0.3">
      <c r="A674" s="24">
        <v>45356</v>
      </c>
      <c r="B674" t="s">
        <v>294</v>
      </c>
      <c r="C674" t="s">
        <v>53</v>
      </c>
      <c r="D674">
        <v>2.4700000000000002</v>
      </c>
      <c r="E674" t="s">
        <v>54</v>
      </c>
      <c r="F674" t="s">
        <v>55</v>
      </c>
      <c r="G674" t="s">
        <v>300</v>
      </c>
      <c r="H674" t="s">
        <v>14</v>
      </c>
      <c r="I674" s="26" t="s">
        <v>576</v>
      </c>
    </row>
    <row r="675" spans="1:9" x14ac:dyDescent="0.3">
      <c r="A675" s="24">
        <v>45356</v>
      </c>
      <c r="B675" t="s">
        <v>301</v>
      </c>
      <c r="C675" t="s">
        <v>29</v>
      </c>
      <c r="D675">
        <v>0.25</v>
      </c>
      <c r="E675" t="s">
        <v>156</v>
      </c>
      <c r="F675" t="s">
        <v>31</v>
      </c>
      <c r="G675" t="s">
        <v>701</v>
      </c>
      <c r="H675" t="s">
        <v>14</v>
      </c>
      <c r="I675" s="26" t="s">
        <v>576</v>
      </c>
    </row>
    <row r="676" spans="1:9" x14ac:dyDescent="0.3">
      <c r="A676" s="24">
        <v>45356</v>
      </c>
      <c r="B676" t="s">
        <v>301</v>
      </c>
      <c r="C676" t="s">
        <v>29</v>
      </c>
      <c r="D676">
        <v>0.48</v>
      </c>
      <c r="E676" t="s">
        <v>156</v>
      </c>
      <c r="F676" t="s">
        <v>31</v>
      </c>
      <c r="G676" t="s">
        <v>702</v>
      </c>
      <c r="H676" t="s">
        <v>14</v>
      </c>
      <c r="I676" s="26" t="s">
        <v>576</v>
      </c>
    </row>
    <row r="677" spans="1:9" x14ac:dyDescent="0.3">
      <c r="A677" s="24">
        <v>45356</v>
      </c>
      <c r="B677" t="s">
        <v>301</v>
      </c>
      <c r="C677" t="s">
        <v>29</v>
      </c>
      <c r="D677">
        <v>1.17</v>
      </c>
      <c r="E677" t="s">
        <v>156</v>
      </c>
      <c r="F677" t="s">
        <v>31</v>
      </c>
      <c r="G677" t="s">
        <v>303</v>
      </c>
      <c r="H677" t="s">
        <v>14</v>
      </c>
      <c r="I677" s="26" t="s">
        <v>576</v>
      </c>
    </row>
    <row r="678" spans="1:9" x14ac:dyDescent="0.3">
      <c r="A678" s="24">
        <v>45356</v>
      </c>
      <c r="B678" t="s">
        <v>301</v>
      </c>
      <c r="C678" t="s">
        <v>29</v>
      </c>
      <c r="D678">
        <v>5.07</v>
      </c>
      <c r="E678" t="s">
        <v>156</v>
      </c>
      <c r="F678" t="s">
        <v>31</v>
      </c>
      <c r="H678" t="s">
        <v>14</v>
      </c>
      <c r="I678" s="26" t="s">
        <v>576</v>
      </c>
    </row>
    <row r="679" spans="1:9" x14ac:dyDescent="0.3">
      <c r="A679" s="24">
        <v>45356</v>
      </c>
      <c r="B679" t="s">
        <v>301</v>
      </c>
      <c r="C679" t="s">
        <v>85</v>
      </c>
      <c r="D679">
        <v>0.18</v>
      </c>
      <c r="E679" t="s">
        <v>304</v>
      </c>
      <c r="F679" t="s">
        <v>31</v>
      </c>
      <c r="G679" t="s">
        <v>703</v>
      </c>
      <c r="H679" t="s">
        <v>14</v>
      </c>
      <c r="I679" s="26" t="s">
        <v>576</v>
      </c>
    </row>
    <row r="680" spans="1:9" x14ac:dyDescent="0.3">
      <c r="A680" s="24">
        <v>45356</v>
      </c>
      <c r="B680" t="s">
        <v>301</v>
      </c>
      <c r="C680" t="s">
        <v>58</v>
      </c>
      <c r="D680">
        <v>0.98</v>
      </c>
      <c r="E680" t="s">
        <v>54</v>
      </c>
      <c r="F680" t="s">
        <v>55</v>
      </c>
      <c r="G680" t="s">
        <v>704</v>
      </c>
      <c r="H680" t="s">
        <v>14</v>
      </c>
      <c r="I680" s="26" t="s">
        <v>576</v>
      </c>
    </row>
    <row r="681" spans="1:9" x14ac:dyDescent="0.3">
      <c r="A681" s="24">
        <v>45356</v>
      </c>
      <c r="B681" t="s">
        <v>313</v>
      </c>
      <c r="C681" t="s">
        <v>53</v>
      </c>
      <c r="D681">
        <v>0.28000000000000003</v>
      </c>
      <c r="E681" t="s">
        <v>54</v>
      </c>
      <c r="F681" t="s">
        <v>55</v>
      </c>
      <c r="G681" t="s">
        <v>705</v>
      </c>
      <c r="H681" t="s">
        <v>14</v>
      </c>
      <c r="I681" s="26" t="s">
        <v>576</v>
      </c>
    </row>
    <row r="682" spans="1:9" x14ac:dyDescent="0.3">
      <c r="A682" s="24">
        <v>45356</v>
      </c>
      <c r="B682" t="s">
        <v>313</v>
      </c>
      <c r="C682" t="s">
        <v>148</v>
      </c>
      <c r="D682">
        <v>2.0499999999999998</v>
      </c>
      <c r="E682" t="s">
        <v>54</v>
      </c>
      <c r="F682" t="s">
        <v>55</v>
      </c>
      <c r="G682" t="s">
        <v>706</v>
      </c>
      <c r="H682" t="s">
        <v>14</v>
      </c>
      <c r="I682" s="26" t="s">
        <v>576</v>
      </c>
    </row>
    <row r="683" spans="1:9" x14ac:dyDescent="0.3">
      <c r="A683" s="24">
        <v>45356</v>
      </c>
      <c r="B683" t="s">
        <v>313</v>
      </c>
      <c r="C683" t="s">
        <v>159</v>
      </c>
      <c r="D683">
        <v>1.92</v>
      </c>
      <c r="E683" t="s">
        <v>91</v>
      </c>
      <c r="F683" t="s">
        <v>31</v>
      </c>
      <c r="G683" t="s">
        <v>707</v>
      </c>
      <c r="H683" t="s">
        <v>14</v>
      </c>
      <c r="I683" s="26" t="s">
        <v>576</v>
      </c>
    </row>
    <row r="684" spans="1:9" x14ac:dyDescent="0.3">
      <c r="A684" s="24">
        <v>45356</v>
      </c>
      <c r="B684" t="s">
        <v>313</v>
      </c>
      <c r="C684" t="s">
        <v>159</v>
      </c>
      <c r="D684">
        <v>4.68</v>
      </c>
      <c r="E684" t="s">
        <v>170</v>
      </c>
      <c r="F684" t="s">
        <v>31</v>
      </c>
      <c r="H684" t="s">
        <v>14</v>
      </c>
      <c r="I684" s="26" t="s">
        <v>576</v>
      </c>
    </row>
    <row r="685" spans="1:9" x14ac:dyDescent="0.3">
      <c r="A685" s="24">
        <v>45356</v>
      </c>
      <c r="B685" t="s">
        <v>318</v>
      </c>
      <c r="C685" t="s">
        <v>53</v>
      </c>
      <c r="D685">
        <v>3.95</v>
      </c>
      <c r="E685" t="s">
        <v>54</v>
      </c>
      <c r="F685" t="s">
        <v>55</v>
      </c>
      <c r="G685" t="s">
        <v>708</v>
      </c>
      <c r="H685" t="s">
        <v>14</v>
      </c>
      <c r="I685" s="26" t="s">
        <v>576</v>
      </c>
    </row>
    <row r="686" spans="1:9" x14ac:dyDescent="0.3">
      <c r="A686" s="24">
        <v>45356</v>
      </c>
      <c r="B686" t="s">
        <v>318</v>
      </c>
      <c r="C686" t="s">
        <v>58</v>
      </c>
      <c r="D686">
        <v>0.5</v>
      </c>
      <c r="E686" t="s">
        <v>54</v>
      </c>
      <c r="F686" t="s">
        <v>55</v>
      </c>
      <c r="G686" t="s">
        <v>709</v>
      </c>
      <c r="H686" t="s">
        <v>14</v>
      </c>
      <c r="I686" s="26" t="s">
        <v>576</v>
      </c>
    </row>
    <row r="687" spans="1:9" x14ac:dyDescent="0.3">
      <c r="A687" s="24">
        <v>45356</v>
      </c>
      <c r="B687" t="s">
        <v>318</v>
      </c>
      <c r="C687" t="s">
        <v>58</v>
      </c>
      <c r="D687">
        <v>1.02</v>
      </c>
      <c r="E687" t="s">
        <v>54</v>
      </c>
      <c r="F687" t="s">
        <v>55</v>
      </c>
      <c r="G687" t="s">
        <v>710</v>
      </c>
      <c r="H687" t="s">
        <v>14</v>
      </c>
      <c r="I687" s="26" t="s">
        <v>576</v>
      </c>
    </row>
    <row r="688" spans="1:9" x14ac:dyDescent="0.3">
      <c r="A688" s="24">
        <v>45356</v>
      </c>
      <c r="B688" t="s">
        <v>318</v>
      </c>
      <c r="C688" t="s">
        <v>58</v>
      </c>
      <c r="D688">
        <v>2.83</v>
      </c>
      <c r="E688" t="s">
        <v>54</v>
      </c>
      <c r="F688" t="s">
        <v>55</v>
      </c>
      <c r="G688" t="s">
        <v>711</v>
      </c>
      <c r="H688" t="s">
        <v>14</v>
      </c>
      <c r="I688" s="26" t="s">
        <v>576</v>
      </c>
    </row>
    <row r="689" spans="1:9" x14ac:dyDescent="0.3">
      <c r="A689" s="24">
        <v>45356</v>
      </c>
      <c r="B689" t="s">
        <v>324</v>
      </c>
      <c r="C689" t="s">
        <v>29</v>
      </c>
      <c r="D689">
        <v>9.4499999999999993</v>
      </c>
      <c r="E689" t="s">
        <v>81</v>
      </c>
      <c r="F689" t="s">
        <v>31</v>
      </c>
      <c r="H689" t="s">
        <v>14</v>
      </c>
      <c r="I689" s="26" t="s">
        <v>576</v>
      </c>
    </row>
    <row r="690" spans="1:9" x14ac:dyDescent="0.3">
      <c r="A690" s="24">
        <v>45356</v>
      </c>
      <c r="B690" t="s">
        <v>324</v>
      </c>
      <c r="C690" t="s">
        <v>58</v>
      </c>
      <c r="D690">
        <v>0.68</v>
      </c>
      <c r="E690" t="s">
        <v>54</v>
      </c>
      <c r="F690" t="s">
        <v>55</v>
      </c>
      <c r="G690" t="s">
        <v>712</v>
      </c>
      <c r="H690" t="s">
        <v>14</v>
      </c>
      <c r="I690" s="26" t="s">
        <v>576</v>
      </c>
    </row>
    <row r="691" spans="1:9" x14ac:dyDescent="0.3">
      <c r="A691" s="24">
        <v>45356</v>
      </c>
      <c r="B691" t="s">
        <v>328</v>
      </c>
      <c r="C691" t="s">
        <v>53</v>
      </c>
      <c r="D691">
        <v>0.5</v>
      </c>
      <c r="E691" t="s">
        <v>54</v>
      </c>
      <c r="F691" t="s">
        <v>55</v>
      </c>
      <c r="G691" t="s">
        <v>253</v>
      </c>
      <c r="H691" t="s">
        <v>14</v>
      </c>
      <c r="I691" s="26" t="s">
        <v>576</v>
      </c>
    </row>
    <row r="692" spans="1:9" x14ac:dyDescent="0.3">
      <c r="A692" s="24">
        <v>45356</v>
      </c>
      <c r="B692" t="s">
        <v>328</v>
      </c>
      <c r="C692" t="s">
        <v>148</v>
      </c>
      <c r="D692">
        <v>2.35</v>
      </c>
      <c r="E692" t="s">
        <v>54</v>
      </c>
      <c r="F692" t="s">
        <v>55</v>
      </c>
      <c r="G692" t="s">
        <v>623</v>
      </c>
      <c r="H692" t="s">
        <v>14</v>
      </c>
      <c r="I692" s="26" t="s">
        <v>576</v>
      </c>
    </row>
    <row r="693" spans="1:9" x14ac:dyDescent="0.3">
      <c r="A693" s="24">
        <v>45356</v>
      </c>
      <c r="B693" t="s">
        <v>328</v>
      </c>
      <c r="C693" t="s">
        <v>60</v>
      </c>
      <c r="D693">
        <v>0.12</v>
      </c>
      <c r="E693" t="s">
        <v>162</v>
      </c>
      <c r="F693" t="s">
        <v>31</v>
      </c>
      <c r="G693" t="s">
        <v>713</v>
      </c>
      <c r="H693" t="s">
        <v>14</v>
      </c>
      <c r="I693" s="26" t="s">
        <v>576</v>
      </c>
    </row>
    <row r="694" spans="1:9" x14ac:dyDescent="0.3">
      <c r="A694" s="24">
        <v>45356</v>
      </c>
      <c r="B694" t="s">
        <v>328</v>
      </c>
      <c r="C694" t="s">
        <v>60</v>
      </c>
      <c r="D694">
        <v>0.33</v>
      </c>
      <c r="E694" t="s">
        <v>162</v>
      </c>
      <c r="F694" t="s">
        <v>31</v>
      </c>
      <c r="G694" t="s">
        <v>714</v>
      </c>
      <c r="H694" t="s">
        <v>14</v>
      </c>
      <c r="I694" s="26" t="s">
        <v>576</v>
      </c>
    </row>
    <row r="695" spans="1:9" x14ac:dyDescent="0.3">
      <c r="A695" s="24">
        <v>45356</v>
      </c>
      <c r="B695" t="s">
        <v>328</v>
      </c>
      <c r="C695" t="s">
        <v>60</v>
      </c>
      <c r="D695">
        <v>1.55</v>
      </c>
      <c r="E695" t="s">
        <v>162</v>
      </c>
      <c r="F695" t="s">
        <v>31</v>
      </c>
      <c r="G695" t="s">
        <v>715</v>
      </c>
      <c r="H695" t="s">
        <v>14</v>
      </c>
      <c r="I695" s="26" t="s">
        <v>576</v>
      </c>
    </row>
    <row r="696" spans="1:9" x14ac:dyDescent="0.3">
      <c r="A696" s="24">
        <v>45356</v>
      </c>
      <c r="B696" t="s">
        <v>328</v>
      </c>
      <c r="C696" t="s">
        <v>60</v>
      </c>
      <c r="D696">
        <v>3.18</v>
      </c>
      <c r="E696" t="s">
        <v>162</v>
      </c>
      <c r="F696" t="s">
        <v>31</v>
      </c>
      <c r="G696" t="s">
        <v>716</v>
      </c>
      <c r="H696" t="s">
        <v>14</v>
      </c>
      <c r="I696" s="26" t="s">
        <v>576</v>
      </c>
    </row>
    <row r="697" spans="1:9" x14ac:dyDescent="0.3">
      <c r="A697" s="24">
        <v>45356</v>
      </c>
      <c r="B697" t="s">
        <v>331</v>
      </c>
      <c r="C697" t="s">
        <v>29</v>
      </c>
      <c r="D697">
        <v>0.17</v>
      </c>
      <c r="E697" t="s">
        <v>176</v>
      </c>
      <c r="F697" t="s">
        <v>31</v>
      </c>
      <c r="G697" t="s">
        <v>717</v>
      </c>
      <c r="H697" t="s">
        <v>14</v>
      </c>
      <c r="I697" s="26" t="s">
        <v>576</v>
      </c>
    </row>
    <row r="698" spans="1:9" x14ac:dyDescent="0.3">
      <c r="A698" s="24">
        <v>45356</v>
      </c>
      <c r="B698" t="s">
        <v>331</v>
      </c>
      <c r="C698" t="s">
        <v>29</v>
      </c>
      <c r="D698">
        <v>0.2</v>
      </c>
      <c r="E698" t="s">
        <v>176</v>
      </c>
      <c r="F698" t="s">
        <v>31</v>
      </c>
      <c r="G698" t="s">
        <v>718</v>
      </c>
      <c r="H698" t="s">
        <v>14</v>
      </c>
      <c r="I698" s="26" t="s">
        <v>576</v>
      </c>
    </row>
    <row r="699" spans="1:9" x14ac:dyDescent="0.3">
      <c r="A699" s="24">
        <v>45356</v>
      </c>
      <c r="B699" t="s">
        <v>331</v>
      </c>
      <c r="C699" t="s">
        <v>29</v>
      </c>
      <c r="D699">
        <v>0.22</v>
      </c>
      <c r="E699" t="s">
        <v>176</v>
      </c>
      <c r="F699" t="s">
        <v>31</v>
      </c>
      <c r="G699" t="s">
        <v>32</v>
      </c>
      <c r="H699" t="s">
        <v>14</v>
      </c>
      <c r="I699" s="26" t="s">
        <v>576</v>
      </c>
    </row>
    <row r="700" spans="1:9" x14ac:dyDescent="0.3">
      <c r="A700" s="24">
        <v>45356</v>
      </c>
      <c r="B700" t="s">
        <v>331</v>
      </c>
      <c r="C700" t="s">
        <v>29</v>
      </c>
      <c r="D700">
        <v>0.27</v>
      </c>
      <c r="E700" t="s">
        <v>218</v>
      </c>
      <c r="F700" t="s">
        <v>31</v>
      </c>
      <c r="G700" t="s">
        <v>719</v>
      </c>
      <c r="H700" t="s">
        <v>14</v>
      </c>
      <c r="I700" s="26" t="s">
        <v>576</v>
      </c>
    </row>
    <row r="701" spans="1:9" x14ac:dyDescent="0.3">
      <c r="A701" s="24">
        <v>45356</v>
      </c>
      <c r="B701" t="s">
        <v>331</v>
      </c>
      <c r="C701" t="s">
        <v>29</v>
      </c>
      <c r="D701">
        <v>0.55000000000000004</v>
      </c>
      <c r="E701" t="s">
        <v>176</v>
      </c>
      <c r="F701" t="s">
        <v>31</v>
      </c>
      <c r="H701" t="s">
        <v>14</v>
      </c>
      <c r="I701" s="26" t="s">
        <v>576</v>
      </c>
    </row>
    <row r="702" spans="1:9" x14ac:dyDescent="0.3">
      <c r="A702" s="24">
        <v>45356</v>
      </c>
      <c r="B702" t="s">
        <v>331</v>
      </c>
      <c r="C702" t="s">
        <v>29</v>
      </c>
      <c r="D702">
        <v>2.67</v>
      </c>
      <c r="E702" t="s">
        <v>91</v>
      </c>
      <c r="F702" t="s">
        <v>31</v>
      </c>
      <c r="G702" t="s">
        <v>720</v>
      </c>
      <c r="H702" t="s">
        <v>14</v>
      </c>
      <c r="I702" s="26" t="s">
        <v>576</v>
      </c>
    </row>
    <row r="703" spans="1:9" x14ac:dyDescent="0.3">
      <c r="A703" s="24">
        <v>45356</v>
      </c>
      <c r="B703" t="s">
        <v>331</v>
      </c>
      <c r="C703" t="s">
        <v>53</v>
      </c>
      <c r="D703">
        <v>0.5</v>
      </c>
      <c r="E703" t="s">
        <v>54</v>
      </c>
      <c r="F703" t="s">
        <v>55</v>
      </c>
      <c r="G703" t="s">
        <v>332</v>
      </c>
      <c r="H703" t="s">
        <v>14</v>
      </c>
      <c r="I703" s="26" t="s">
        <v>576</v>
      </c>
    </row>
    <row r="704" spans="1:9" x14ac:dyDescent="0.3">
      <c r="A704" s="24">
        <v>45356</v>
      </c>
      <c r="B704" t="s">
        <v>331</v>
      </c>
      <c r="C704" t="s">
        <v>148</v>
      </c>
      <c r="D704">
        <v>2</v>
      </c>
      <c r="E704" t="s">
        <v>54</v>
      </c>
      <c r="F704" t="s">
        <v>55</v>
      </c>
      <c r="G704" t="s">
        <v>704</v>
      </c>
      <c r="H704" t="s">
        <v>14</v>
      </c>
      <c r="I704" s="26" t="s">
        <v>576</v>
      </c>
    </row>
    <row r="705" spans="1:9" x14ac:dyDescent="0.3">
      <c r="A705" s="24">
        <v>45356</v>
      </c>
      <c r="B705" t="s">
        <v>331</v>
      </c>
      <c r="C705" t="s">
        <v>60</v>
      </c>
      <c r="D705">
        <v>7.0000000000000007E-2</v>
      </c>
      <c r="E705" t="s">
        <v>230</v>
      </c>
      <c r="F705" t="s">
        <v>31</v>
      </c>
      <c r="G705" t="s">
        <v>721</v>
      </c>
      <c r="H705" t="s">
        <v>14</v>
      </c>
      <c r="I705" s="26" t="s">
        <v>576</v>
      </c>
    </row>
    <row r="706" spans="1:9" x14ac:dyDescent="0.3">
      <c r="A706" s="24">
        <v>45356</v>
      </c>
      <c r="B706" t="s">
        <v>331</v>
      </c>
      <c r="C706" t="s">
        <v>60</v>
      </c>
      <c r="D706">
        <v>0.08</v>
      </c>
      <c r="E706" t="s">
        <v>104</v>
      </c>
      <c r="F706" t="s">
        <v>31</v>
      </c>
      <c r="G706" t="s">
        <v>722</v>
      </c>
      <c r="H706" t="s">
        <v>14</v>
      </c>
      <c r="I706" s="26" t="s">
        <v>576</v>
      </c>
    </row>
    <row r="707" spans="1:9" x14ac:dyDescent="0.3">
      <c r="A707" s="24">
        <v>45356</v>
      </c>
      <c r="B707" t="s">
        <v>331</v>
      </c>
      <c r="C707" t="s">
        <v>60</v>
      </c>
      <c r="D707">
        <v>0.2</v>
      </c>
      <c r="E707" t="s">
        <v>229</v>
      </c>
      <c r="F707" t="s">
        <v>31</v>
      </c>
      <c r="G707" t="s">
        <v>721</v>
      </c>
      <c r="H707" t="s">
        <v>14</v>
      </c>
      <c r="I707" s="26" t="s">
        <v>576</v>
      </c>
    </row>
    <row r="708" spans="1:9" x14ac:dyDescent="0.3">
      <c r="A708" s="24">
        <v>45356</v>
      </c>
      <c r="B708" t="s">
        <v>331</v>
      </c>
      <c r="C708" t="s">
        <v>60</v>
      </c>
      <c r="D708">
        <v>0.32</v>
      </c>
      <c r="E708" t="s">
        <v>102</v>
      </c>
      <c r="F708" t="s">
        <v>31</v>
      </c>
      <c r="G708" t="s">
        <v>723</v>
      </c>
      <c r="H708" t="s">
        <v>14</v>
      </c>
      <c r="I708" s="26" t="s">
        <v>576</v>
      </c>
    </row>
    <row r="709" spans="1:9" x14ac:dyDescent="0.3">
      <c r="A709" s="24">
        <v>45356</v>
      </c>
      <c r="B709" t="s">
        <v>331</v>
      </c>
      <c r="C709" t="s">
        <v>60</v>
      </c>
      <c r="D709">
        <v>0.42</v>
      </c>
      <c r="E709" t="s">
        <v>218</v>
      </c>
      <c r="F709" t="s">
        <v>31</v>
      </c>
      <c r="G709" t="s">
        <v>724</v>
      </c>
      <c r="H709" t="s">
        <v>14</v>
      </c>
      <c r="I709" s="26" t="s">
        <v>576</v>
      </c>
    </row>
    <row r="710" spans="1:9" x14ac:dyDescent="0.3">
      <c r="A710" s="24">
        <v>45356</v>
      </c>
      <c r="B710" t="s">
        <v>331</v>
      </c>
      <c r="C710" t="s">
        <v>60</v>
      </c>
      <c r="D710">
        <v>0.45</v>
      </c>
      <c r="E710" t="s">
        <v>218</v>
      </c>
      <c r="F710" t="s">
        <v>31</v>
      </c>
      <c r="G710" t="s">
        <v>722</v>
      </c>
      <c r="H710" t="s">
        <v>14</v>
      </c>
      <c r="I710" s="26" t="s">
        <v>576</v>
      </c>
    </row>
    <row r="711" spans="1:9" x14ac:dyDescent="0.3">
      <c r="A711" s="24">
        <v>45356</v>
      </c>
      <c r="B711" t="s">
        <v>340</v>
      </c>
      <c r="C711" t="s">
        <v>202</v>
      </c>
      <c r="D711">
        <v>0.33</v>
      </c>
      <c r="E711" t="s">
        <v>725</v>
      </c>
      <c r="F711" t="s">
        <v>31</v>
      </c>
      <c r="G711" t="s">
        <v>726</v>
      </c>
      <c r="H711" t="s">
        <v>14</v>
      </c>
      <c r="I711" s="26" t="s">
        <v>576</v>
      </c>
    </row>
    <row r="712" spans="1:9" x14ac:dyDescent="0.3">
      <c r="A712" s="24">
        <v>45356</v>
      </c>
      <c r="B712" t="s">
        <v>340</v>
      </c>
      <c r="C712" t="s">
        <v>202</v>
      </c>
      <c r="D712">
        <v>0.33</v>
      </c>
      <c r="E712" t="s">
        <v>156</v>
      </c>
      <c r="F712" t="s">
        <v>31</v>
      </c>
      <c r="G712" t="s">
        <v>727</v>
      </c>
      <c r="H712" t="s">
        <v>14</v>
      </c>
      <c r="I712" s="26" t="s">
        <v>576</v>
      </c>
    </row>
    <row r="713" spans="1:9" x14ac:dyDescent="0.3">
      <c r="A713" s="24">
        <v>45356</v>
      </c>
      <c r="B713" t="s">
        <v>340</v>
      </c>
      <c r="C713" t="s">
        <v>53</v>
      </c>
      <c r="D713">
        <v>7.25</v>
      </c>
      <c r="E713" t="s">
        <v>54</v>
      </c>
      <c r="F713" t="s">
        <v>55</v>
      </c>
      <c r="G713" t="s">
        <v>728</v>
      </c>
      <c r="H713" t="s">
        <v>14</v>
      </c>
      <c r="I713" s="26" t="s">
        <v>576</v>
      </c>
    </row>
    <row r="714" spans="1:9" x14ac:dyDescent="0.3">
      <c r="A714" s="24">
        <v>45356</v>
      </c>
      <c r="B714" t="s">
        <v>351</v>
      </c>
      <c r="C714" t="s">
        <v>250</v>
      </c>
      <c r="D714">
        <v>0.63</v>
      </c>
      <c r="E714" t="s">
        <v>81</v>
      </c>
      <c r="F714" t="s">
        <v>55</v>
      </c>
      <c r="G714" t="s">
        <v>729</v>
      </c>
      <c r="H714" t="s">
        <v>14</v>
      </c>
      <c r="I714" s="26" t="s">
        <v>576</v>
      </c>
    </row>
    <row r="715" spans="1:9" x14ac:dyDescent="0.3">
      <c r="A715" s="24">
        <v>45356</v>
      </c>
      <c r="B715" t="s">
        <v>351</v>
      </c>
      <c r="C715" t="s">
        <v>250</v>
      </c>
      <c r="D715">
        <v>0.78</v>
      </c>
      <c r="E715" t="s">
        <v>81</v>
      </c>
      <c r="F715" t="s">
        <v>55</v>
      </c>
      <c r="G715" t="s">
        <v>730</v>
      </c>
      <c r="H715" t="s">
        <v>14</v>
      </c>
      <c r="I715" s="26" t="s">
        <v>576</v>
      </c>
    </row>
    <row r="716" spans="1:9" x14ac:dyDescent="0.3">
      <c r="A716" s="24">
        <v>45356</v>
      </c>
      <c r="B716" t="s">
        <v>351</v>
      </c>
      <c r="C716" t="s">
        <v>250</v>
      </c>
      <c r="D716">
        <v>1.2</v>
      </c>
      <c r="E716" t="s">
        <v>81</v>
      </c>
      <c r="F716" t="s">
        <v>55</v>
      </c>
      <c r="G716" t="s">
        <v>731</v>
      </c>
      <c r="H716" t="s">
        <v>14</v>
      </c>
      <c r="I716" s="26" t="s">
        <v>576</v>
      </c>
    </row>
    <row r="717" spans="1:9" x14ac:dyDescent="0.3">
      <c r="A717" s="24">
        <v>45356</v>
      </c>
      <c r="B717" t="s">
        <v>351</v>
      </c>
      <c r="C717" t="s">
        <v>250</v>
      </c>
      <c r="D717">
        <v>1.6</v>
      </c>
      <c r="E717" t="s">
        <v>81</v>
      </c>
      <c r="F717" t="s">
        <v>55</v>
      </c>
      <c r="G717" t="s">
        <v>732</v>
      </c>
      <c r="H717" t="s">
        <v>14</v>
      </c>
      <c r="I717" s="26" t="s">
        <v>576</v>
      </c>
    </row>
    <row r="718" spans="1:9" x14ac:dyDescent="0.3">
      <c r="A718" s="24">
        <v>45356</v>
      </c>
      <c r="B718" t="s">
        <v>351</v>
      </c>
      <c r="C718" t="s">
        <v>29</v>
      </c>
      <c r="D718">
        <v>0.35</v>
      </c>
      <c r="E718" t="s">
        <v>81</v>
      </c>
      <c r="F718" t="s">
        <v>55</v>
      </c>
      <c r="G718" t="s">
        <v>733</v>
      </c>
      <c r="H718" t="s">
        <v>14</v>
      </c>
      <c r="I718" s="26" t="s">
        <v>576</v>
      </c>
    </row>
    <row r="719" spans="1:9" x14ac:dyDescent="0.3">
      <c r="A719" s="24">
        <v>45356</v>
      </c>
      <c r="B719" t="s">
        <v>351</v>
      </c>
      <c r="C719" t="s">
        <v>159</v>
      </c>
      <c r="D719">
        <v>0.42</v>
      </c>
      <c r="E719" t="s">
        <v>81</v>
      </c>
      <c r="F719" t="s">
        <v>31</v>
      </c>
      <c r="G719" t="s">
        <v>564</v>
      </c>
      <c r="H719" t="s">
        <v>14</v>
      </c>
      <c r="I719" s="26" t="s">
        <v>576</v>
      </c>
    </row>
    <row r="720" spans="1:9" x14ac:dyDescent="0.3">
      <c r="A720" s="24">
        <v>45356</v>
      </c>
      <c r="B720" t="s">
        <v>351</v>
      </c>
      <c r="C720" t="s">
        <v>159</v>
      </c>
      <c r="D720">
        <v>0.43</v>
      </c>
      <c r="E720" t="s">
        <v>81</v>
      </c>
      <c r="F720" t="s">
        <v>55</v>
      </c>
      <c r="G720" t="s">
        <v>734</v>
      </c>
      <c r="H720" t="s">
        <v>14</v>
      </c>
      <c r="I720" s="26" t="s">
        <v>576</v>
      </c>
    </row>
    <row r="721" spans="1:9" x14ac:dyDescent="0.3">
      <c r="A721" s="24">
        <v>45356</v>
      </c>
      <c r="B721" t="s">
        <v>351</v>
      </c>
      <c r="C721" t="s">
        <v>58</v>
      </c>
      <c r="D721">
        <v>3</v>
      </c>
      <c r="E721" t="s">
        <v>54</v>
      </c>
      <c r="F721" t="s">
        <v>55</v>
      </c>
      <c r="G721" t="s">
        <v>735</v>
      </c>
      <c r="H721" t="s">
        <v>14</v>
      </c>
      <c r="I721" s="26" t="s">
        <v>576</v>
      </c>
    </row>
    <row r="722" spans="1:9" x14ac:dyDescent="0.3">
      <c r="A722" s="24">
        <v>45356</v>
      </c>
      <c r="B722" t="s">
        <v>355</v>
      </c>
      <c r="C722" t="s">
        <v>250</v>
      </c>
      <c r="D722">
        <v>0.4</v>
      </c>
      <c r="E722" t="s">
        <v>356</v>
      </c>
      <c r="F722" t="s">
        <v>31</v>
      </c>
      <c r="G722" t="s">
        <v>736</v>
      </c>
      <c r="H722" t="s">
        <v>14</v>
      </c>
      <c r="I722" s="26" t="s">
        <v>576</v>
      </c>
    </row>
    <row r="723" spans="1:9" x14ac:dyDescent="0.3">
      <c r="A723" s="24">
        <v>45356</v>
      </c>
      <c r="B723" t="s">
        <v>355</v>
      </c>
      <c r="C723" t="s">
        <v>250</v>
      </c>
      <c r="D723">
        <v>0.9</v>
      </c>
      <c r="E723" t="s">
        <v>356</v>
      </c>
      <c r="F723" t="s">
        <v>31</v>
      </c>
      <c r="G723" t="s">
        <v>737</v>
      </c>
      <c r="H723" t="s">
        <v>14</v>
      </c>
      <c r="I723" s="26" t="s">
        <v>576</v>
      </c>
    </row>
    <row r="724" spans="1:9" x14ac:dyDescent="0.3">
      <c r="A724" s="24">
        <v>45356</v>
      </c>
      <c r="B724" t="s">
        <v>355</v>
      </c>
      <c r="C724" t="s">
        <v>250</v>
      </c>
      <c r="D724">
        <v>1.1000000000000001</v>
      </c>
      <c r="E724" t="s">
        <v>356</v>
      </c>
      <c r="F724" t="s">
        <v>31</v>
      </c>
      <c r="G724" t="s">
        <v>738</v>
      </c>
      <c r="H724" t="s">
        <v>14</v>
      </c>
      <c r="I724" s="26" t="s">
        <v>576</v>
      </c>
    </row>
    <row r="725" spans="1:9" x14ac:dyDescent="0.3">
      <c r="A725" s="24">
        <v>45356</v>
      </c>
      <c r="B725" t="s">
        <v>355</v>
      </c>
      <c r="C725" t="s">
        <v>29</v>
      </c>
      <c r="D725">
        <v>1</v>
      </c>
      <c r="E725" t="s">
        <v>91</v>
      </c>
      <c r="F725" t="s">
        <v>31</v>
      </c>
      <c r="G725" t="s">
        <v>739</v>
      </c>
      <c r="H725" t="s">
        <v>14</v>
      </c>
      <c r="I725" s="26" t="s">
        <v>576</v>
      </c>
    </row>
    <row r="726" spans="1:9" x14ac:dyDescent="0.3">
      <c r="A726" s="24">
        <v>45356</v>
      </c>
      <c r="B726" t="s">
        <v>355</v>
      </c>
      <c r="C726" t="s">
        <v>29</v>
      </c>
      <c r="D726">
        <v>1.7</v>
      </c>
      <c r="E726" t="s">
        <v>91</v>
      </c>
      <c r="F726" t="s">
        <v>31</v>
      </c>
      <c r="G726" t="s">
        <v>740</v>
      </c>
      <c r="H726" t="s">
        <v>14</v>
      </c>
      <c r="I726" s="26" t="s">
        <v>576</v>
      </c>
    </row>
    <row r="727" spans="1:9" x14ac:dyDescent="0.3">
      <c r="A727" s="24">
        <v>45356</v>
      </c>
      <c r="B727" t="s">
        <v>355</v>
      </c>
      <c r="C727" t="s">
        <v>202</v>
      </c>
      <c r="D727">
        <v>0.5</v>
      </c>
      <c r="E727" t="s">
        <v>91</v>
      </c>
      <c r="F727" t="s">
        <v>31</v>
      </c>
      <c r="G727" t="s">
        <v>741</v>
      </c>
      <c r="H727" t="s">
        <v>14</v>
      </c>
      <c r="I727" s="26" t="s">
        <v>576</v>
      </c>
    </row>
    <row r="728" spans="1:9" x14ac:dyDescent="0.3">
      <c r="A728" s="24">
        <v>45356</v>
      </c>
      <c r="B728" t="s">
        <v>355</v>
      </c>
      <c r="C728" t="s">
        <v>202</v>
      </c>
      <c r="D728">
        <v>0.5</v>
      </c>
      <c r="E728" t="s">
        <v>91</v>
      </c>
      <c r="F728" t="s">
        <v>31</v>
      </c>
      <c r="G728" t="s">
        <v>742</v>
      </c>
      <c r="H728" t="s">
        <v>14</v>
      </c>
      <c r="I728" s="26" t="s">
        <v>576</v>
      </c>
    </row>
    <row r="729" spans="1:9" x14ac:dyDescent="0.3">
      <c r="A729" s="24">
        <v>45356</v>
      </c>
      <c r="B729" t="s">
        <v>355</v>
      </c>
      <c r="C729" t="s">
        <v>202</v>
      </c>
      <c r="D729">
        <v>0.7</v>
      </c>
      <c r="E729" t="s">
        <v>44</v>
      </c>
      <c r="F729" t="s">
        <v>31</v>
      </c>
      <c r="G729" t="s">
        <v>743</v>
      </c>
      <c r="H729" t="s">
        <v>14</v>
      </c>
      <c r="I729" s="26" t="s">
        <v>576</v>
      </c>
    </row>
    <row r="730" spans="1:9" x14ac:dyDescent="0.3">
      <c r="A730" s="24">
        <v>45356</v>
      </c>
      <c r="B730" t="s">
        <v>355</v>
      </c>
      <c r="C730" t="s">
        <v>202</v>
      </c>
      <c r="D730">
        <v>0.8</v>
      </c>
      <c r="E730" t="s">
        <v>91</v>
      </c>
      <c r="F730" t="s">
        <v>31</v>
      </c>
      <c r="G730" t="s">
        <v>744</v>
      </c>
      <c r="H730" t="s">
        <v>14</v>
      </c>
      <c r="I730" s="26" t="s">
        <v>576</v>
      </c>
    </row>
    <row r="731" spans="1:9" x14ac:dyDescent="0.3">
      <c r="A731" s="24">
        <v>45356</v>
      </c>
      <c r="B731" t="s">
        <v>355</v>
      </c>
      <c r="C731" t="s">
        <v>370</v>
      </c>
      <c r="D731">
        <v>0.4</v>
      </c>
      <c r="E731" t="s">
        <v>371</v>
      </c>
      <c r="F731" t="s">
        <v>31</v>
      </c>
      <c r="G731" t="s">
        <v>745</v>
      </c>
      <c r="H731" t="s">
        <v>14</v>
      </c>
      <c r="I731" s="26" t="s">
        <v>576</v>
      </c>
    </row>
    <row r="732" spans="1:9" x14ac:dyDescent="0.3">
      <c r="A732" s="24">
        <v>45356</v>
      </c>
      <c r="B732" t="s">
        <v>355</v>
      </c>
      <c r="C732" t="s">
        <v>53</v>
      </c>
      <c r="D732">
        <v>0.5</v>
      </c>
      <c r="E732" t="s">
        <v>54</v>
      </c>
      <c r="F732" t="s">
        <v>55</v>
      </c>
      <c r="G732" t="s">
        <v>746</v>
      </c>
      <c r="H732" t="s">
        <v>14</v>
      </c>
      <c r="I732" s="26" t="s">
        <v>576</v>
      </c>
    </row>
    <row r="733" spans="1:9" x14ac:dyDescent="0.3">
      <c r="A733" s="24">
        <v>45356</v>
      </c>
      <c r="B733" t="s">
        <v>374</v>
      </c>
      <c r="C733" t="s">
        <v>53</v>
      </c>
      <c r="D733">
        <v>4</v>
      </c>
      <c r="E733" t="s">
        <v>54</v>
      </c>
      <c r="F733" t="s">
        <v>55</v>
      </c>
      <c r="G733" t="e">
        <f>- prepare and send regularization notice to Cess and Maann - coordinate with Intellicare re change of dependent and deletion of resigned members - send Final pay docs to Charmie and April - distribute New HMO ID cards - email correspondence - General Admin - send inquiry to Sprout</f>
        <v>#NAME?</v>
      </c>
      <c r="H733" t="s">
        <v>14</v>
      </c>
      <c r="I733" s="26" t="s">
        <v>576</v>
      </c>
    </row>
    <row r="734" spans="1:9" x14ac:dyDescent="0.3">
      <c r="A734" s="24">
        <v>45356</v>
      </c>
      <c r="B734" t="s">
        <v>374</v>
      </c>
      <c r="C734" t="s">
        <v>123</v>
      </c>
      <c r="D734">
        <v>4</v>
      </c>
      <c r="E734" t="s">
        <v>54</v>
      </c>
      <c r="F734" t="s">
        <v>55</v>
      </c>
      <c r="G734" t="e">
        <f>- recruitment</f>
        <v>#NAME?</v>
      </c>
      <c r="H734" t="s">
        <v>14</v>
      </c>
      <c r="I734" s="26" t="s">
        <v>576</v>
      </c>
    </row>
    <row r="735" spans="1:9" x14ac:dyDescent="0.3">
      <c r="A735" s="24">
        <v>45357</v>
      </c>
      <c r="B735" t="s">
        <v>28</v>
      </c>
      <c r="C735" t="s">
        <v>29</v>
      </c>
      <c r="D735">
        <v>0.05</v>
      </c>
      <c r="E735" t="s">
        <v>42</v>
      </c>
      <c r="F735" t="s">
        <v>31</v>
      </c>
      <c r="G735" t="s">
        <v>32</v>
      </c>
      <c r="H735" t="s">
        <v>14</v>
      </c>
      <c r="I735" s="26" t="s">
        <v>747</v>
      </c>
    </row>
    <row r="736" spans="1:9" x14ac:dyDescent="0.3">
      <c r="A736" s="24">
        <v>45357</v>
      </c>
      <c r="B736" t="s">
        <v>28</v>
      </c>
      <c r="C736" t="s">
        <v>29</v>
      </c>
      <c r="D736">
        <v>7.0000000000000007E-2</v>
      </c>
      <c r="E736" t="s">
        <v>37</v>
      </c>
      <c r="F736" t="s">
        <v>31</v>
      </c>
      <c r="G736" t="s">
        <v>32</v>
      </c>
      <c r="H736" t="s">
        <v>14</v>
      </c>
      <c r="I736" s="26" t="s">
        <v>747</v>
      </c>
    </row>
    <row r="737" spans="1:9" x14ac:dyDescent="0.3">
      <c r="A737" s="24">
        <v>45357</v>
      </c>
      <c r="B737" t="s">
        <v>28</v>
      </c>
      <c r="C737" t="s">
        <v>29</v>
      </c>
      <c r="D737">
        <v>0.1</v>
      </c>
      <c r="E737" t="s">
        <v>748</v>
      </c>
      <c r="F737" t="s">
        <v>31</v>
      </c>
      <c r="G737" t="s">
        <v>32</v>
      </c>
      <c r="H737" t="s">
        <v>14</v>
      </c>
      <c r="I737" s="26" t="s">
        <v>747</v>
      </c>
    </row>
    <row r="738" spans="1:9" x14ac:dyDescent="0.3">
      <c r="A738" s="24">
        <v>45357</v>
      </c>
      <c r="B738" t="s">
        <v>28</v>
      </c>
      <c r="C738" t="s">
        <v>29</v>
      </c>
      <c r="D738">
        <v>0.1</v>
      </c>
      <c r="E738" t="s">
        <v>42</v>
      </c>
      <c r="F738" t="s">
        <v>31</v>
      </c>
      <c r="G738" t="s">
        <v>36</v>
      </c>
      <c r="H738" t="s">
        <v>14</v>
      </c>
      <c r="I738" s="26" t="s">
        <v>747</v>
      </c>
    </row>
    <row r="739" spans="1:9" x14ac:dyDescent="0.3">
      <c r="A739" s="24">
        <v>45357</v>
      </c>
      <c r="B739" t="s">
        <v>28</v>
      </c>
      <c r="C739" t="s">
        <v>29</v>
      </c>
      <c r="D739">
        <v>0.12</v>
      </c>
      <c r="E739" t="s">
        <v>40</v>
      </c>
      <c r="F739" t="s">
        <v>31</v>
      </c>
      <c r="G739" t="s">
        <v>749</v>
      </c>
      <c r="H739" t="s">
        <v>14</v>
      </c>
      <c r="I739" s="26" t="s">
        <v>747</v>
      </c>
    </row>
    <row r="740" spans="1:9" x14ac:dyDescent="0.3">
      <c r="A740" s="24">
        <v>45357</v>
      </c>
      <c r="B740" t="s">
        <v>28</v>
      </c>
      <c r="C740" t="s">
        <v>29</v>
      </c>
      <c r="D740">
        <v>0.13</v>
      </c>
      <c r="E740" t="s">
        <v>44</v>
      </c>
      <c r="F740" t="s">
        <v>31</v>
      </c>
      <c r="G740" t="s">
        <v>750</v>
      </c>
      <c r="H740" t="s">
        <v>14</v>
      </c>
      <c r="I740" s="26" t="s">
        <v>747</v>
      </c>
    </row>
    <row r="741" spans="1:9" x14ac:dyDescent="0.3">
      <c r="A741" s="24">
        <v>45357</v>
      </c>
      <c r="B741" t="s">
        <v>28</v>
      </c>
      <c r="C741" t="s">
        <v>29</v>
      </c>
      <c r="D741">
        <v>0.15</v>
      </c>
      <c r="E741" t="s">
        <v>42</v>
      </c>
      <c r="F741" t="s">
        <v>31</v>
      </c>
      <c r="G741" t="s">
        <v>38</v>
      </c>
      <c r="H741" t="s">
        <v>14</v>
      </c>
      <c r="I741" s="26" t="s">
        <v>747</v>
      </c>
    </row>
    <row r="742" spans="1:9" x14ac:dyDescent="0.3">
      <c r="A742" s="24">
        <v>45357</v>
      </c>
      <c r="B742" t="s">
        <v>28</v>
      </c>
      <c r="C742" t="s">
        <v>29</v>
      </c>
      <c r="D742">
        <v>0.17</v>
      </c>
      <c r="E742" t="s">
        <v>42</v>
      </c>
      <c r="F742" t="s">
        <v>31</v>
      </c>
      <c r="G742" t="s">
        <v>243</v>
      </c>
      <c r="H742" t="s">
        <v>14</v>
      </c>
      <c r="I742" s="26" t="s">
        <v>747</v>
      </c>
    </row>
    <row r="743" spans="1:9" x14ac:dyDescent="0.3">
      <c r="A743" s="24">
        <v>45357</v>
      </c>
      <c r="B743" t="s">
        <v>28</v>
      </c>
      <c r="C743" t="s">
        <v>29</v>
      </c>
      <c r="D743">
        <v>0.18</v>
      </c>
      <c r="E743" t="s">
        <v>42</v>
      </c>
      <c r="F743" t="s">
        <v>31</v>
      </c>
      <c r="G743" t="s">
        <v>579</v>
      </c>
      <c r="H743" t="s">
        <v>14</v>
      </c>
      <c r="I743" s="26" t="s">
        <v>747</v>
      </c>
    </row>
    <row r="744" spans="1:9" x14ac:dyDescent="0.3">
      <c r="A744" s="24">
        <v>45357</v>
      </c>
      <c r="B744" t="s">
        <v>28</v>
      </c>
      <c r="C744" t="s">
        <v>29</v>
      </c>
      <c r="D744">
        <v>0.2</v>
      </c>
      <c r="E744" t="s">
        <v>30</v>
      </c>
      <c r="F744" t="s">
        <v>31</v>
      </c>
      <c r="G744" t="s">
        <v>751</v>
      </c>
      <c r="H744" t="s">
        <v>14</v>
      </c>
      <c r="I744" s="26" t="s">
        <v>747</v>
      </c>
    </row>
    <row r="745" spans="1:9" x14ac:dyDescent="0.3">
      <c r="A745" s="24">
        <v>45357</v>
      </c>
      <c r="B745" t="s">
        <v>28</v>
      </c>
      <c r="C745" t="s">
        <v>29</v>
      </c>
      <c r="D745">
        <v>0.22</v>
      </c>
      <c r="E745" t="s">
        <v>35</v>
      </c>
      <c r="F745" t="s">
        <v>31</v>
      </c>
      <c r="G745" t="s">
        <v>32</v>
      </c>
      <c r="H745" t="s">
        <v>14</v>
      </c>
      <c r="I745" s="26" t="s">
        <v>747</v>
      </c>
    </row>
    <row r="746" spans="1:9" x14ac:dyDescent="0.3">
      <c r="A746" s="24">
        <v>45357</v>
      </c>
      <c r="B746" t="s">
        <v>28</v>
      </c>
      <c r="C746" t="s">
        <v>29</v>
      </c>
      <c r="D746">
        <v>0.27</v>
      </c>
      <c r="E746" t="s">
        <v>40</v>
      </c>
      <c r="F746" t="s">
        <v>31</v>
      </c>
      <c r="G746" t="s">
        <v>750</v>
      </c>
      <c r="H746" t="s">
        <v>14</v>
      </c>
      <c r="I746" s="26" t="s">
        <v>747</v>
      </c>
    </row>
    <row r="747" spans="1:9" x14ac:dyDescent="0.3">
      <c r="A747" s="24">
        <v>45357</v>
      </c>
      <c r="B747" t="s">
        <v>28</v>
      </c>
      <c r="C747" t="s">
        <v>29</v>
      </c>
      <c r="D747">
        <v>0.57999999999999996</v>
      </c>
      <c r="E747" t="s">
        <v>49</v>
      </c>
      <c r="F747" t="s">
        <v>31</v>
      </c>
      <c r="G747" t="s">
        <v>579</v>
      </c>
      <c r="H747" t="s">
        <v>14</v>
      </c>
      <c r="I747" s="26" t="s">
        <v>747</v>
      </c>
    </row>
    <row r="748" spans="1:9" x14ac:dyDescent="0.3">
      <c r="A748" s="24">
        <v>45357</v>
      </c>
      <c r="B748" t="s">
        <v>28</v>
      </c>
      <c r="C748" t="s">
        <v>29</v>
      </c>
      <c r="D748">
        <v>0.73</v>
      </c>
      <c r="E748" t="s">
        <v>35</v>
      </c>
      <c r="F748" t="s">
        <v>31</v>
      </c>
      <c r="G748" t="s">
        <v>47</v>
      </c>
      <c r="H748" t="s">
        <v>14</v>
      </c>
      <c r="I748" s="26" t="s">
        <v>747</v>
      </c>
    </row>
    <row r="749" spans="1:9" x14ac:dyDescent="0.3">
      <c r="A749" s="24">
        <v>45357</v>
      </c>
      <c r="B749" t="s">
        <v>28</v>
      </c>
      <c r="C749" t="s">
        <v>29</v>
      </c>
      <c r="D749">
        <v>0.87</v>
      </c>
      <c r="E749" t="s">
        <v>48</v>
      </c>
      <c r="F749" t="s">
        <v>31</v>
      </c>
      <c r="G749" t="s">
        <v>38</v>
      </c>
      <c r="H749" t="s">
        <v>14</v>
      </c>
      <c r="I749" s="26" t="s">
        <v>747</v>
      </c>
    </row>
    <row r="750" spans="1:9" x14ac:dyDescent="0.3">
      <c r="A750" s="24">
        <v>45357</v>
      </c>
      <c r="B750" t="s">
        <v>28</v>
      </c>
      <c r="C750" t="s">
        <v>29</v>
      </c>
      <c r="D750">
        <v>0.97</v>
      </c>
      <c r="E750" t="s">
        <v>49</v>
      </c>
      <c r="F750" t="s">
        <v>31</v>
      </c>
      <c r="G750" t="s">
        <v>50</v>
      </c>
      <c r="H750" t="s">
        <v>14</v>
      </c>
      <c r="I750" s="26" t="s">
        <v>747</v>
      </c>
    </row>
    <row r="751" spans="1:9" x14ac:dyDescent="0.3">
      <c r="A751" s="24">
        <v>45357</v>
      </c>
      <c r="B751" t="s">
        <v>28</v>
      </c>
      <c r="C751" t="s">
        <v>58</v>
      </c>
      <c r="D751">
        <v>0.52</v>
      </c>
      <c r="E751" t="s">
        <v>54</v>
      </c>
      <c r="F751" t="s">
        <v>55</v>
      </c>
      <c r="G751" t="s">
        <v>752</v>
      </c>
      <c r="H751" t="s">
        <v>14</v>
      </c>
      <c r="I751" s="26" t="s">
        <v>747</v>
      </c>
    </row>
    <row r="752" spans="1:9" x14ac:dyDescent="0.3">
      <c r="A752" s="24">
        <v>45357</v>
      </c>
      <c r="B752" t="s">
        <v>28</v>
      </c>
      <c r="C752" t="s">
        <v>58</v>
      </c>
      <c r="D752">
        <v>1.77</v>
      </c>
      <c r="E752" t="s">
        <v>54</v>
      </c>
      <c r="F752" t="s">
        <v>55</v>
      </c>
      <c r="G752" t="s">
        <v>712</v>
      </c>
      <c r="H752" t="s">
        <v>14</v>
      </c>
      <c r="I752" s="26" t="s">
        <v>747</v>
      </c>
    </row>
    <row r="753" spans="1:9" x14ac:dyDescent="0.3">
      <c r="A753" s="24">
        <v>45357</v>
      </c>
      <c r="B753" t="s">
        <v>28</v>
      </c>
      <c r="C753" t="s">
        <v>60</v>
      </c>
      <c r="D753">
        <v>0.05</v>
      </c>
      <c r="E753" t="s">
        <v>48</v>
      </c>
      <c r="F753" t="s">
        <v>31</v>
      </c>
      <c r="G753" t="s">
        <v>753</v>
      </c>
      <c r="H753" t="s">
        <v>14</v>
      </c>
      <c r="I753" s="26" t="s">
        <v>747</v>
      </c>
    </row>
    <row r="754" spans="1:9" x14ac:dyDescent="0.3">
      <c r="A754" s="24">
        <v>45357</v>
      </c>
      <c r="B754" t="s">
        <v>28</v>
      </c>
      <c r="C754" t="s">
        <v>60</v>
      </c>
      <c r="D754">
        <v>0.1</v>
      </c>
      <c r="E754" t="s">
        <v>37</v>
      </c>
      <c r="F754" t="s">
        <v>31</v>
      </c>
      <c r="H754" t="s">
        <v>14</v>
      </c>
      <c r="I754" s="26" t="s">
        <v>747</v>
      </c>
    </row>
    <row r="755" spans="1:9" x14ac:dyDescent="0.3">
      <c r="A755" s="24">
        <v>45357</v>
      </c>
      <c r="B755" t="s">
        <v>28</v>
      </c>
      <c r="C755" t="s">
        <v>60</v>
      </c>
      <c r="D755">
        <v>0.32</v>
      </c>
      <c r="E755" t="s">
        <v>61</v>
      </c>
      <c r="F755" t="s">
        <v>31</v>
      </c>
      <c r="G755" t="s">
        <v>32</v>
      </c>
      <c r="H755" t="s">
        <v>14</v>
      </c>
      <c r="I755" s="26" t="s">
        <v>747</v>
      </c>
    </row>
    <row r="756" spans="1:9" x14ac:dyDescent="0.3">
      <c r="A756" s="24">
        <v>45357</v>
      </c>
      <c r="B756" t="s">
        <v>28</v>
      </c>
      <c r="C756" t="s">
        <v>60</v>
      </c>
      <c r="D756">
        <v>0.35</v>
      </c>
      <c r="E756" t="s">
        <v>582</v>
      </c>
      <c r="F756" t="s">
        <v>31</v>
      </c>
      <c r="H756" t="s">
        <v>14</v>
      </c>
      <c r="I756" s="26" t="s">
        <v>747</v>
      </c>
    </row>
    <row r="757" spans="1:9" x14ac:dyDescent="0.3">
      <c r="A757" s="24">
        <v>45357</v>
      </c>
      <c r="B757" t="s">
        <v>64</v>
      </c>
      <c r="C757" t="s">
        <v>65</v>
      </c>
      <c r="D757">
        <v>1.17</v>
      </c>
      <c r="E757" t="s">
        <v>66</v>
      </c>
      <c r="F757" t="s">
        <v>31</v>
      </c>
      <c r="G757" t="s">
        <v>754</v>
      </c>
      <c r="H757" t="s">
        <v>14</v>
      </c>
      <c r="I757" s="26" t="s">
        <v>747</v>
      </c>
    </row>
    <row r="758" spans="1:9" x14ac:dyDescent="0.3">
      <c r="A758" s="24">
        <v>45357</v>
      </c>
      <c r="B758" t="s">
        <v>64</v>
      </c>
      <c r="C758" t="s">
        <v>68</v>
      </c>
      <c r="D758">
        <v>0.5</v>
      </c>
      <c r="E758" t="s">
        <v>66</v>
      </c>
      <c r="F758" t="s">
        <v>31</v>
      </c>
      <c r="G758" t="s">
        <v>755</v>
      </c>
      <c r="H758" t="s">
        <v>14</v>
      </c>
      <c r="I758" s="26" t="s">
        <v>747</v>
      </c>
    </row>
    <row r="759" spans="1:9" x14ac:dyDescent="0.3">
      <c r="A759" s="24">
        <v>45357</v>
      </c>
      <c r="B759" t="s">
        <v>64</v>
      </c>
      <c r="C759" t="s">
        <v>70</v>
      </c>
      <c r="D759">
        <v>0.57999999999999996</v>
      </c>
      <c r="E759" t="s">
        <v>66</v>
      </c>
      <c r="F759" t="s">
        <v>31</v>
      </c>
      <c r="G759" t="s">
        <v>756</v>
      </c>
      <c r="H759" t="s">
        <v>14</v>
      </c>
      <c r="I759" s="26" t="s">
        <v>747</v>
      </c>
    </row>
    <row r="760" spans="1:9" x14ac:dyDescent="0.3">
      <c r="A760" s="24">
        <v>45357</v>
      </c>
      <c r="B760" t="s">
        <v>72</v>
      </c>
      <c r="C760" t="s">
        <v>29</v>
      </c>
      <c r="D760">
        <v>7.0000000000000007E-2</v>
      </c>
      <c r="E760" t="s">
        <v>358</v>
      </c>
      <c r="F760" t="s">
        <v>31</v>
      </c>
      <c r="G760" t="s">
        <v>757</v>
      </c>
      <c r="H760" t="s">
        <v>14</v>
      </c>
      <c r="I760" s="26" t="s">
        <v>747</v>
      </c>
    </row>
    <row r="761" spans="1:9" x14ac:dyDescent="0.3">
      <c r="A761" s="24">
        <v>45357</v>
      </c>
      <c r="B761" t="s">
        <v>72</v>
      </c>
      <c r="C761" t="s">
        <v>29</v>
      </c>
      <c r="D761">
        <v>2.2000000000000002</v>
      </c>
      <c r="E761" t="s">
        <v>271</v>
      </c>
      <c r="F761" t="s">
        <v>31</v>
      </c>
      <c r="H761" t="s">
        <v>14</v>
      </c>
      <c r="I761" s="26" t="s">
        <v>747</v>
      </c>
    </row>
    <row r="762" spans="1:9" x14ac:dyDescent="0.3">
      <c r="A762" s="24">
        <v>45357</v>
      </c>
      <c r="B762" t="s">
        <v>72</v>
      </c>
      <c r="C762" t="s">
        <v>29</v>
      </c>
      <c r="D762">
        <v>3.83</v>
      </c>
      <c r="E762" t="s">
        <v>358</v>
      </c>
      <c r="F762" t="s">
        <v>31</v>
      </c>
      <c r="G762" t="s">
        <v>758</v>
      </c>
      <c r="H762" t="s">
        <v>14</v>
      </c>
      <c r="I762" s="26" t="s">
        <v>747</v>
      </c>
    </row>
    <row r="763" spans="1:9" x14ac:dyDescent="0.3">
      <c r="A763" s="24">
        <v>45357</v>
      </c>
      <c r="B763" t="s">
        <v>72</v>
      </c>
      <c r="C763" t="s">
        <v>53</v>
      </c>
      <c r="D763">
        <v>0.12</v>
      </c>
      <c r="E763" t="s">
        <v>54</v>
      </c>
      <c r="F763" t="s">
        <v>55</v>
      </c>
      <c r="G763" t="s">
        <v>759</v>
      </c>
      <c r="H763" t="s">
        <v>14</v>
      </c>
      <c r="I763" s="26" t="s">
        <v>747</v>
      </c>
    </row>
    <row r="764" spans="1:9" x14ac:dyDescent="0.3">
      <c r="A764" s="24">
        <v>45357</v>
      </c>
      <c r="B764" t="s">
        <v>72</v>
      </c>
      <c r="C764" t="s">
        <v>53</v>
      </c>
      <c r="D764">
        <v>0.88</v>
      </c>
      <c r="E764" t="s">
        <v>54</v>
      </c>
      <c r="F764" t="s">
        <v>55</v>
      </c>
      <c r="H764" t="s">
        <v>14</v>
      </c>
      <c r="I764" s="26" t="s">
        <v>747</v>
      </c>
    </row>
    <row r="765" spans="1:9" x14ac:dyDescent="0.3">
      <c r="A765" s="24">
        <v>45357</v>
      </c>
      <c r="B765" t="s">
        <v>72</v>
      </c>
      <c r="C765" t="s">
        <v>53</v>
      </c>
      <c r="D765">
        <v>1</v>
      </c>
      <c r="E765" t="s">
        <v>54</v>
      </c>
      <c r="F765" t="s">
        <v>55</v>
      </c>
      <c r="G765" t="s">
        <v>760</v>
      </c>
      <c r="H765" t="s">
        <v>14</v>
      </c>
      <c r="I765" s="26" t="s">
        <v>747</v>
      </c>
    </row>
    <row r="766" spans="1:9" x14ac:dyDescent="0.3">
      <c r="A766" s="24">
        <v>45357</v>
      </c>
      <c r="B766" t="s">
        <v>75</v>
      </c>
      <c r="C766" t="s">
        <v>77</v>
      </c>
      <c r="D766">
        <v>8</v>
      </c>
      <c r="E766" t="s">
        <v>54</v>
      </c>
      <c r="F766" t="s">
        <v>55</v>
      </c>
      <c r="G766" t="s">
        <v>761</v>
      </c>
      <c r="H766" t="s">
        <v>14</v>
      </c>
      <c r="I766" s="26" t="s">
        <v>747</v>
      </c>
    </row>
    <row r="767" spans="1:9" x14ac:dyDescent="0.3">
      <c r="A767" s="24">
        <v>45357</v>
      </c>
      <c r="B767" t="s">
        <v>79</v>
      </c>
      <c r="C767" t="s">
        <v>77</v>
      </c>
      <c r="D767">
        <v>8</v>
      </c>
      <c r="E767" t="s">
        <v>54</v>
      </c>
      <c r="F767" t="s">
        <v>55</v>
      </c>
      <c r="H767" t="s">
        <v>14</v>
      </c>
      <c r="I767" s="26" t="s">
        <v>747</v>
      </c>
    </row>
    <row r="768" spans="1:9" x14ac:dyDescent="0.3">
      <c r="A768" s="24">
        <v>45357</v>
      </c>
      <c r="B768" t="s">
        <v>80</v>
      </c>
      <c r="C768" t="s">
        <v>29</v>
      </c>
      <c r="D768">
        <v>0.53</v>
      </c>
      <c r="E768" t="s">
        <v>81</v>
      </c>
      <c r="F768" t="s">
        <v>31</v>
      </c>
      <c r="G768" t="s">
        <v>762</v>
      </c>
      <c r="H768" t="s">
        <v>14</v>
      </c>
      <c r="I768" s="26" t="s">
        <v>747</v>
      </c>
    </row>
    <row r="769" spans="1:9" x14ac:dyDescent="0.3">
      <c r="A769" s="24">
        <v>45357</v>
      </c>
      <c r="B769" t="s">
        <v>80</v>
      </c>
      <c r="C769" t="s">
        <v>29</v>
      </c>
      <c r="D769">
        <v>1.73</v>
      </c>
      <c r="E769" t="s">
        <v>81</v>
      </c>
      <c r="F769" t="s">
        <v>31</v>
      </c>
      <c r="G769" t="s">
        <v>83</v>
      </c>
      <c r="H769" t="s">
        <v>14</v>
      </c>
      <c r="I769" s="26" t="s">
        <v>747</v>
      </c>
    </row>
    <row r="770" spans="1:9" x14ac:dyDescent="0.3">
      <c r="A770" s="24">
        <v>45357</v>
      </c>
      <c r="B770" t="s">
        <v>80</v>
      </c>
      <c r="C770" t="s">
        <v>29</v>
      </c>
      <c r="D770">
        <v>2.4</v>
      </c>
      <c r="E770" t="s">
        <v>81</v>
      </c>
      <c r="F770" t="s">
        <v>31</v>
      </c>
      <c r="G770" t="s">
        <v>763</v>
      </c>
      <c r="H770" t="s">
        <v>14</v>
      </c>
      <c r="I770" s="26" t="s">
        <v>747</v>
      </c>
    </row>
    <row r="771" spans="1:9" x14ac:dyDescent="0.3">
      <c r="A771" s="24">
        <v>45357</v>
      </c>
      <c r="B771" t="s">
        <v>80</v>
      </c>
      <c r="C771" t="s">
        <v>29</v>
      </c>
      <c r="D771">
        <v>2.63</v>
      </c>
      <c r="E771" t="s">
        <v>81</v>
      </c>
      <c r="F771" t="s">
        <v>31</v>
      </c>
      <c r="G771" t="s">
        <v>764</v>
      </c>
      <c r="H771" t="s">
        <v>14</v>
      </c>
      <c r="I771" s="26" t="s">
        <v>747</v>
      </c>
    </row>
    <row r="772" spans="1:9" x14ac:dyDescent="0.3">
      <c r="A772" s="24">
        <v>45357</v>
      </c>
      <c r="B772" t="s">
        <v>80</v>
      </c>
      <c r="C772" t="s">
        <v>58</v>
      </c>
      <c r="D772">
        <v>2</v>
      </c>
      <c r="E772" t="s">
        <v>54</v>
      </c>
      <c r="F772" t="s">
        <v>55</v>
      </c>
      <c r="G772" t="s">
        <v>712</v>
      </c>
      <c r="H772" t="s">
        <v>14</v>
      </c>
      <c r="I772" s="26" t="s">
        <v>747</v>
      </c>
    </row>
    <row r="773" spans="1:9" x14ac:dyDescent="0.3">
      <c r="A773" s="24">
        <v>45357</v>
      </c>
      <c r="B773" t="s">
        <v>88</v>
      </c>
      <c r="C773" t="s">
        <v>89</v>
      </c>
      <c r="D773">
        <v>3</v>
      </c>
      <c r="E773" t="s">
        <v>54</v>
      </c>
      <c r="F773" t="s">
        <v>55</v>
      </c>
      <c r="H773" t="s">
        <v>14</v>
      </c>
      <c r="I773" s="26" t="s">
        <v>747</v>
      </c>
    </row>
    <row r="774" spans="1:9" x14ac:dyDescent="0.3">
      <c r="A774" s="24">
        <v>45357</v>
      </c>
      <c r="B774" t="s">
        <v>88</v>
      </c>
      <c r="C774" t="s">
        <v>394</v>
      </c>
      <c r="D774">
        <v>3</v>
      </c>
      <c r="E774" t="s">
        <v>54</v>
      </c>
      <c r="F774" t="s">
        <v>55</v>
      </c>
      <c r="G774" t="s">
        <v>765</v>
      </c>
      <c r="H774" t="s">
        <v>14</v>
      </c>
      <c r="I774" s="26" t="s">
        <v>747</v>
      </c>
    </row>
    <row r="775" spans="1:9" x14ac:dyDescent="0.3">
      <c r="A775" s="24">
        <v>45357</v>
      </c>
      <c r="B775" t="s">
        <v>88</v>
      </c>
      <c r="C775" t="s">
        <v>58</v>
      </c>
      <c r="D775">
        <v>2</v>
      </c>
      <c r="E775" t="s">
        <v>54</v>
      </c>
      <c r="F775" t="s">
        <v>55</v>
      </c>
      <c r="G775" t="s">
        <v>766</v>
      </c>
      <c r="H775" t="s">
        <v>14</v>
      </c>
      <c r="I775" s="26" t="s">
        <v>747</v>
      </c>
    </row>
    <row r="776" spans="1:9" x14ac:dyDescent="0.3">
      <c r="A776" s="24">
        <v>45357</v>
      </c>
      <c r="B776" t="s">
        <v>99</v>
      </c>
      <c r="C776" t="s">
        <v>601</v>
      </c>
      <c r="D776">
        <v>9.18</v>
      </c>
      <c r="E776" t="s">
        <v>54</v>
      </c>
      <c r="F776" t="s">
        <v>55</v>
      </c>
      <c r="G776" t="s">
        <v>767</v>
      </c>
      <c r="H776" t="s">
        <v>14</v>
      </c>
      <c r="I776" s="26" t="s">
        <v>747</v>
      </c>
    </row>
    <row r="777" spans="1:9" x14ac:dyDescent="0.3">
      <c r="A777" s="24">
        <v>45357</v>
      </c>
      <c r="B777" t="s">
        <v>101</v>
      </c>
      <c r="C777" t="s">
        <v>29</v>
      </c>
      <c r="D777">
        <v>0.17</v>
      </c>
      <c r="E777" t="s">
        <v>195</v>
      </c>
      <c r="F777" t="s">
        <v>55</v>
      </c>
      <c r="G777" t="s">
        <v>768</v>
      </c>
      <c r="H777" t="s">
        <v>14</v>
      </c>
      <c r="I777" s="26" t="s">
        <v>747</v>
      </c>
    </row>
    <row r="778" spans="1:9" x14ac:dyDescent="0.3">
      <c r="A778" s="24">
        <v>45357</v>
      </c>
      <c r="B778" t="s">
        <v>101</v>
      </c>
      <c r="C778" t="s">
        <v>29</v>
      </c>
      <c r="D778">
        <v>0.33</v>
      </c>
      <c r="E778" t="s">
        <v>229</v>
      </c>
      <c r="F778" t="s">
        <v>31</v>
      </c>
      <c r="G778" t="s">
        <v>769</v>
      </c>
      <c r="H778" t="s">
        <v>14</v>
      </c>
      <c r="I778" s="26" t="s">
        <v>747</v>
      </c>
    </row>
    <row r="779" spans="1:9" x14ac:dyDescent="0.3">
      <c r="A779" s="24">
        <v>45357</v>
      </c>
      <c r="B779" t="s">
        <v>101</v>
      </c>
      <c r="C779" t="s">
        <v>29</v>
      </c>
      <c r="D779">
        <v>0.42</v>
      </c>
      <c r="E779" t="s">
        <v>108</v>
      </c>
      <c r="F779" t="s">
        <v>31</v>
      </c>
      <c r="G779" t="s">
        <v>770</v>
      </c>
      <c r="H779" t="s">
        <v>14</v>
      </c>
      <c r="I779" s="26" t="s">
        <v>747</v>
      </c>
    </row>
    <row r="780" spans="1:9" x14ac:dyDescent="0.3">
      <c r="A780" s="24">
        <v>45357</v>
      </c>
      <c r="B780" t="s">
        <v>101</v>
      </c>
      <c r="C780" t="s">
        <v>29</v>
      </c>
      <c r="D780">
        <v>0.57999999999999996</v>
      </c>
      <c r="E780" t="s">
        <v>725</v>
      </c>
      <c r="F780" t="s">
        <v>55</v>
      </c>
      <c r="G780" t="s">
        <v>771</v>
      </c>
      <c r="H780" t="s">
        <v>14</v>
      </c>
      <c r="I780" s="26" t="s">
        <v>747</v>
      </c>
    </row>
    <row r="781" spans="1:9" x14ac:dyDescent="0.3">
      <c r="A781" s="24">
        <v>45357</v>
      </c>
      <c r="B781" t="s">
        <v>101</v>
      </c>
      <c r="C781" t="s">
        <v>29</v>
      </c>
      <c r="D781">
        <v>0.75</v>
      </c>
      <c r="E781" t="s">
        <v>106</v>
      </c>
      <c r="F781" t="s">
        <v>31</v>
      </c>
      <c r="G781" t="s">
        <v>769</v>
      </c>
      <c r="H781" t="s">
        <v>14</v>
      </c>
      <c r="I781" s="26" t="s">
        <v>747</v>
      </c>
    </row>
    <row r="782" spans="1:9" x14ac:dyDescent="0.3">
      <c r="A782" s="24">
        <v>45357</v>
      </c>
      <c r="B782" t="s">
        <v>101</v>
      </c>
      <c r="C782" t="s">
        <v>29</v>
      </c>
      <c r="D782">
        <v>1.08</v>
      </c>
      <c r="E782" t="s">
        <v>725</v>
      </c>
      <c r="F782" t="s">
        <v>31</v>
      </c>
      <c r="G782" t="s">
        <v>772</v>
      </c>
      <c r="H782" t="s">
        <v>14</v>
      </c>
      <c r="I782" s="26" t="s">
        <v>747</v>
      </c>
    </row>
    <row r="783" spans="1:9" x14ac:dyDescent="0.3">
      <c r="A783" s="24">
        <v>45357</v>
      </c>
      <c r="B783" t="s">
        <v>101</v>
      </c>
      <c r="C783" t="s">
        <v>29</v>
      </c>
      <c r="D783">
        <v>1.25</v>
      </c>
      <c r="E783" t="s">
        <v>104</v>
      </c>
      <c r="F783" t="s">
        <v>31</v>
      </c>
      <c r="G783" t="s">
        <v>769</v>
      </c>
      <c r="H783" t="s">
        <v>14</v>
      </c>
      <c r="I783" s="26" t="s">
        <v>747</v>
      </c>
    </row>
    <row r="784" spans="1:9" x14ac:dyDescent="0.3">
      <c r="A784" s="24">
        <v>45357</v>
      </c>
      <c r="B784" t="s">
        <v>101</v>
      </c>
      <c r="C784" t="s">
        <v>29</v>
      </c>
      <c r="D784">
        <v>2.58</v>
      </c>
      <c r="E784" t="s">
        <v>195</v>
      </c>
      <c r="F784" t="s">
        <v>31</v>
      </c>
      <c r="G784" t="s">
        <v>773</v>
      </c>
      <c r="H784" t="s">
        <v>14</v>
      </c>
      <c r="I784" s="26" t="s">
        <v>747</v>
      </c>
    </row>
    <row r="785" spans="1:9" x14ac:dyDescent="0.3">
      <c r="A785" s="24">
        <v>45357</v>
      </c>
      <c r="B785" t="s">
        <v>101</v>
      </c>
      <c r="C785" t="s">
        <v>53</v>
      </c>
      <c r="D785">
        <v>0.5</v>
      </c>
      <c r="E785" t="s">
        <v>54</v>
      </c>
      <c r="F785" t="s">
        <v>55</v>
      </c>
      <c r="G785" t="s">
        <v>110</v>
      </c>
      <c r="H785" t="s">
        <v>14</v>
      </c>
      <c r="I785" s="26" t="s">
        <v>747</v>
      </c>
    </row>
    <row r="786" spans="1:9" x14ac:dyDescent="0.3">
      <c r="A786" s="24">
        <v>45357</v>
      </c>
      <c r="B786" t="s">
        <v>101</v>
      </c>
      <c r="C786" t="s">
        <v>60</v>
      </c>
      <c r="D786">
        <v>0.33</v>
      </c>
      <c r="E786" t="s">
        <v>195</v>
      </c>
      <c r="F786" t="s">
        <v>31</v>
      </c>
      <c r="G786" t="s">
        <v>774</v>
      </c>
      <c r="H786" t="s">
        <v>14</v>
      </c>
      <c r="I786" s="26" t="s">
        <v>747</v>
      </c>
    </row>
    <row r="787" spans="1:9" x14ac:dyDescent="0.3">
      <c r="A787" s="24">
        <v>45357</v>
      </c>
      <c r="B787" t="s">
        <v>402</v>
      </c>
      <c r="C787" t="s">
        <v>403</v>
      </c>
      <c r="D787">
        <v>2</v>
      </c>
      <c r="E787" t="s">
        <v>39</v>
      </c>
      <c r="F787" t="s">
        <v>31</v>
      </c>
      <c r="H787" t="s">
        <v>14</v>
      </c>
      <c r="I787" s="26" t="s">
        <v>747</v>
      </c>
    </row>
    <row r="788" spans="1:9" x14ac:dyDescent="0.3">
      <c r="A788" s="24">
        <v>45357</v>
      </c>
      <c r="B788" t="s">
        <v>402</v>
      </c>
      <c r="C788" t="s">
        <v>403</v>
      </c>
      <c r="D788">
        <v>3</v>
      </c>
      <c r="E788" t="s">
        <v>39</v>
      </c>
      <c r="F788" t="s">
        <v>31</v>
      </c>
      <c r="G788" t="s">
        <v>775</v>
      </c>
      <c r="H788" t="s">
        <v>14</v>
      </c>
      <c r="I788" s="26" t="s">
        <v>747</v>
      </c>
    </row>
    <row r="789" spans="1:9" x14ac:dyDescent="0.3">
      <c r="A789" s="24">
        <v>45357</v>
      </c>
      <c r="B789" t="s">
        <v>402</v>
      </c>
      <c r="C789" t="s">
        <v>405</v>
      </c>
      <c r="D789">
        <v>0.5</v>
      </c>
      <c r="E789" t="s">
        <v>42</v>
      </c>
      <c r="F789" t="s">
        <v>31</v>
      </c>
      <c r="G789" t="s">
        <v>776</v>
      </c>
      <c r="H789" t="s">
        <v>14</v>
      </c>
      <c r="I789" s="26" t="s">
        <v>747</v>
      </c>
    </row>
    <row r="790" spans="1:9" x14ac:dyDescent="0.3">
      <c r="A790" s="24">
        <v>45357</v>
      </c>
      <c r="B790" t="s">
        <v>113</v>
      </c>
      <c r="C790" t="s">
        <v>29</v>
      </c>
      <c r="D790">
        <v>0.32</v>
      </c>
      <c r="E790" t="s">
        <v>437</v>
      </c>
      <c r="F790" t="s">
        <v>31</v>
      </c>
      <c r="G790" t="s">
        <v>777</v>
      </c>
      <c r="H790" t="s">
        <v>14</v>
      </c>
      <c r="I790" s="26" t="s">
        <v>747</v>
      </c>
    </row>
    <row r="791" spans="1:9" x14ac:dyDescent="0.3">
      <c r="A791" s="24">
        <v>45357</v>
      </c>
      <c r="B791" t="s">
        <v>113</v>
      </c>
      <c r="C791" t="s">
        <v>29</v>
      </c>
      <c r="D791">
        <v>1.8</v>
      </c>
      <c r="E791" t="s">
        <v>195</v>
      </c>
      <c r="F791" t="s">
        <v>31</v>
      </c>
      <c r="G791" t="s">
        <v>606</v>
      </c>
      <c r="H791" t="s">
        <v>14</v>
      </c>
      <c r="I791" s="26" t="s">
        <v>747</v>
      </c>
    </row>
    <row r="792" spans="1:9" x14ac:dyDescent="0.3">
      <c r="A792" s="24">
        <v>45357</v>
      </c>
      <c r="B792" t="s">
        <v>113</v>
      </c>
      <c r="C792" t="s">
        <v>778</v>
      </c>
      <c r="D792">
        <v>0.45</v>
      </c>
      <c r="E792" t="s">
        <v>143</v>
      </c>
      <c r="F792" t="s">
        <v>31</v>
      </c>
      <c r="G792" t="s">
        <v>779</v>
      </c>
      <c r="H792" t="s">
        <v>14</v>
      </c>
      <c r="I792" s="26" t="s">
        <v>747</v>
      </c>
    </row>
    <row r="793" spans="1:9" x14ac:dyDescent="0.3">
      <c r="A793" s="24">
        <v>45357</v>
      </c>
      <c r="B793" t="s">
        <v>113</v>
      </c>
      <c r="C793" t="s">
        <v>53</v>
      </c>
      <c r="D793">
        <v>0.5</v>
      </c>
      <c r="E793" t="s">
        <v>54</v>
      </c>
      <c r="F793" t="s">
        <v>55</v>
      </c>
      <c r="G793" t="s">
        <v>110</v>
      </c>
      <c r="H793" t="s">
        <v>14</v>
      </c>
      <c r="I793" s="26" t="s">
        <v>747</v>
      </c>
    </row>
    <row r="794" spans="1:9" x14ac:dyDescent="0.3">
      <c r="A794" s="24">
        <v>45357</v>
      </c>
      <c r="B794" t="s">
        <v>113</v>
      </c>
      <c r="C794" t="s">
        <v>53</v>
      </c>
      <c r="D794">
        <v>1.85</v>
      </c>
      <c r="E794" t="s">
        <v>54</v>
      </c>
      <c r="F794" t="s">
        <v>55</v>
      </c>
      <c r="G794" t="s">
        <v>780</v>
      </c>
      <c r="H794" t="s">
        <v>14</v>
      </c>
      <c r="I794" s="26" t="s">
        <v>747</v>
      </c>
    </row>
    <row r="795" spans="1:9" x14ac:dyDescent="0.3">
      <c r="A795" s="24">
        <v>45357</v>
      </c>
      <c r="B795" t="s">
        <v>113</v>
      </c>
      <c r="C795" t="s">
        <v>159</v>
      </c>
      <c r="D795">
        <v>0.27</v>
      </c>
      <c r="E795" t="s">
        <v>127</v>
      </c>
      <c r="F795" t="s">
        <v>31</v>
      </c>
      <c r="G795" t="s">
        <v>781</v>
      </c>
      <c r="H795" t="s">
        <v>14</v>
      </c>
      <c r="I795" s="26" t="s">
        <v>747</v>
      </c>
    </row>
    <row r="796" spans="1:9" x14ac:dyDescent="0.3">
      <c r="A796" s="24">
        <v>45357</v>
      </c>
      <c r="B796" t="s">
        <v>113</v>
      </c>
      <c r="C796" t="s">
        <v>159</v>
      </c>
      <c r="D796">
        <v>1.67</v>
      </c>
      <c r="E796" t="s">
        <v>195</v>
      </c>
      <c r="F796" t="s">
        <v>31</v>
      </c>
      <c r="G796" t="s">
        <v>606</v>
      </c>
      <c r="H796" t="s">
        <v>14</v>
      </c>
      <c r="I796" s="26" t="s">
        <v>747</v>
      </c>
    </row>
    <row r="797" spans="1:9" x14ac:dyDescent="0.3">
      <c r="A797" s="24">
        <v>45357</v>
      </c>
      <c r="B797" t="s">
        <v>113</v>
      </c>
      <c r="C797" t="s">
        <v>782</v>
      </c>
      <c r="D797">
        <v>1.1499999999999999</v>
      </c>
      <c r="E797" t="s">
        <v>143</v>
      </c>
      <c r="F797" t="s">
        <v>31</v>
      </c>
      <c r="G797" t="s">
        <v>783</v>
      </c>
      <c r="H797" t="s">
        <v>14</v>
      </c>
      <c r="I797" s="26" t="s">
        <v>747</v>
      </c>
    </row>
    <row r="798" spans="1:9" x14ac:dyDescent="0.3">
      <c r="A798" s="24">
        <v>45357</v>
      </c>
      <c r="B798" t="s">
        <v>132</v>
      </c>
      <c r="C798" t="s">
        <v>53</v>
      </c>
      <c r="D798">
        <v>9.5</v>
      </c>
      <c r="E798" t="s">
        <v>54</v>
      </c>
      <c r="F798" t="s">
        <v>55</v>
      </c>
      <c r="G798" t="s">
        <v>784</v>
      </c>
      <c r="H798" t="s">
        <v>14</v>
      </c>
      <c r="I798" s="26" t="s">
        <v>747</v>
      </c>
    </row>
    <row r="799" spans="1:9" x14ac:dyDescent="0.3">
      <c r="A799" s="24">
        <v>45357</v>
      </c>
      <c r="B799" t="s">
        <v>134</v>
      </c>
      <c r="C799" t="s">
        <v>29</v>
      </c>
      <c r="D799">
        <v>0.17</v>
      </c>
      <c r="E799" t="s">
        <v>137</v>
      </c>
      <c r="F799" t="s">
        <v>31</v>
      </c>
      <c r="G799" t="s">
        <v>785</v>
      </c>
      <c r="H799" t="s">
        <v>14</v>
      </c>
      <c r="I799" s="26" t="s">
        <v>747</v>
      </c>
    </row>
    <row r="800" spans="1:9" x14ac:dyDescent="0.3">
      <c r="A800" s="24">
        <v>45357</v>
      </c>
      <c r="B800" t="s">
        <v>134</v>
      </c>
      <c r="C800" t="s">
        <v>29</v>
      </c>
      <c r="D800">
        <v>0.45</v>
      </c>
      <c r="E800" t="s">
        <v>143</v>
      </c>
      <c r="F800" t="s">
        <v>31</v>
      </c>
      <c r="G800" t="s">
        <v>786</v>
      </c>
      <c r="H800" t="s">
        <v>14</v>
      </c>
      <c r="I800" s="26" t="s">
        <v>747</v>
      </c>
    </row>
    <row r="801" spans="1:9" x14ac:dyDescent="0.3">
      <c r="A801" s="24">
        <v>45357</v>
      </c>
      <c r="B801" t="s">
        <v>134</v>
      </c>
      <c r="C801" t="s">
        <v>29</v>
      </c>
      <c r="D801">
        <v>1.62</v>
      </c>
      <c r="E801" t="s">
        <v>135</v>
      </c>
      <c r="F801" t="s">
        <v>55</v>
      </c>
      <c r="G801" t="s">
        <v>787</v>
      </c>
      <c r="H801" t="s">
        <v>14</v>
      </c>
      <c r="I801" s="26" t="s">
        <v>747</v>
      </c>
    </row>
    <row r="802" spans="1:9" x14ac:dyDescent="0.3">
      <c r="A802" s="24">
        <v>45357</v>
      </c>
      <c r="B802" t="s">
        <v>134</v>
      </c>
      <c r="C802" t="s">
        <v>29</v>
      </c>
      <c r="D802">
        <v>1.78</v>
      </c>
      <c r="E802" t="s">
        <v>139</v>
      </c>
      <c r="F802" t="s">
        <v>31</v>
      </c>
      <c r="G802" t="s">
        <v>425</v>
      </c>
      <c r="H802" t="s">
        <v>14</v>
      </c>
      <c r="I802" s="26" t="s">
        <v>747</v>
      </c>
    </row>
    <row r="803" spans="1:9" x14ac:dyDescent="0.3">
      <c r="A803" s="24">
        <v>45357</v>
      </c>
      <c r="B803" t="s">
        <v>134</v>
      </c>
      <c r="C803" t="s">
        <v>29</v>
      </c>
      <c r="D803">
        <v>2.83</v>
      </c>
      <c r="E803" t="s">
        <v>137</v>
      </c>
      <c r="F803" t="s">
        <v>31</v>
      </c>
      <c r="G803" t="s">
        <v>788</v>
      </c>
      <c r="H803" t="s">
        <v>14</v>
      </c>
      <c r="I803" s="26" t="s">
        <v>747</v>
      </c>
    </row>
    <row r="804" spans="1:9" x14ac:dyDescent="0.3">
      <c r="A804" s="24">
        <v>45357</v>
      </c>
      <c r="B804" t="s">
        <v>134</v>
      </c>
      <c r="C804" t="s">
        <v>428</v>
      </c>
      <c r="D804">
        <v>0.38</v>
      </c>
      <c r="E804" t="s">
        <v>143</v>
      </c>
      <c r="F804" t="s">
        <v>31</v>
      </c>
      <c r="G804" t="s">
        <v>103</v>
      </c>
      <c r="H804" t="s">
        <v>14</v>
      </c>
      <c r="I804" s="26" t="s">
        <v>747</v>
      </c>
    </row>
    <row r="805" spans="1:9" x14ac:dyDescent="0.3">
      <c r="A805" s="24">
        <v>45357</v>
      </c>
      <c r="B805" t="s">
        <v>134</v>
      </c>
      <c r="C805" t="s">
        <v>53</v>
      </c>
      <c r="D805">
        <v>0.25</v>
      </c>
      <c r="E805" t="s">
        <v>254</v>
      </c>
      <c r="F805" t="s">
        <v>31</v>
      </c>
      <c r="G805" t="s">
        <v>110</v>
      </c>
      <c r="H805" t="s">
        <v>14</v>
      </c>
      <c r="I805" s="26" t="s">
        <v>747</v>
      </c>
    </row>
    <row r="806" spans="1:9" x14ac:dyDescent="0.3">
      <c r="A806" s="24">
        <v>45357</v>
      </c>
      <c r="B806" t="s">
        <v>134</v>
      </c>
      <c r="C806" t="s">
        <v>53</v>
      </c>
      <c r="D806">
        <v>0.25</v>
      </c>
      <c r="E806" t="s">
        <v>54</v>
      </c>
      <c r="F806" t="s">
        <v>55</v>
      </c>
      <c r="G806" t="s">
        <v>110</v>
      </c>
      <c r="H806" t="s">
        <v>14</v>
      </c>
      <c r="I806" s="26" t="s">
        <v>747</v>
      </c>
    </row>
    <row r="807" spans="1:9" x14ac:dyDescent="0.3">
      <c r="A807" s="24">
        <v>45357</v>
      </c>
      <c r="B807" t="s">
        <v>134</v>
      </c>
      <c r="C807" t="s">
        <v>53</v>
      </c>
      <c r="D807">
        <v>0.27</v>
      </c>
      <c r="E807" t="s">
        <v>54</v>
      </c>
      <c r="F807" t="s">
        <v>55</v>
      </c>
      <c r="G807" t="s">
        <v>789</v>
      </c>
      <c r="H807" t="s">
        <v>14</v>
      </c>
      <c r="I807" s="26" t="s">
        <v>747</v>
      </c>
    </row>
    <row r="808" spans="1:9" x14ac:dyDescent="0.3">
      <c r="A808" s="24">
        <v>45357</v>
      </c>
      <c r="B808" t="s">
        <v>150</v>
      </c>
      <c r="C808" t="s">
        <v>29</v>
      </c>
      <c r="D808">
        <v>0.33</v>
      </c>
      <c r="E808" t="s">
        <v>114</v>
      </c>
      <c r="F808" t="s">
        <v>31</v>
      </c>
      <c r="G808" t="s">
        <v>790</v>
      </c>
      <c r="H808" t="s">
        <v>14</v>
      </c>
      <c r="I808" s="26" t="s">
        <v>747</v>
      </c>
    </row>
    <row r="809" spans="1:9" x14ac:dyDescent="0.3">
      <c r="A809" s="24">
        <v>45357</v>
      </c>
      <c r="B809" t="s">
        <v>150</v>
      </c>
      <c r="C809" t="s">
        <v>29</v>
      </c>
      <c r="D809">
        <v>0.4</v>
      </c>
      <c r="E809" t="s">
        <v>114</v>
      </c>
      <c r="F809" t="s">
        <v>31</v>
      </c>
      <c r="G809" t="s">
        <v>791</v>
      </c>
      <c r="H809" t="s">
        <v>14</v>
      </c>
      <c r="I809" s="26" t="s">
        <v>747</v>
      </c>
    </row>
    <row r="810" spans="1:9" x14ac:dyDescent="0.3">
      <c r="A810" s="24">
        <v>45357</v>
      </c>
      <c r="B810" t="s">
        <v>150</v>
      </c>
      <c r="C810" t="s">
        <v>29</v>
      </c>
      <c r="D810">
        <v>0.88</v>
      </c>
      <c r="E810" t="s">
        <v>151</v>
      </c>
      <c r="F810" t="s">
        <v>31</v>
      </c>
      <c r="G810" t="s">
        <v>792</v>
      </c>
      <c r="H810" t="s">
        <v>14</v>
      </c>
      <c r="I810" s="26" t="s">
        <v>747</v>
      </c>
    </row>
    <row r="811" spans="1:9" x14ac:dyDescent="0.3">
      <c r="A811" s="24">
        <v>45357</v>
      </c>
      <c r="B811" t="s">
        <v>150</v>
      </c>
      <c r="C811" t="s">
        <v>29</v>
      </c>
      <c r="D811">
        <v>0.93</v>
      </c>
      <c r="E811" t="s">
        <v>151</v>
      </c>
      <c r="F811" t="s">
        <v>31</v>
      </c>
      <c r="G811" t="s">
        <v>793</v>
      </c>
      <c r="H811" t="s">
        <v>14</v>
      </c>
      <c r="I811" s="26" t="s">
        <v>747</v>
      </c>
    </row>
    <row r="812" spans="1:9" x14ac:dyDescent="0.3">
      <c r="A812" s="24">
        <v>45357</v>
      </c>
      <c r="B812" t="s">
        <v>150</v>
      </c>
      <c r="C812" t="s">
        <v>29</v>
      </c>
      <c r="D812">
        <v>1.05</v>
      </c>
      <c r="E812" t="s">
        <v>437</v>
      </c>
      <c r="F812" t="s">
        <v>31</v>
      </c>
      <c r="G812" t="s">
        <v>794</v>
      </c>
      <c r="H812" t="s">
        <v>14</v>
      </c>
      <c r="I812" s="26" t="s">
        <v>747</v>
      </c>
    </row>
    <row r="813" spans="1:9" x14ac:dyDescent="0.3">
      <c r="A813" s="24">
        <v>45357</v>
      </c>
      <c r="B813" t="s">
        <v>150</v>
      </c>
      <c r="C813" t="s">
        <v>29</v>
      </c>
      <c r="D813">
        <v>1.6</v>
      </c>
      <c r="E813" t="s">
        <v>437</v>
      </c>
      <c r="F813" t="s">
        <v>31</v>
      </c>
      <c r="G813" t="s">
        <v>617</v>
      </c>
      <c r="H813" t="s">
        <v>14</v>
      </c>
      <c r="I813" s="26" t="s">
        <v>747</v>
      </c>
    </row>
    <row r="814" spans="1:9" x14ac:dyDescent="0.3">
      <c r="A814" s="24">
        <v>45357</v>
      </c>
      <c r="B814" t="s">
        <v>150</v>
      </c>
      <c r="C814" t="s">
        <v>148</v>
      </c>
      <c r="D814">
        <v>0.82</v>
      </c>
      <c r="E814" t="s">
        <v>54</v>
      </c>
      <c r="F814" t="s">
        <v>55</v>
      </c>
      <c r="G814" t="s">
        <v>795</v>
      </c>
      <c r="H814" t="s">
        <v>14</v>
      </c>
      <c r="I814" s="26" t="s">
        <v>747</v>
      </c>
    </row>
    <row r="815" spans="1:9" x14ac:dyDescent="0.3">
      <c r="A815" s="24">
        <v>45357</v>
      </c>
      <c r="B815" t="s">
        <v>150</v>
      </c>
      <c r="C815" t="s">
        <v>58</v>
      </c>
      <c r="D815">
        <v>0.15</v>
      </c>
      <c r="E815" t="s">
        <v>54</v>
      </c>
      <c r="F815" t="s">
        <v>55</v>
      </c>
      <c r="G815" t="s">
        <v>796</v>
      </c>
      <c r="H815" t="s">
        <v>14</v>
      </c>
      <c r="I815" s="26" t="s">
        <v>747</v>
      </c>
    </row>
    <row r="816" spans="1:9" x14ac:dyDescent="0.3">
      <c r="A816" s="24">
        <v>45357</v>
      </c>
      <c r="B816" t="s">
        <v>150</v>
      </c>
      <c r="C816" t="s">
        <v>60</v>
      </c>
      <c r="D816">
        <v>0.56999999999999995</v>
      </c>
      <c r="E816" t="s">
        <v>162</v>
      </c>
      <c r="F816" t="s">
        <v>31</v>
      </c>
      <c r="G816" t="s">
        <v>624</v>
      </c>
      <c r="H816" t="s">
        <v>14</v>
      </c>
      <c r="I816" s="26" t="s">
        <v>747</v>
      </c>
    </row>
    <row r="817" spans="1:9" x14ac:dyDescent="0.3">
      <c r="A817" s="24">
        <v>45357</v>
      </c>
      <c r="B817" t="s">
        <v>150</v>
      </c>
      <c r="C817" t="s">
        <v>60</v>
      </c>
      <c r="D817">
        <v>0.57999999999999996</v>
      </c>
      <c r="E817" t="s">
        <v>162</v>
      </c>
      <c r="F817" t="s">
        <v>31</v>
      </c>
      <c r="G817" t="s">
        <v>797</v>
      </c>
      <c r="H817" t="s">
        <v>14</v>
      </c>
      <c r="I817" s="26" t="s">
        <v>747</v>
      </c>
    </row>
    <row r="818" spans="1:9" x14ac:dyDescent="0.3">
      <c r="A818" s="24">
        <v>45357</v>
      </c>
      <c r="B818" t="s">
        <v>150</v>
      </c>
      <c r="C818" t="s">
        <v>60</v>
      </c>
      <c r="D818">
        <v>0.68</v>
      </c>
      <c r="E818" t="s">
        <v>156</v>
      </c>
      <c r="F818" t="s">
        <v>31</v>
      </c>
      <c r="G818" t="s">
        <v>798</v>
      </c>
      <c r="H818" t="s">
        <v>14</v>
      </c>
      <c r="I818" s="26" t="s">
        <v>747</v>
      </c>
    </row>
    <row r="819" spans="1:9" x14ac:dyDescent="0.3">
      <c r="A819" s="24">
        <v>45357</v>
      </c>
      <c r="B819" t="s">
        <v>164</v>
      </c>
      <c r="C819" t="s">
        <v>29</v>
      </c>
      <c r="D819">
        <v>2.72</v>
      </c>
      <c r="E819" t="s">
        <v>106</v>
      </c>
      <c r="F819" t="s">
        <v>31</v>
      </c>
      <c r="H819" t="s">
        <v>14</v>
      </c>
      <c r="I819" s="26" t="s">
        <v>747</v>
      </c>
    </row>
    <row r="820" spans="1:9" x14ac:dyDescent="0.3">
      <c r="A820" s="24">
        <v>45357</v>
      </c>
      <c r="B820" t="s">
        <v>164</v>
      </c>
      <c r="C820" t="s">
        <v>148</v>
      </c>
      <c r="D820">
        <v>1.17</v>
      </c>
      <c r="E820" t="s">
        <v>54</v>
      </c>
      <c r="F820" t="s">
        <v>55</v>
      </c>
      <c r="G820" t="s">
        <v>353</v>
      </c>
      <c r="H820" t="s">
        <v>14</v>
      </c>
      <c r="I820" s="26" t="s">
        <v>747</v>
      </c>
    </row>
    <row r="821" spans="1:9" x14ac:dyDescent="0.3">
      <c r="A821" s="24">
        <v>45357</v>
      </c>
      <c r="B821" t="s">
        <v>164</v>
      </c>
      <c r="C821" t="s">
        <v>58</v>
      </c>
      <c r="D821">
        <v>2.02</v>
      </c>
      <c r="E821" t="s">
        <v>54</v>
      </c>
      <c r="F821" t="s">
        <v>55</v>
      </c>
      <c r="G821" t="s">
        <v>799</v>
      </c>
      <c r="H821" t="s">
        <v>14</v>
      </c>
      <c r="I821" s="26" t="s">
        <v>747</v>
      </c>
    </row>
    <row r="822" spans="1:9" x14ac:dyDescent="0.3">
      <c r="A822" s="24">
        <v>45357</v>
      </c>
      <c r="B822" t="s">
        <v>164</v>
      </c>
      <c r="C822" t="s">
        <v>58</v>
      </c>
      <c r="D822">
        <v>2.12</v>
      </c>
      <c r="E822" t="s">
        <v>54</v>
      </c>
      <c r="F822" t="s">
        <v>55</v>
      </c>
      <c r="G822" t="s">
        <v>800</v>
      </c>
      <c r="H822" t="s">
        <v>14</v>
      </c>
      <c r="I822" s="26" t="s">
        <v>747</v>
      </c>
    </row>
    <row r="823" spans="1:9" x14ac:dyDescent="0.3">
      <c r="A823" s="24">
        <v>45357</v>
      </c>
      <c r="B823" t="s">
        <v>169</v>
      </c>
      <c r="C823" t="s">
        <v>29</v>
      </c>
      <c r="D823">
        <v>1.93</v>
      </c>
      <c r="E823" t="s">
        <v>170</v>
      </c>
      <c r="F823" t="s">
        <v>31</v>
      </c>
      <c r="H823" t="s">
        <v>14</v>
      </c>
      <c r="I823" s="26" t="s">
        <v>747</v>
      </c>
    </row>
    <row r="824" spans="1:9" x14ac:dyDescent="0.3">
      <c r="A824" s="24">
        <v>45357</v>
      </c>
      <c r="B824" t="s">
        <v>169</v>
      </c>
      <c r="C824" t="s">
        <v>60</v>
      </c>
      <c r="D824">
        <v>6.03</v>
      </c>
      <c r="E824" t="s">
        <v>35</v>
      </c>
      <c r="F824" t="s">
        <v>31</v>
      </c>
      <c r="H824" t="s">
        <v>14</v>
      </c>
      <c r="I824" s="26" t="s">
        <v>747</v>
      </c>
    </row>
    <row r="825" spans="1:9" x14ac:dyDescent="0.3">
      <c r="A825" s="24">
        <v>45357</v>
      </c>
      <c r="B825" t="s">
        <v>172</v>
      </c>
      <c r="C825" t="s">
        <v>173</v>
      </c>
      <c r="D825">
        <v>7.17</v>
      </c>
      <c r="E825" t="s">
        <v>162</v>
      </c>
      <c r="F825" t="s">
        <v>31</v>
      </c>
      <c r="G825" t="s">
        <v>801</v>
      </c>
      <c r="H825" t="s">
        <v>14</v>
      </c>
      <c r="I825" s="26" t="s">
        <v>747</v>
      </c>
    </row>
    <row r="826" spans="1:9" x14ac:dyDescent="0.3">
      <c r="A826" s="24">
        <v>45357</v>
      </c>
      <c r="B826" t="s">
        <v>175</v>
      </c>
      <c r="C826" t="s">
        <v>29</v>
      </c>
      <c r="D826">
        <v>0.32</v>
      </c>
      <c r="E826" t="s">
        <v>177</v>
      </c>
      <c r="F826" t="s">
        <v>31</v>
      </c>
      <c r="H826" t="s">
        <v>14</v>
      </c>
      <c r="I826" s="26" t="s">
        <v>747</v>
      </c>
    </row>
    <row r="827" spans="1:9" x14ac:dyDescent="0.3">
      <c r="A827" s="24">
        <v>45357</v>
      </c>
      <c r="B827" t="s">
        <v>175</v>
      </c>
      <c r="C827" t="s">
        <v>29</v>
      </c>
      <c r="D827">
        <v>0.38</v>
      </c>
      <c r="E827" t="s">
        <v>185</v>
      </c>
      <c r="F827" t="s">
        <v>31</v>
      </c>
      <c r="G827" t="s">
        <v>802</v>
      </c>
      <c r="H827" t="s">
        <v>14</v>
      </c>
      <c r="I827" s="26" t="s">
        <v>747</v>
      </c>
    </row>
    <row r="828" spans="1:9" x14ac:dyDescent="0.3">
      <c r="A828" s="24">
        <v>45357</v>
      </c>
      <c r="B828" t="s">
        <v>175</v>
      </c>
      <c r="C828" t="s">
        <v>29</v>
      </c>
      <c r="D828">
        <v>0.63</v>
      </c>
      <c r="E828" t="s">
        <v>176</v>
      </c>
      <c r="F828" t="s">
        <v>31</v>
      </c>
      <c r="H828" t="s">
        <v>14</v>
      </c>
      <c r="I828" s="26" t="s">
        <v>747</v>
      </c>
    </row>
    <row r="829" spans="1:9" x14ac:dyDescent="0.3">
      <c r="A829" s="24">
        <v>45357</v>
      </c>
      <c r="B829" t="s">
        <v>175</v>
      </c>
      <c r="C829" t="s">
        <v>29</v>
      </c>
      <c r="D829">
        <v>0.67</v>
      </c>
      <c r="E829" t="s">
        <v>127</v>
      </c>
      <c r="F829" t="s">
        <v>31</v>
      </c>
      <c r="H829" t="s">
        <v>14</v>
      </c>
      <c r="I829" s="26" t="s">
        <v>747</v>
      </c>
    </row>
    <row r="830" spans="1:9" x14ac:dyDescent="0.3">
      <c r="A830" s="24">
        <v>45357</v>
      </c>
      <c r="B830" t="s">
        <v>175</v>
      </c>
      <c r="C830" t="s">
        <v>29</v>
      </c>
      <c r="D830">
        <v>2.67</v>
      </c>
      <c r="E830" t="s">
        <v>182</v>
      </c>
      <c r="F830" t="s">
        <v>31</v>
      </c>
      <c r="G830" t="s">
        <v>803</v>
      </c>
      <c r="H830" t="s">
        <v>14</v>
      </c>
      <c r="I830" s="26" t="s">
        <v>747</v>
      </c>
    </row>
    <row r="831" spans="1:9" x14ac:dyDescent="0.3">
      <c r="A831" s="24">
        <v>45357</v>
      </c>
      <c r="B831" t="s">
        <v>175</v>
      </c>
      <c r="C831" t="s">
        <v>148</v>
      </c>
      <c r="D831">
        <v>1.73</v>
      </c>
      <c r="E831" t="s">
        <v>54</v>
      </c>
      <c r="F831" t="s">
        <v>55</v>
      </c>
      <c r="G831" t="s">
        <v>712</v>
      </c>
      <c r="H831" t="s">
        <v>14</v>
      </c>
      <c r="I831" s="26" t="s">
        <v>747</v>
      </c>
    </row>
    <row r="832" spans="1:9" x14ac:dyDescent="0.3">
      <c r="A832" s="24">
        <v>45357</v>
      </c>
      <c r="B832" t="s">
        <v>175</v>
      </c>
      <c r="C832" t="s">
        <v>159</v>
      </c>
      <c r="D832">
        <v>1.55</v>
      </c>
      <c r="E832" t="s">
        <v>185</v>
      </c>
      <c r="F832" t="s">
        <v>31</v>
      </c>
      <c r="G832" t="s">
        <v>804</v>
      </c>
      <c r="H832" t="s">
        <v>14</v>
      </c>
      <c r="I832" s="26" t="s">
        <v>747</v>
      </c>
    </row>
    <row r="833" spans="1:9" x14ac:dyDescent="0.3">
      <c r="A833" s="24">
        <v>45357</v>
      </c>
      <c r="B833" t="s">
        <v>175</v>
      </c>
      <c r="C833" t="s">
        <v>60</v>
      </c>
      <c r="D833">
        <v>0.32</v>
      </c>
      <c r="E833" t="s">
        <v>182</v>
      </c>
      <c r="F833" t="s">
        <v>31</v>
      </c>
      <c r="H833" t="s">
        <v>14</v>
      </c>
      <c r="I833" s="26" t="s">
        <v>747</v>
      </c>
    </row>
    <row r="834" spans="1:9" x14ac:dyDescent="0.3">
      <c r="A834" s="24">
        <v>45357</v>
      </c>
      <c r="B834" t="s">
        <v>188</v>
      </c>
      <c r="C834" t="s">
        <v>454</v>
      </c>
      <c r="D834">
        <v>8</v>
      </c>
      <c r="E834" t="s">
        <v>54</v>
      </c>
      <c r="F834" t="s">
        <v>55</v>
      </c>
      <c r="G834" t="s">
        <v>189</v>
      </c>
      <c r="H834" t="s">
        <v>14</v>
      </c>
      <c r="I834" s="26" t="s">
        <v>747</v>
      </c>
    </row>
    <row r="835" spans="1:9" x14ac:dyDescent="0.3">
      <c r="A835" s="24">
        <v>45357</v>
      </c>
      <c r="B835" t="s">
        <v>190</v>
      </c>
      <c r="C835" t="s">
        <v>89</v>
      </c>
      <c r="D835">
        <v>8</v>
      </c>
      <c r="E835" t="s">
        <v>54</v>
      </c>
      <c r="F835" t="s">
        <v>55</v>
      </c>
      <c r="H835" t="s">
        <v>14</v>
      </c>
      <c r="I835" s="26" t="s">
        <v>747</v>
      </c>
    </row>
    <row r="836" spans="1:9" x14ac:dyDescent="0.3">
      <c r="A836" s="24">
        <v>45357</v>
      </c>
      <c r="B836" t="s">
        <v>191</v>
      </c>
      <c r="C836" t="s">
        <v>89</v>
      </c>
      <c r="D836">
        <v>8</v>
      </c>
      <c r="E836" t="s">
        <v>54</v>
      </c>
      <c r="F836" t="s">
        <v>55</v>
      </c>
      <c r="G836" t="s">
        <v>641</v>
      </c>
      <c r="H836" t="s">
        <v>14</v>
      </c>
      <c r="I836" s="26" t="s">
        <v>747</v>
      </c>
    </row>
    <row r="837" spans="1:9" x14ac:dyDescent="0.3">
      <c r="A837" s="24">
        <v>45357</v>
      </c>
      <c r="B837" t="s">
        <v>193</v>
      </c>
      <c r="C837" t="s">
        <v>29</v>
      </c>
      <c r="D837">
        <v>0.3</v>
      </c>
      <c r="E837" t="s">
        <v>116</v>
      </c>
      <c r="F837" t="s">
        <v>31</v>
      </c>
      <c r="G837" t="s">
        <v>805</v>
      </c>
      <c r="H837" t="s">
        <v>14</v>
      </c>
      <c r="I837" s="26" t="s">
        <v>747</v>
      </c>
    </row>
    <row r="838" spans="1:9" x14ac:dyDescent="0.3">
      <c r="A838" s="24">
        <v>45357</v>
      </c>
      <c r="B838" t="s">
        <v>193</v>
      </c>
      <c r="C838" t="s">
        <v>29</v>
      </c>
      <c r="D838">
        <v>0.62</v>
      </c>
      <c r="E838" t="s">
        <v>205</v>
      </c>
      <c r="F838" t="s">
        <v>31</v>
      </c>
      <c r="G838" t="s">
        <v>806</v>
      </c>
      <c r="H838" t="s">
        <v>14</v>
      </c>
      <c r="I838" s="26" t="s">
        <v>747</v>
      </c>
    </row>
    <row r="839" spans="1:9" x14ac:dyDescent="0.3">
      <c r="A839" s="24">
        <v>45357</v>
      </c>
      <c r="B839" t="s">
        <v>193</v>
      </c>
      <c r="C839" t="s">
        <v>29</v>
      </c>
      <c r="D839">
        <v>0.63</v>
      </c>
      <c r="E839" t="s">
        <v>195</v>
      </c>
      <c r="F839" t="s">
        <v>31</v>
      </c>
      <c r="G839" t="s">
        <v>807</v>
      </c>
      <c r="H839" t="s">
        <v>14</v>
      </c>
      <c r="I839" s="26" t="s">
        <v>747</v>
      </c>
    </row>
    <row r="840" spans="1:9" x14ac:dyDescent="0.3">
      <c r="A840" s="24">
        <v>45357</v>
      </c>
      <c r="B840" t="s">
        <v>193</v>
      </c>
      <c r="C840" t="s">
        <v>202</v>
      </c>
      <c r="D840">
        <v>0.08</v>
      </c>
      <c r="E840" t="s">
        <v>229</v>
      </c>
      <c r="F840" t="s">
        <v>31</v>
      </c>
      <c r="G840" t="s">
        <v>808</v>
      </c>
      <c r="H840" t="s">
        <v>14</v>
      </c>
      <c r="I840" s="26" t="s">
        <v>747</v>
      </c>
    </row>
    <row r="841" spans="1:9" x14ac:dyDescent="0.3">
      <c r="A841" s="24">
        <v>45357</v>
      </c>
      <c r="B841" t="s">
        <v>193</v>
      </c>
      <c r="C841" t="s">
        <v>202</v>
      </c>
      <c r="D841">
        <v>0.12</v>
      </c>
      <c r="E841" t="s">
        <v>271</v>
      </c>
      <c r="F841" t="s">
        <v>31</v>
      </c>
      <c r="G841" t="s">
        <v>809</v>
      </c>
      <c r="H841" t="s">
        <v>14</v>
      </c>
      <c r="I841" s="26" t="s">
        <v>747</v>
      </c>
    </row>
    <row r="842" spans="1:9" x14ac:dyDescent="0.3">
      <c r="A842" s="24">
        <v>45357</v>
      </c>
      <c r="B842" t="s">
        <v>193</v>
      </c>
      <c r="C842" t="s">
        <v>202</v>
      </c>
      <c r="D842">
        <v>0.17</v>
      </c>
      <c r="E842" t="s">
        <v>748</v>
      </c>
      <c r="F842" t="s">
        <v>31</v>
      </c>
      <c r="G842" t="s">
        <v>810</v>
      </c>
      <c r="H842" t="s">
        <v>14</v>
      </c>
      <c r="I842" s="26" t="s">
        <v>747</v>
      </c>
    </row>
    <row r="843" spans="1:9" x14ac:dyDescent="0.3">
      <c r="A843" s="24">
        <v>45357</v>
      </c>
      <c r="B843" t="s">
        <v>193</v>
      </c>
      <c r="C843" t="s">
        <v>202</v>
      </c>
      <c r="D843">
        <v>0.55000000000000004</v>
      </c>
      <c r="E843" t="s">
        <v>112</v>
      </c>
      <c r="F843" t="s">
        <v>31</v>
      </c>
      <c r="G843" t="s">
        <v>811</v>
      </c>
      <c r="H843" t="s">
        <v>14</v>
      </c>
      <c r="I843" s="26" t="s">
        <v>747</v>
      </c>
    </row>
    <row r="844" spans="1:9" x14ac:dyDescent="0.3">
      <c r="A844" s="24">
        <v>45357</v>
      </c>
      <c r="B844" t="s">
        <v>193</v>
      </c>
      <c r="C844" t="s">
        <v>53</v>
      </c>
      <c r="D844">
        <v>0.15</v>
      </c>
      <c r="E844" t="s">
        <v>54</v>
      </c>
      <c r="F844" t="s">
        <v>55</v>
      </c>
      <c r="H844" t="s">
        <v>14</v>
      </c>
      <c r="I844" s="26" t="s">
        <v>747</v>
      </c>
    </row>
    <row r="845" spans="1:9" x14ac:dyDescent="0.3">
      <c r="A845" s="24">
        <v>45357</v>
      </c>
      <c r="B845" t="s">
        <v>193</v>
      </c>
      <c r="C845" t="s">
        <v>53</v>
      </c>
      <c r="D845">
        <v>0.17</v>
      </c>
      <c r="E845" t="s">
        <v>54</v>
      </c>
      <c r="F845" t="s">
        <v>55</v>
      </c>
      <c r="G845" t="s">
        <v>812</v>
      </c>
      <c r="H845" t="s">
        <v>14</v>
      </c>
      <c r="I845" s="26" t="s">
        <v>747</v>
      </c>
    </row>
    <row r="846" spans="1:9" x14ac:dyDescent="0.3">
      <c r="A846" s="24">
        <v>45357</v>
      </c>
      <c r="B846" t="s">
        <v>193</v>
      </c>
      <c r="C846" t="s">
        <v>53</v>
      </c>
      <c r="D846">
        <v>0.3</v>
      </c>
      <c r="E846" t="s">
        <v>54</v>
      </c>
      <c r="F846" t="s">
        <v>55</v>
      </c>
      <c r="G846" t="s">
        <v>243</v>
      </c>
      <c r="H846" t="s">
        <v>14</v>
      </c>
      <c r="I846" s="26" t="s">
        <v>747</v>
      </c>
    </row>
    <row r="847" spans="1:9" x14ac:dyDescent="0.3">
      <c r="A847" s="24">
        <v>45357</v>
      </c>
      <c r="B847" t="s">
        <v>193</v>
      </c>
      <c r="C847" t="s">
        <v>148</v>
      </c>
      <c r="D847">
        <v>0.48</v>
      </c>
      <c r="E847" t="s">
        <v>54</v>
      </c>
      <c r="F847" t="s">
        <v>55</v>
      </c>
      <c r="G847" t="s">
        <v>813</v>
      </c>
      <c r="H847" t="s">
        <v>14</v>
      </c>
      <c r="I847" s="26" t="s">
        <v>747</v>
      </c>
    </row>
    <row r="848" spans="1:9" x14ac:dyDescent="0.3">
      <c r="A848" s="24">
        <v>45357</v>
      </c>
      <c r="B848" t="s">
        <v>193</v>
      </c>
      <c r="C848" t="s">
        <v>60</v>
      </c>
      <c r="D848">
        <v>0.05</v>
      </c>
      <c r="E848" t="s">
        <v>104</v>
      </c>
      <c r="F848" t="s">
        <v>31</v>
      </c>
      <c r="G848" t="s">
        <v>547</v>
      </c>
      <c r="H848" t="s">
        <v>14</v>
      </c>
      <c r="I848" s="26" t="s">
        <v>747</v>
      </c>
    </row>
    <row r="849" spans="1:9" x14ac:dyDescent="0.3">
      <c r="A849" s="24">
        <v>45357</v>
      </c>
      <c r="B849" t="s">
        <v>193</v>
      </c>
      <c r="C849" t="s">
        <v>60</v>
      </c>
      <c r="D849">
        <v>0.08</v>
      </c>
      <c r="E849" t="s">
        <v>102</v>
      </c>
      <c r="F849" t="s">
        <v>31</v>
      </c>
      <c r="G849" t="s">
        <v>814</v>
      </c>
      <c r="H849" t="s">
        <v>14</v>
      </c>
      <c r="I849" s="26" t="s">
        <v>747</v>
      </c>
    </row>
    <row r="850" spans="1:9" x14ac:dyDescent="0.3">
      <c r="A850" s="24">
        <v>45357</v>
      </c>
      <c r="B850" t="s">
        <v>193</v>
      </c>
      <c r="C850" t="s">
        <v>60</v>
      </c>
      <c r="D850">
        <v>0.1</v>
      </c>
      <c r="E850" t="s">
        <v>162</v>
      </c>
      <c r="F850" t="s">
        <v>31</v>
      </c>
      <c r="G850" t="s">
        <v>815</v>
      </c>
      <c r="H850" t="s">
        <v>14</v>
      </c>
      <c r="I850" s="26" t="s">
        <v>747</v>
      </c>
    </row>
    <row r="851" spans="1:9" x14ac:dyDescent="0.3">
      <c r="A851" s="24">
        <v>45357</v>
      </c>
      <c r="B851" t="s">
        <v>193</v>
      </c>
      <c r="C851" t="s">
        <v>60</v>
      </c>
      <c r="D851">
        <v>0.17</v>
      </c>
      <c r="E851" t="s">
        <v>102</v>
      </c>
      <c r="F851" t="s">
        <v>31</v>
      </c>
      <c r="G851" t="s">
        <v>816</v>
      </c>
      <c r="H851" t="s">
        <v>14</v>
      </c>
      <c r="I851" s="26" t="s">
        <v>747</v>
      </c>
    </row>
    <row r="852" spans="1:9" x14ac:dyDescent="0.3">
      <c r="A852" s="24">
        <v>45357</v>
      </c>
      <c r="B852" t="s">
        <v>193</v>
      </c>
      <c r="C852" t="s">
        <v>60</v>
      </c>
      <c r="D852">
        <v>0.65</v>
      </c>
      <c r="E852" t="s">
        <v>162</v>
      </c>
      <c r="F852" t="s">
        <v>31</v>
      </c>
      <c r="G852" t="s">
        <v>817</v>
      </c>
      <c r="H852" t="s">
        <v>14</v>
      </c>
      <c r="I852" s="26" t="s">
        <v>747</v>
      </c>
    </row>
    <row r="853" spans="1:9" x14ac:dyDescent="0.3">
      <c r="A853" s="24">
        <v>45357</v>
      </c>
      <c r="B853" t="s">
        <v>193</v>
      </c>
      <c r="C853" t="s">
        <v>60</v>
      </c>
      <c r="D853">
        <v>0.7</v>
      </c>
      <c r="E853" t="s">
        <v>162</v>
      </c>
      <c r="F853" t="s">
        <v>31</v>
      </c>
      <c r="G853" t="s">
        <v>818</v>
      </c>
      <c r="H853" t="s">
        <v>14</v>
      </c>
      <c r="I853" s="26" t="s">
        <v>747</v>
      </c>
    </row>
    <row r="854" spans="1:9" x14ac:dyDescent="0.3">
      <c r="A854" s="24">
        <v>45357</v>
      </c>
      <c r="B854" t="s">
        <v>193</v>
      </c>
      <c r="C854" t="s">
        <v>60</v>
      </c>
      <c r="D854">
        <v>0.9</v>
      </c>
      <c r="E854" t="s">
        <v>162</v>
      </c>
      <c r="F854" t="s">
        <v>31</v>
      </c>
      <c r="G854" t="s">
        <v>819</v>
      </c>
      <c r="H854" t="s">
        <v>14</v>
      </c>
      <c r="I854" s="26" t="s">
        <v>747</v>
      </c>
    </row>
    <row r="855" spans="1:9" x14ac:dyDescent="0.3">
      <c r="A855" s="24">
        <v>45357</v>
      </c>
      <c r="B855" t="s">
        <v>193</v>
      </c>
      <c r="C855" t="s">
        <v>60</v>
      </c>
      <c r="D855">
        <v>2.13</v>
      </c>
      <c r="E855" t="s">
        <v>162</v>
      </c>
      <c r="F855" t="s">
        <v>31</v>
      </c>
      <c r="G855" t="s">
        <v>820</v>
      </c>
      <c r="H855" t="s">
        <v>14</v>
      </c>
      <c r="I855" s="26" t="s">
        <v>747</v>
      </c>
    </row>
    <row r="856" spans="1:9" x14ac:dyDescent="0.3">
      <c r="A856" s="24">
        <v>45357</v>
      </c>
      <c r="B856" t="s">
        <v>212</v>
      </c>
      <c r="C856" t="s">
        <v>85</v>
      </c>
      <c r="D856">
        <v>0.05</v>
      </c>
      <c r="E856" t="s">
        <v>821</v>
      </c>
      <c r="F856" t="s">
        <v>55</v>
      </c>
      <c r="G856" t="s">
        <v>822</v>
      </c>
      <c r="H856" t="s">
        <v>14</v>
      </c>
      <c r="I856" s="26" t="s">
        <v>747</v>
      </c>
    </row>
    <row r="857" spans="1:9" x14ac:dyDescent="0.3">
      <c r="A857" s="24">
        <v>45357</v>
      </c>
      <c r="B857" t="s">
        <v>212</v>
      </c>
      <c r="C857" t="s">
        <v>85</v>
      </c>
      <c r="D857">
        <v>0.05</v>
      </c>
      <c r="E857" t="s">
        <v>226</v>
      </c>
      <c r="F857" t="s">
        <v>55</v>
      </c>
      <c r="G857" t="s">
        <v>822</v>
      </c>
      <c r="H857" t="s">
        <v>14</v>
      </c>
      <c r="I857" s="26" t="s">
        <v>747</v>
      </c>
    </row>
    <row r="858" spans="1:9" x14ac:dyDescent="0.3">
      <c r="A858" s="24">
        <v>45357</v>
      </c>
      <c r="B858" t="s">
        <v>212</v>
      </c>
      <c r="C858" t="s">
        <v>85</v>
      </c>
      <c r="D858">
        <v>0.05</v>
      </c>
      <c r="E858" t="s">
        <v>54</v>
      </c>
      <c r="F858" t="s">
        <v>55</v>
      </c>
      <c r="G858" t="s">
        <v>823</v>
      </c>
      <c r="H858" t="s">
        <v>14</v>
      </c>
      <c r="I858" s="26" t="s">
        <v>747</v>
      </c>
    </row>
    <row r="859" spans="1:9" x14ac:dyDescent="0.3">
      <c r="A859" s="24">
        <v>45357</v>
      </c>
      <c r="B859" t="s">
        <v>212</v>
      </c>
      <c r="C859" t="s">
        <v>85</v>
      </c>
      <c r="D859">
        <v>0.05</v>
      </c>
      <c r="E859" t="s">
        <v>195</v>
      </c>
      <c r="F859" t="s">
        <v>55</v>
      </c>
      <c r="G859" t="s">
        <v>822</v>
      </c>
      <c r="H859" t="s">
        <v>14</v>
      </c>
      <c r="I859" s="26" t="s">
        <v>747</v>
      </c>
    </row>
    <row r="860" spans="1:9" x14ac:dyDescent="0.3">
      <c r="A860" s="24">
        <v>45357</v>
      </c>
      <c r="B860" t="s">
        <v>212</v>
      </c>
      <c r="C860" t="s">
        <v>85</v>
      </c>
      <c r="D860">
        <v>0.05</v>
      </c>
      <c r="E860" t="s">
        <v>156</v>
      </c>
      <c r="F860" t="s">
        <v>55</v>
      </c>
      <c r="G860" t="s">
        <v>822</v>
      </c>
      <c r="H860" t="s">
        <v>14</v>
      </c>
      <c r="I860" s="26" t="s">
        <v>747</v>
      </c>
    </row>
    <row r="861" spans="1:9" x14ac:dyDescent="0.3">
      <c r="A861" s="24">
        <v>45357</v>
      </c>
      <c r="B861" t="s">
        <v>212</v>
      </c>
      <c r="C861" t="s">
        <v>53</v>
      </c>
      <c r="D861">
        <v>0.05</v>
      </c>
      <c r="E861" t="s">
        <v>54</v>
      </c>
      <c r="F861" t="s">
        <v>55</v>
      </c>
      <c r="G861" t="s">
        <v>824</v>
      </c>
      <c r="H861" t="s">
        <v>14</v>
      </c>
      <c r="I861" s="26" t="s">
        <v>747</v>
      </c>
    </row>
    <row r="862" spans="1:9" x14ac:dyDescent="0.3">
      <c r="A862" s="24">
        <v>45357</v>
      </c>
      <c r="B862" t="s">
        <v>212</v>
      </c>
      <c r="C862" t="s">
        <v>53</v>
      </c>
      <c r="D862">
        <v>0.05</v>
      </c>
      <c r="E862" t="s">
        <v>54</v>
      </c>
      <c r="F862" t="s">
        <v>55</v>
      </c>
      <c r="G862" t="s">
        <v>825</v>
      </c>
      <c r="H862" t="s">
        <v>14</v>
      </c>
      <c r="I862" s="26" t="s">
        <v>747</v>
      </c>
    </row>
    <row r="863" spans="1:9" x14ac:dyDescent="0.3">
      <c r="A863" s="24">
        <v>45357</v>
      </c>
      <c r="B863" t="s">
        <v>212</v>
      </c>
      <c r="C863" t="s">
        <v>53</v>
      </c>
      <c r="D863">
        <v>0.25</v>
      </c>
      <c r="E863" t="s">
        <v>54</v>
      </c>
      <c r="F863" t="s">
        <v>55</v>
      </c>
      <c r="G863" t="s">
        <v>222</v>
      </c>
      <c r="H863" t="s">
        <v>14</v>
      </c>
      <c r="I863" s="26" t="s">
        <v>747</v>
      </c>
    </row>
    <row r="864" spans="1:9" x14ac:dyDescent="0.3">
      <c r="A864" s="24">
        <v>45357</v>
      </c>
      <c r="B864" t="s">
        <v>212</v>
      </c>
      <c r="C864" t="s">
        <v>53</v>
      </c>
      <c r="D864">
        <v>0.33</v>
      </c>
      <c r="E864" t="s">
        <v>54</v>
      </c>
      <c r="F864" t="s">
        <v>55</v>
      </c>
      <c r="G864" t="s">
        <v>826</v>
      </c>
      <c r="H864" t="s">
        <v>14</v>
      </c>
      <c r="I864" s="26" t="s">
        <v>747</v>
      </c>
    </row>
    <row r="865" spans="1:9" x14ac:dyDescent="0.3">
      <c r="A865" s="24">
        <v>45357</v>
      </c>
      <c r="B865" t="s">
        <v>212</v>
      </c>
      <c r="C865" t="s">
        <v>53</v>
      </c>
      <c r="D865">
        <v>1.88</v>
      </c>
      <c r="E865" t="s">
        <v>54</v>
      </c>
      <c r="F865" t="s">
        <v>55</v>
      </c>
      <c r="G865" t="s">
        <v>827</v>
      </c>
      <c r="H865" t="s">
        <v>14</v>
      </c>
      <c r="I865" s="26" t="s">
        <v>747</v>
      </c>
    </row>
    <row r="866" spans="1:9" x14ac:dyDescent="0.3">
      <c r="A866" s="24">
        <v>45357</v>
      </c>
      <c r="B866" t="s">
        <v>212</v>
      </c>
      <c r="C866" t="s">
        <v>225</v>
      </c>
      <c r="D866">
        <v>0.05</v>
      </c>
      <c r="E866" t="s">
        <v>828</v>
      </c>
      <c r="F866" t="s">
        <v>31</v>
      </c>
      <c r="H866" t="s">
        <v>14</v>
      </c>
      <c r="I866" s="26" t="s">
        <v>747</v>
      </c>
    </row>
    <row r="867" spans="1:9" x14ac:dyDescent="0.3">
      <c r="A867" s="24">
        <v>45357</v>
      </c>
      <c r="B867" t="s">
        <v>212</v>
      </c>
      <c r="C867" t="s">
        <v>225</v>
      </c>
      <c r="D867">
        <v>0.1</v>
      </c>
      <c r="E867" t="s">
        <v>828</v>
      </c>
      <c r="F867" t="s">
        <v>31</v>
      </c>
      <c r="G867" t="s">
        <v>228</v>
      </c>
      <c r="H867" t="s">
        <v>14</v>
      </c>
      <c r="I867" s="26" t="s">
        <v>747</v>
      </c>
    </row>
    <row r="868" spans="1:9" x14ac:dyDescent="0.3">
      <c r="A868" s="24">
        <v>45357</v>
      </c>
      <c r="B868" t="s">
        <v>212</v>
      </c>
      <c r="C868" t="s">
        <v>148</v>
      </c>
      <c r="D868">
        <v>1.03</v>
      </c>
      <c r="E868" t="s">
        <v>54</v>
      </c>
      <c r="F868" t="s">
        <v>55</v>
      </c>
      <c r="G868" t="s">
        <v>669</v>
      </c>
      <c r="H868" t="s">
        <v>14</v>
      </c>
      <c r="I868" s="26" t="s">
        <v>747</v>
      </c>
    </row>
    <row r="869" spans="1:9" x14ac:dyDescent="0.3">
      <c r="A869" s="24">
        <v>45357</v>
      </c>
      <c r="B869" t="s">
        <v>212</v>
      </c>
      <c r="C869" t="s">
        <v>58</v>
      </c>
      <c r="D869">
        <v>1.85</v>
      </c>
      <c r="E869" t="s">
        <v>54</v>
      </c>
      <c r="F869" t="s">
        <v>55</v>
      </c>
      <c r="G869" t="s">
        <v>829</v>
      </c>
      <c r="H869" t="s">
        <v>14</v>
      </c>
      <c r="I869" s="26" t="s">
        <v>747</v>
      </c>
    </row>
    <row r="870" spans="1:9" x14ac:dyDescent="0.3">
      <c r="A870" s="24">
        <v>45357</v>
      </c>
      <c r="B870" t="s">
        <v>212</v>
      </c>
      <c r="C870" t="s">
        <v>235</v>
      </c>
      <c r="D870">
        <v>0.65</v>
      </c>
      <c r="E870" t="s">
        <v>54</v>
      </c>
      <c r="F870" t="s">
        <v>55</v>
      </c>
      <c r="G870" t="s">
        <v>830</v>
      </c>
      <c r="H870" t="s">
        <v>14</v>
      </c>
      <c r="I870" s="26" t="s">
        <v>747</v>
      </c>
    </row>
    <row r="871" spans="1:9" x14ac:dyDescent="0.3">
      <c r="A871" s="24">
        <v>45357</v>
      </c>
      <c r="B871" t="s">
        <v>212</v>
      </c>
      <c r="C871" t="s">
        <v>235</v>
      </c>
      <c r="D871">
        <v>1.5</v>
      </c>
      <c r="E871" t="s">
        <v>54</v>
      </c>
      <c r="F871" t="s">
        <v>55</v>
      </c>
      <c r="G871" t="s">
        <v>831</v>
      </c>
      <c r="H871" t="s">
        <v>14</v>
      </c>
      <c r="I871" s="26" t="s">
        <v>747</v>
      </c>
    </row>
    <row r="872" spans="1:9" x14ac:dyDescent="0.3">
      <c r="A872" s="24">
        <v>45357</v>
      </c>
      <c r="B872" t="s">
        <v>498</v>
      </c>
      <c r="C872" t="s">
        <v>173</v>
      </c>
      <c r="D872">
        <v>8</v>
      </c>
      <c r="E872" t="s">
        <v>49</v>
      </c>
      <c r="F872" t="s">
        <v>31</v>
      </c>
      <c r="G872" t="s">
        <v>832</v>
      </c>
      <c r="H872" t="s">
        <v>14</v>
      </c>
      <c r="I872" s="26" t="s">
        <v>747</v>
      </c>
    </row>
    <row r="873" spans="1:9" x14ac:dyDescent="0.3">
      <c r="A873" s="24">
        <v>45357</v>
      </c>
      <c r="B873" t="s">
        <v>240</v>
      </c>
      <c r="C873" t="s">
        <v>29</v>
      </c>
      <c r="D873">
        <v>3.93</v>
      </c>
      <c r="E873" t="s">
        <v>81</v>
      </c>
      <c r="F873" t="s">
        <v>31</v>
      </c>
      <c r="H873" t="s">
        <v>14</v>
      </c>
      <c r="I873" s="26" t="s">
        <v>747</v>
      </c>
    </row>
    <row r="874" spans="1:9" x14ac:dyDescent="0.3">
      <c r="A874" s="24">
        <v>45357</v>
      </c>
      <c r="B874" t="s">
        <v>240</v>
      </c>
      <c r="C874" t="s">
        <v>58</v>
      </c>
      <c r="D874">
        <v>4.3</v>
      </c>
      <c r="E874" t="s">
        <v>54</v>
      </c>
      <c r="F874" t="s">
        <v>55</v>
      </c>
      <c r="H874" t="s">
        <v>14</v>
      </c>
      <c r="I874" s="26" t="s">
        <v>747</v>
      </c>
    </row>
    <row r="875" spans="1:9" x14ac:dyDescent="0.3">
      <c r="A875" s="24">
        <v>45357</v>
      </c>
      <c r="B875" t="s">
        <v>245</v>
      </c>
      <c r="C875" t="s">
        <v>29</v>
      </c>
      <c r="D875">
        <v>1.5</v>
      </c>
      <c r="E875" t="s">
        <v>91</v>
      </c>
      <c r="F875" t="s">
        <v>31</v>
      </c>
      <c r="G875" t="s">
        <v>833</v>
      </c>
      <c r="H875" t="s">
        <v>14</v>
      </c>
      <c r="I875" s="26" t="s">
        <v>747</v>
      </c>
    </row>
    <row r="876" spans="1:9" x14ac:dyDescent="0.3">
      <c r="A876" s="24">
        <v>45357</v>
      </c>
      <c r="B876" t="s">
        <v>249</v>
      </c>
      <c r="C876" t="s">
        <v>252</v>
      </c>
      <c r="D876">
        <v>1.5</v>
      </c>
      <c r="E876" t="s">
        <v>54</v>
      </c>
      <c r="F876" t="s">
        <v>31</v>
      </c>
      <c r="H876" t="s">
        <v>14</v>
      </c>
      <c r="I876" s="26" t="s">
        <v>747</v>
      </c>
    </row>
    <row r="877" spans="1:9" x14ac:dyDescent="0.3">
      <c r="A877" s="24">
        <v>45357</v>
      </c>
      <c r="B877" t="s">
        <v>249</v>
      </c>
      <c r="C877" t="s">
        <v>252</v>
      </c>
      <c r="D877">
        <v>4</v>
      </c>
      <c r="E877" t="s">
        <v>81</v>
      </c>
      <c r="F877" t="s">
        <v>31</v>
      </c>
      <c r="H877" t="s">
        <v>14</v>
      </c>
      <c r="I877" s="26" t="s">
        <v>747</v>
      </c>
    </row>
    <row r="878" spans="1:9" x14ac:dyDescent="0.3">
      <c r="A878" s="24">
        <v>45357</v>
      </c>
      <c r="B878" t="s">
        <v>249</v>
      </c>
      <c r="C878" t="s">
        <v>53</v>
      </c>
      <c r="D878">
        <v>0.5</v>
      </c>
      <c r="E878" t="s">
        <v>54</v>
      </c>
      <c r="F878" t="s">
        <v>55</v>
      </c>
      <c r="G878" t="s">
        <v>110</v>
      </c>
      <c r="H878" t="s">
        <v>14</v>
      </c>
      <c r="I878" s="26" t="s">
        <v>747</v>
      </c>
    </row>
    <row r="879" spans="1:9" x14ac:dyDescent="0.3">
      <c r="A879" s="24">
        <v>45357</v>
      </c>
      <c r="B879" t="s">
        <v>249</v>
      </c>
      <c r="C879" t="s">
        <v>148</v>
      </c>
      <c r="D879">
        <v>2</v>
      </c>
      <c r="E879" t="s">
        <v>54</v>
      </c>
      <c r="F879" t="s">
        <v>55</v>
      </c>
      <c r="G879" t="s">
        <v>834</v>
      </c>
      <c r="H879" t="s">
        <v>14</v>
      </c>
      <c r="I879" s="26" t="s">
        <v>747</v>
      </c>
    </row>
    <row r="880" spans="1:9" x14ac:dyDescent="0.3">
      <c r="A880" s="24">
        <v>45357</v>
      </c>
      <c r="B880" t="s">
        <v>256</v>
      </c>
      <c r="C880" t="s">
        <v>53</v>
      </c>
      <c r="D880">
        <v>8.98</v>
      </c>
      <c r="E880" t="s">
        <v>54</v>
      </c>
      <c r="F880" t="s">
        <v>55</v>
      </c>
      <c r="G880" t="s">
        <v>835</v>
      </c>
      <c r="H880" t="s">
        <v>14</v>
      </c>
      <c r="I880" s="26" t="s">
        <v>747</v>
      </c>
    </row>
    <row r="881" spans="1:9" x14ac:dyDescent="0.3">
      <c r="A881" s="24">
        <v>45357</v>
      </c>
      <c r="B881" t="s">
        <v>262</v>
      </c>
      <c r="C881" t="s">
        <v>29</v>
      </c>
      <c r="D881">
        <v>2.65</v>
      </c>
      <c r="E881" t="s">
        <v>263</v>
      </c>
      <c r="F881" t="s">
        <v>31</v>
      </c>
      <c r="G881" t="s">
        <v>836</v>
      </c>
      <c r="H881" t="s">
        <v>14</v>
      </c>
      <c r="I881" s="26" t="s">
        <v>747</v>
      </c>
    </row>
    <row r="882" spans="1:9" x14ac:dyDescent="0.3">
      <c r="A882" s="24">
        <v>45357</v>
      </c>
      <c r="B882" t="s">
        <v>262</v>
      </c>
      <c r="C882" t="s">
        <v>29</v>
      </c>
      <c r="D882">
        <v>3.13</v>
      </c>
      <c r="E882" t="s">
        <v>263</v>
      </c>
      <c r="F882" t="s">
        <v>31</v>
      </c>
      <c r="G882" t="s">
        <v>837</v>
      </c>
      <c r="H882" t="s">
        <v>14</v>
      </c>
      <c r="I882" s="26" t="s">
        <v>747</v>
      </c>
    </row>
    <row r="883" spans="1:9" x14ac:dyDescent="0.3">
      <c r="A883" s="24">
        <v>45357</v>
      </c>
      <c r="B883" t="s">
        <v>262</v>
      </c>
      <c r="C883" t="s">
        <v>53</v>
      </c>
      <c r="D883">
        <v>0.5</v>
      </c>
      <c r="E883" t="s">
        <v>54</v>
      </c>
      <c r="F883" t="s">
        <v>55</v>
      </c>
      <c r="G883" t="s">
        <v>253</v>
      </c>
      <c r="H883" t="s">
        <v>14</v>
      </c>
      <c r="I883" s="26" t="s">
        <v>747</v>
      </c>
    </row>
    <row r="884" spans="1:9" x14ac:dyDescent="0.3">
      <c r="A884" s="24">
        <v>45357</v>
      </c>
      <c r="B884" t="s">
        <v>262</v>
      </c>
      <c r="C884" t="s">
        <v>148</v>
      </c>
      <c r="D884">
        <v>1.72</v>
      </c>
      <c r="E884" t="s">
        <v>54</v>
      </c>
      <c r="F884" t="s">
        <v>55</v>
      </c>
      <c r="G884" t="s">
        <v>838</v>
      </c>
      <c r="H884" t="s">
        <v>14</v>
      </c>
      <c r="I884" s="26" t="s">
        <v>747</v>
      </c>
    </row>
    <row r="885" spans="1:9" x14ac:dyDescent="0.3">
      <c r="A885" s="24">
        <v>45357</v>
      </c>
      <c r="B885" t="s">
        <v>266</v>
      </c>
      <c r="C885" t="s">
        <v>73</v>
      </c>
      <c r="D885">
        <v>8</v>
      </c>
      <c r="E885" t="s">
        <v>54</v>
      </c>
      <c r="F885" t="s">
        <v>55</v>
      </c>
      <c r="G885" t="s">
        <v>839</v>
      </c>
      <c r="H885" t="s">
        <v>14</v>
      </c>
      <c r="I885" s="26" t="s">
        <v>747</v>
      </c>
    </row>
    <row r="886" spans="1:9" x14ac:dyDescent="0.3">
      <c r="A886" s="24">
        <v>45357</v>
      </c>
      <c r="B886" t="s">
        <v>269</v>
      </c>
      <c r="C886" t="s">
        <v>73</v>
      </c>
      <c r="D886">
        <v>8</v>
      </c>
      <c r="E886" t="s">
        <v>54</v>
      </c>
      <c r="F886" t="s">
        <v>55</v>
      </c>
      <c r="H886" t="s">
        <v>14</v>
      </c>
      <c r="I886" s="26" t="s">
        <v>747</v>
      </c>
    </row>
    <row r="887" spans="1:9" x14ac:dyDescent="0.3">
      <c r="A887" s="24">
        <v>45357</v>
      </c>
      <c r="B887" t="s">
        <v>278</v>
      </c>
      <c r="C887" t="s">
        <v>279</v>
      </c>
      <c r="D887">
        <v>1.02</v>
      </c>
      <c r="E887" t="s">
        <v>254</v>
      </c>
      <c r="F887" t="s">
        <v>55</v>
      </c>
      <c r="G887" t="s">
        <v>840</v>
      </c>
      <c r="H887" t="s">
        <v>14</v>
      </c>
      <c r="I887" s="26" t="s">
        <v>747</v>
      </c>
    </row>
    <row r="888" spans="1:9" x14ac:dyDescent="0.3">
      <c r="A888" s="24">
        <v>45357</v>
      </c>
      <c r="B888" t="s">
        <v>278</v>
      </c>
      <c r="C888" t="s">
        <v>29</v>
      </c>
      <c r="D888">
        <v>0.48</v>
      </c>
      <c r="E888" t="s">
        <v>54</v>
      </c>
      <c r="F888" t="s">
        <v>55</v>
      </c>
      <c r="G888" t="s">
        <v>841</v>
      </c>
      <c r="H888" t="s">
        <v>14</v>
      </c>
      <c r="I888" s="26" t="s">
        <v>747</v>
      </c>
    </row>
    <row r="889" spans="1:9" x14ac:dyDescent="0.3">
      <c r="A889" s="24">
        <v>45357</v>
      </c>
      <c r="B889" t="s">
        <v>278</v>
      </c>
      <c r="C889" t="s">
        <v>29</v>
      </c>
      <c r="D889">
        <v>2.9</v>
      </c>
      <c r="E889" t="s">
        <v>54</v>
      </c>
      <c r="F889" t="s">
        <v>55</v>
      </c>
      <c r="G889" t="s">
        <v>842</v>
      </c>
      <c r="H889" t="s">
        <v>14</v>
      </c>
      <c r="I889" s="26" t="s">
        <v>747</v>
      </c>
    </row>
    <row r="890" spans="1:9" x14ac:dyDescent="0.3">
      <c r="A890" s="24">
        <v>45357</v>
      </c>
      <c r="B890" t="s">
        <v>278</v>
      </c>
      <c r="C890" t="s">
        <v>148</v>
      </c>
      <c r="D890">
        <v>1.75</v>
      </c>
      <c r="E890" t="s">
        <v>254</v>
      </c>
      <c r="F890" t="s">
        <v>55</v>
      </c>
      <c r="G890" t="s">
        <v>843</v>
      </c>
      <c r="H890" t="s">
        <v>14</v>
      </c>
      <c r="I890" s="26" t="s">
        <v>747</v>
      </c>
    </row>
    <row r="891" spans="1:9" x14ac:dyDescent="0.3">
      <c r="A891" s="24">
        <v>45357</v>
      </c>
      <c r="B891" t="s">
        <v>278</v>
      </c>
      <c r="C891" t="s">
        <v>58</v>
      </c>
      <c r="D891">
        <v>2.38</v>
      </c>
      <c r="E891" t="s">
        <v>254</v>
      </c>
      <c r="F891" t="s">
        <v>55</v>
      </c>
      <c r="G891" t="s">
        <v>844</v>
      </c>
      <c r="H891" t="s">
        <v>14</v>
      </c>
      <c r="I891" s="26" t="s">
        <v>747</v>
      </c>
    </row>
    <row r="892" spans="1:9" x14ac:dyDescent="0.3">
      <c r="A892" s="24">
        <v>45357</v>
      </c>
      <c r="B892" t="s">
        <v>286</v>
      </c>
      <c r="C892" t="s">
        <v>287</v>
      </c>
      <c r="D892">
        <v>10</v>
      </c>
      <c r="E892" t="s">
        <v>54</v>
      </c>
      <c r="F892" t="s">
        <v>55</v>
      </c>
      <c r="G892" t="s">
        <v>845</v>
      </c>
      <c r="H892" t="s">
        <v>14</v>
      </c>
      <c r="I892" s="26" t="s">
        <v>747</v>
      </c>
    </row>
    <row r="893" spans="1:9" x14ac:dyDescent="0.3">
      <c r="A893" s="24">
        <v>45357</v>
      </c>
      <c r="B893" t="s">
        <v>289</v>
      </c>
      <c r="C893" t="s">
        <v>29</v>
      </c>
      <c r="D893">
        <v>0.25</v>
      </c>
      <c r="E893" t="s">
        <v>290</v>
      </c>
      <c r="F893" t="s">
        <v>31</v>
      </c>
      <c r="H893" t="s">
        <v>14</v>
      </c>
      <c r="I893" s="26" t="s">
        <v>747</v>
      </c>
    </row>
    <row r="894" spans="1:9" x14ac:dyDescent="0.3">
      <c r="A894" s="24">
        <v>45357</v>
      </c>
      <c r="B894" t="s">
        <v>289</v>
      </c>
      <c r="C894" t="s">
        <v>29</v>
      </c>
      <c r="D894">
        <v>0.5</v>
      </c>
      <c r="E894" t="s">
        <v>226</v>
      </c>
      <c r="F894" t="s">
        <v>31</v>
      </c>
      <c r="H894" t="s">
        <v>14</v>
      </c>
      <c r="I894" s="26" t="s">
        <v>747</v>
      </c>
    </row>
    <row r="895" spans="1:9" x14ac:dyDescent="0.3">
      <c r="A895" s="24">
        <v>45357</v>
      </c>
      <c r="B895" t="s">
        <v>289</v>
      </c>
      <c r="C895" t="s">
        <v>29</v>
      </c>
      <c r="D895">
        <v>1</v>
      </c>
      <c r="E895" t="s">
        <v>291</v>
      </c>
      <c r="F895" t="s">
        <v>31</v>
      </c>
      <c r="G895" t="s">
        <v>846</v>
      </c>
      <c r="H895" t="s">
        <v>14</v>
      </c>
      <c r="I895" s="26" t="s">
        <v>747</v>
      </c>
    </row>
    <row r="896" spans="1:9" x14ac:dyDescent="0.3">
      <c r="A896" s="24">
        <v>45357</v>
      </c>
      <c r="B896" t="s">
        <v>289</v>
      </c>
      <c r="C896" t="s">
        <v>29</v>
      </c>
      <c r="D896">
        <v>2.25</v>
      </c>
      <c r="E896" t="s">
        <v>49</v>
      </c>
      <c r="F896" t="s">
        <v>31</v>
      </c>
      <c r="H896" t="s">
        <v>14</v>
      </c>
      <c r="I896" s="26" t="s">
        <v>747</v>
      </c>
    </row>
    <row r="897" spans="1:9" x14ac:dyDescent="0.3">
      <c r="A897" s="24">
        <v>45357</v>
      </c>
      <c r="B897" t="s">
        <v>289</v>
      </c>
      <c r="C897" t="s">
        <v>60</v>
      </c>
      <c r="D897">
        <v>0.5</v>
      </c>
      <c r="E897" t="s">
        <v>291</v>
      </c>
      <c r="F897" t="s">
        <v>31</v>
      </c>
      <c r="G897" t="s">
        <v>847</v>
      </c>
      <c r="H897" t="s">
        <v>14</v>
      </c>
      <c r="I897" s="26" t="s">
        <v>747</v>
      </c>
    </row>
    <row r="898" spans="1:9" x14ac:dyDescent="0.3">
      <c r="A898" s="24">
        <v>45357</v>
      </c>
      <c r="B898" t="s">
        <v>289</v>
      </c>
      <c r="C898" t="s">
        <v>60</v>
      </c>
      <c r="D898">
        <v>0.5</v>
      </c>
      <c r="E898" t="s">
        <v>848</v>
      </c>
      <c r="F898" t="s">
        <v>31</v>
      </c>
      <c r="H898" t="s">
        <v>14</v>
      </c>
      <c r="I898" s="26" t="s">
        <v>747</v>
      </c>
    </row>
    <row r="899" spans="1:9" x14ac:dyDescent="0.3">
      <c r="A899" s="24">
        <v>45357</v>
      </c>
      <c r="B899" t="s">
        <v>289</v>
      </c>
      <c r="C899" t="s">
        <v>60</v>
      </c>
      <c r="D899">
        <v>0.5</v>
      </c>
      <c r="E899" t="s">
        <v>226</v>
      </c>
      <c r="F899" t="s">
        <v>31</v>
      </c>
      <c r="H899" t="s">
        <v>14</v>
      </c>
      <c r="I899" s="26" t="s">
        <v>747</v>
      </c>
    </row>
    <row r="900" spans="1:9" x14ac:dyDescent="0.3">
      <c r="A900" s="24">
        <v>45357</v>
      </c>
      <c r="B900" t="s">
        <v>294</v>
      </c>
      <c r="C900" t="s">
        <v>238</v>
      </c>
      <c r="D900">
        <v>6</v>
      </c>
      <c r="E900" t="s">
        <v>54</v>
      </c>
      <c r="F900" t="s">
        <v>55</v>
      </c>
      <c r="G900" t="s">
        <v>849</v>
      </c>
      <c r="H900" t="s">
        <v>14</v>
      </c>
      <c r="I900" s="26" t="s">
        <v>747</v>
      </c>
    </row>
    <row r="901" spans="1:9" x14ac:dyDescent="0.3">
      <c r="A901" s="24">
        <v>45357</v>
      </c>
      <c r="B901" t="s">
        <v>301</v>
      </c>
      <c r="C901" t="s">
        <v>29</v>
      </c>
      <c r="D901">
        <v>0.1</v>
      </c>
      <c r="E901" t="s">
        <v>156</v>
      </c>
      <c r="F901" t="s">
        <v>31</v>
      </c>
      <c r="H901" t="s">
        <v>14</v>
      </c>
      <c r="I901" s="26" t="s">
        <v>747</v>
      </c>
    </row>
    <row r="902" spans="1:9" x14ac:dyDescent="0.3">
      <c r="A902" s="24">
        <v>45357</v>
      </c>
      <c r="B902" t="s">
        <v>301</v>
      </c>
      <c r="C902" t="s">
        <v>29</v>
      </c>
      <c r="D902">
        <v>0.3</v>
      </c>
      <c r="E902" t="s">
        <v>304</v>
      </c>
      <c r="F902" t="s">
        <v>31</v>
      </c>
      <c r="G902" t="s">
        <v>489</v>
      </c>
      <c r="H902" t="s">
        <v>14</v>
      </c>
      <c r="I902" s="26" t="s">
        <v>747</v>
      </c>
    </row>
    <row r="903" spans="1:9" x14ac:dyDescent="0.3">
      <c r="A903" s="24">
        <v>45357</v>
      </c>
      <c r="B903" t="s">
        <v>301</v>
      </c>
      <c r="C903" t="s">
        <v>29</v>
      </c>
      <c r="D903">
        <v>0.43</v>
      </c>
      <c r="E903" t="s">
        <v>304</v>
      </c>
      <c r="F903" t="s">
        <v>31</v>
      </c>
      <c r="H903" t="s">
        <v>14</v>
      </c>
      <c r="I903" s="26" t="s">
        <v>747</v>
      </c>
    </row>
    <row r="904" spans="1:9" x14ac:dyDescent="0.3">
      <c r="A904" s="24">
        <v>45357</v>
      </c>
      <c r="B904" t="s">
        <v>301</v>
      </c>
      <c r="C904" t="s">
        <v>29</v>
      </c>
      <c r="D904">
        <v>0.75</v>
      </c>
      <c r="E904" t="s">
        <v>156</v>
      </c>
      <c r="F904" t="s">
        <v>31</v>
      </c>
      <c r="G904" t="s">
        <v>850</v>
      </c>
      <c r="H904" t="s">
        <v>14</v>
      </c>
      <c r="I904" s="26" t="s">
        <v>747</v>
      </c>
    </row>
    <row r="905" spans="1:9" x14ac:dyDescent="0.3">
      <c r="A905" s="24">
        <v>45357</v>
      </c>
      <c r="B905" t="s">
        <v>301</v>
      </c>
      <c r="C905" t="s">
        <v>29</v>
      </c>
      <c r="D905">
        <v>0.95</v>
      </c>
      <c r="E905" t="s">
        <v>156</v>
      </c>
      <c r="F905" t="s">
        <v>31</v>
      </c>
      <c r="G905" t="s">
        <v>851</v>
      </c>
      <c r="H905" t="s">
        <v>14</v>
      </c>
      <c r="I905" s="26" t="s">
        <v>747</v>
      </c>
    </row>
    <row r="906" spans="1:9" x14ac:dyDescent="0.3">
      <c r="A906" s="24">
        <v>45357</v>
      </c>
      <c r="B906" t="s">
        <v>301</v>
      </c>
      <c r="C906" t="s">
        <v>29</v>
      </c>
      <c r="D906">
        <v>1.22</v>
      </c>
      <c r="E906" t="s">
        <v>156</v>
      </c>
      <c r="F906" t="s">
        <v>31</v>
      </c>
      <c r="G906" t="s">
        <v>303</v>
      </c>
      <c r="H906" t="s">
        <v>14</v>
      </c>
      <c r="I906" s="26" t="s">
        <v>747</v>
      </c>
    </row>
    <row r="907" spans="1:9" x14ac:dyDescent="0.3">
      <c r="A907" s="24">
        <v>45357</v>
      </c>
      <c r="B907" t="s">
        <v>301</v>
      </c>
      <c r="C907" t="s">
        <v>29</v>
      </c>
      <c r="D907">
        <v>2.1800000000000002</v>
      </c>
      <c r="E907" t="s">
        <v>304</v>
      </c>
      <c r="F907" t="s">
        <v>31</v>
      </c>
      <c r="G907" t="s">
        <v>852</v>
      </c>
      <c r="H907" t="s">
        <v>14</v>
      </c>
      <c r="I907" s="26" t="s">
        <v>747</v>
      </c>
    </row>
    <row r="908" spans="1:9" x14ac:dyDescent="0.3">
      <c r="A908" s="24">
        <v>45357</v>
      </c>
      <c r="B908" t="s">
        <v>301</v>
      </c>
      <c r="C908" t="s">
        <v>58</v>
      </c>
      <c r="D908">
        <v>1.57</v>
      </c>
      <c r="E908" t="s">
        <v>54</v>
      </c>
      <c r="F908" t="s">
        <v>55</v>
      </c>
      <c r="G908" t="s">
        <v>853</v>
      </c>
      <c r="H908" t="s">
        <v>14</v>
      </c>
      <c r="I908" s="26" t="s">
        <v>747</v>
      </c>
    </row>
    <row r="909" spans="1:9" x14ac:dyDescent="0.3">
      <c r="A909" s="24">
        <v>45357</v>
      </c>
      <c r="B909" t="s">
        <v>301</v>
      </c>
      <c r="C909" t="s">
        <v>60</v>
      </c>
      <c r="D909">
        <v>0.45</v>
      </c>
      <c r="E909" t="s">
        <v>143</v>
      </c>
      <c r="F909" t="s">
        <v>31</v>
      </c>
      <c r="G909" t="s">
        <v>854</v>
      </c>
      <c r="H909" t="s">
        <v>14</v>
      </c>
      <c r="I909" s="26" t="s">
        <v>747</v>
      </c>
    </row>
    <row r="910" spans="1:9" x14ac:dyDescent="0.3">
      <c r="A910" s="24">
        <v>45357</v>
      </c>
      <c r="B910" t="s">
        <v>313</v>
      </c>
      <c r="C910" t="s">
        <v>29</v>
      </c>
      <c r="D910">
        <v>1</v>
      </c>
      <c r="E910" t="s">
        <v>91</v>
      </c>
      <c r="F910" t="s">
        <v>31</v>
      </c>
      <c r="G910" t="s">
        <v>855</v>
      </c>
      <c r="H910" t="s">
        <v>14</v>
      </c>
      <c r="I910" s="26" t="s">
        <v>747</v>
      </c>
    </row>
    <row r="911" spans="1:9" x14ac:dyDescent="0.3">
      <c r="A911" s="24">
        <v>45357</v>
      </c>
      <c r="B911" t="s">
        <v>313</v>
      </c>
      <c r="C911" t="s">
        <v>53</v>
      </c>
      <c r="D911">
        <v>0.27</v>
      </c>
      <c r="E911" t="s">
        <v>54</v>
      </c>
      <c r="F911" t="s">
        <v>55</v>
      </c>
      <c r="G911" t="s">
        <v>705</v>
      </c>
      <c r="H911" t="s">
        <v>14</v>
      </c>
      <c r="I911" s="26" t="s">
        <v>747</v>
      </c>
    </row>
    <row r="912" spans="1:9" x14ac:dyDescent="0.3">
      <c r="A912" s="24">
        <v>45357</v>
      </c>
      <c r="B912" t="s">
        <v>313</v>
      </c>
      <c r="C912" t="s">
        <v>60</v>
      </c>
      <c r="D912">
        <v>0.15</v>
      </c>
      <c r="E912" t="s">
        <v>35</v>
      </c>
      <c r="F912" t="s">
        <v>31</v>
      </c>
      <c r="H912" t="s">
        <v>14</v>
      </c>
      <c r="I912" s="26" t="s">
        <v>747</v>
      </c>
    </row>
    <row r="913" spans="1:9" x14ac:dyDescent="0.3">
      <c r="A913" s="24">
        <v>45357</v>
      </c>
      <c r="B913" t="s">
        <v>313</v>
      </c>
      <c r="C913" t="s">
        <v>60</v>
      </c>
      <c r="D913">
        <v>7.6</v>
      </c>
      <c r="E913" t="s">
        <v>170</v>
      </c>
      <c r="F913" t="s">
        <v>31</v>
      </c>
      <c r="H913" t="s">
        <v>14</v>
      </c>
      <c r="I913" s="26" t="s">
        <v>747</v>
      </c>
    </row>
    <row r="914" spans="1:9" x14ac:dyDescent="0.3">
      <c r="A914" s="24">
        <v>45357</v>
      </c>
      <c r="B914" t="s">
        <v>318</v>
      </c>
      <c r="C914" t="s">
        <v>53</v>
      </c>
      <c r="D914">
        <v>2.58</v>
      </c>
      <c r="E914" t="s">
        <v>54</v>
      </c>
      <c r="F914" t="s">
        <v>55</v>
      </c>
      <c r="G914" t="s">
        <v>856</v>
      </c>
      <c r="H914" t="s">
        <v>14</v>
      </c>
      <c r="I914" s="26" t="s">
        <v>747</v>
      </c>
    </row>
    <row r="915" spans="1:9" x14ac:dyDescent="0.3">
      <c r="A915" s="24">
        <v>45357</v>
      </c>
      <c r="B915" t="s">
        <v>318</v>
      </c>
      <c r="C915" t="s">
        <v>58</v>
      </c>
      <c r="D915">
        <v>5.83</v>
      </c>
      <c r="E915" t="s">
        <v>54</v>
      </c>
      <c r="F915" t="s">
        <v>55</v>
      </c>
      <c r="G915" t="s">
        <v>857</v>
      </c>
      <c r="H915" t="s">
        <v>14</v>
      </c>
      <c r="I915" s="26" t="s">
        <v>747</v>
      </c>
    </row>
    <row r="916" spans="1:9" x14ac:dyDescent="0.3">
      <c r="A916" s="24">
        <v>45357</v>
      </c>
      <c r="B916" t="s">
        <v>324</v>
      </c>
      <c r="C916" t="s">
        <v>29</v>
      </c>
      <c r="D916">
        <v>2.68</v>
      </c>
      <c r="E916" t="s">
        <v>81</v>
      </c>
      <c r="F916" t="s">
        <v>31</v>
      </c>
      <c r="G916" t="s">
        <v>858</v>
      </c>
      <c r="H916" t="s">
        <v>14</v>
      </c>
      <c r="I916" s="26" t="s">
        <v>747</v>
      </c>
    </row>
    <row r="917" spans="1:9" x14ac:dyDescent="0.3">
      <c r="A917" s="24">
        <v>45357</v>
      </c>
      <c r="B917" t="s">
        <v>324</v>
      </c>
      <c r="C917" t="s">
        <v>29</v>
      </c>
      <c r="D917">
        <v>5.48</v>
      </c>
      <c r="E917" t="s">
        <v>81</v>
      </c>
      <c r="F917" t="s">
        <v>31</v>
      </c>
      <c r="H917" t="s">
        <v>14</v>
      </c>
      <c r="I917" s="26" t="s">
        <v>747</v>
      </c>
    </row>
    <row r="918" spans="1:9" x14ac:dyDescent="0.3">
      <c r="A918" s="24">
        <v>45357</v>
      </c>
      <c r="B918" t="s">
        <v>328</v>
      </c>
      <c r="C918" t="s">
        <v>29</v>
      </c>
      <c r="D918">
        <v>7.0000000000000007E-2</v>
      </c>
      <c r="E918" t="s">
        <v>139</v>
      </c>
      <c r="F918" t="s">
        <v>31</v>
      </c>
      <c r="G918" t="s">
        <v>859</v>
      </c>
      <c r="H918" t="s">
        <v>14</v>
      </c>
      <c r="I918" s="26" t="s">
        <v>747</v>
      </c>
    </row>
    <row r="919" spans="1:9" x14ac:dyDescent="0.3">
      <c r="A919" s="24">
        <v>45357</v>
      </c>
      <c r="B919" t="s">
        <v>328</v>
      </c>
      <c r="C919" t="s">
        <v>29</v>
      </c>
      <c r="D919">
        <v>0.52</v>
      </c>
      <c r="E919" t="s">
        <v>420</v>
      </c>
      <c r="F919" t="s">
        <v>31</v>
      </c>
      <c r="G919" t="s">
        <v>860</v>
      </c>
      <c r="H919" t="s">
        <v>14</v>
      </c>
      <c r="I919" s="26" t="s">
        <v>747</v>
      </c>
    </row>
    <row r="920" spans="1:9" x14ac:dyDescent="0.3">
      <c r="A920" s="24">
        <v>45357</v>
      </c>
      <c r="B920" t="s">
        <v>328</v>
      </c>
      <c r="C920" t="s">
        <v>29</v>
      </c>
      <c r="D920">
        <v>1.18</v>
      </c>
      <c r="E920" t="s">
        <v>420</v>
      </c>
      <c r="F920" t="s">
        <v>31</v>
      </c>
      <c r="G920" t="s">
        <v>861</v>
      </c>
      <c r="H920" t="s">
        <v>14</v>
      </c>
      <c r="I920" s="26" t="s">
        <v>747</v>
      </c>
    </row>
    <row r="921" spans="1:9" x14ac:dyDescent="0.3">
      <c r="A921" s="24">
        <v>45357</v>
      </c>
      <c r="B921" t="s">
        <v>328</v>
      </c>
      <c r="C921" t="s">
        <v>29</v>
      </c>
      <c r="D921">
        <v>1.27</v>
      </c>
      <c r="E921" t="s">
        <v>423</v>
      </c>
      <c r="F921" t="s">
        <v>31</v>
      </c>
      <c r="G921" t="s">
        <v>862</v>
      </c>
      <c r="H921" t="s">
        <v>14</v>
      </c>
      <c r="I921" s="26" t="s">
        <v>747</v>
      </c>
    </row>
    <row r="922" spans="1:9" x14ac:dyDescent="0.3">
      <c r="A922" s="24">
        <v>45357</v>
      </c>
      <c r="B922" t="s">
        <v>328</v>
      </c>
      <c r="C922" t="s">
        <v>29</v>
      </c>
      <c r="D922">
        <v>1.3</v>
      </c>
      <c r="E922" t="s">
        <v>423</v>
      </c>
      <c r="F922" t="s">
        <v>31</v>
      </c>
      <c r="G922" t="s">
        <v>863</v>
      </c>
      <c r="H922" t="s">
        <v>14</v>
      </c>
      <c r="I922" s="26" t="s">
        <v>747</v>
      </c>
    </row>
    <row r="923" spans="1:9" x14ac:dyDescent="0.3">
      <c r="A923" s="24">
        <v>45357</v>
      </c>
      <c r="B923" t="s">
        <v>328</v>
      </c>
      <c r="C923" t="s">
        <v>58</v>
      </c>
      <c r="D923">
        <v>1.17</v>
      </c>
      <c r="E923" t="s">
        <v>54</v>
      </c>
      <c r="F923" t="s">
        <v>55</v>
      </c>
      <c r="G923" t="s">
        <v>864</v>
      </c>
      <c r="H923" t="s">
        <v>14</v>
      </c>
      <c r="I923" s="26" t="s">
        <v>747</v>
      </c>
    </row>
    <row r="924" spans="1:9" x14ac:dyDescent="0.3">
      <c r="A924" s="24">
        <v>45357</v>
      </c>
      <c r="B924" t="s">
        <v>328</v>
      </c>
      <c r="C924" t="s">
        <v>60</v>
      </c>
      <c r="D924">
        <v>0.13</v>
      </c>
      <c r="E924" t="s">
        <v>848</v>
      </c>
      <c r="F924" t="s">
        <v>31</v>
      </c>
      <c r="G924" t="s">
        <v>865</v>
      </c>
      <c r="H924" t="s">
        <v>14</v>
      </c>
      <c r="I924" s="26" t="s">
        <v>747</v>
      </c>
    </row>
    <row r="925" spans="1:9" x14ac:dyDescent="0.3">
      <c r="A925" s="24">
        <v>45357</v>
      </c>
      <c r="B925" t="s">
        <v>328</v>
      </c>
      <c r="C925" t="s">
        <v>60</v>
      </c>
      <c r="D925">
        <v>0.4</v>
      </c>
      <c r="E925" t="s">
        <v>162</v>
      </c>
      <c r="F925" t="s">
        <v>31</v>
      </c>
      <c r="G925" t="s">
        <v>866</v>
      </c>
      <c r="H925" t="s">
        <v>14</v>
      </c>
      <c r="I925" s="26" t="s">
        <v>747</v>
      </c>
    </row>
    <row r="926" spans="1:9" x14ac:dyDescent="0.3">
      <c r="A926" s="24">
        <v>45357</v>
      </c>
      <c r="B926" t="s">
        <v>328</v>
      </c>
      <c r="C926" t="s">
        <v>60</v>
      </c>
      <c r="D926">
        <v>0.6</v>
      </c>
      <c r="E926" t="s">
        <v>162</v>
      </c>
      <c r="F926" t="s">
        <v>31</v>
      </c>
      <c r="G926" t="s">
        <v>867</v>
      </c>
      <c r="H926" t="s">
        <v>14</v>
      </c>
      <c r="I926" s="26" t="s">
        <v>747</v>
      </c>
    </row>
    <row r="927" spans="1:9" x14ac:dyDescent="0.3">
      <c r="A927" s="24">
        <v>45357</v>
      </c>
      <c r="B927" t="s">
        <v>328</v>
      </c>
      <c r="C927" t="s">
        <v>60</v>
      </c>
      <c r="D927">
        <v>1.37</v>
      </c>
      <c r="E927" t="s">
        <v>162</v>
      </c>
      <c r="F927" t="s">
        <v>31</v>
      </c>
      <c r="G927" t="s">
        <v>868</v>
      </c>
      <c r="H927" t="s">
        <v>14</v>
      </c>
      <c r="I927" s="26" t="s">
        <v>747</v>
      </c>
    </row>
    <row r="928" spans="1:9" x14ac:dyDescent="0.3">
      <c r="A928" s="24">
        <v>45357</v>
      </c>
      <c r="B928" t="s">
        <v>329</v>
      </c>
      <c r="C928" t="s">
        <v>235</v>
      </c>
      <c r="D928">
        <v>0.1</v>
      </c>
      <c r="E928" t="s">
        <v>54</v>
      </c>
      <c r="F928" t="s">
        <v>55</v>
      </c>
      <c r="G928" t="s">
        <v>869</v>
      </c>
      <c r="H928" t="s">
        <v>14</v>
      </c>
      <c r="I928" s="26" t="s">
        <v>747</v>
      </c>
    </row>
    <row r="929" spans="1:9" x14ac:dyDescent="0.3">
      <c r="A929" s="24">
        <v>45357</v>
      </c>
      <c r="B929" t="s">
        <v>331</v>
      </c>
      <c r="C929" t="s">
        <v>29</v>
      </c>
      <c r="D929">
        <v>0.22</v>
      </c>
      <c r="E929" t="s">
        <v>182</v>
      </c>
      <c r="F929" t="s">
        <v>31</v>
      </c>
      <c r="G929" t="s">
        <v>870</v>
      </c>
      <c r="H929" t="s">
        <v>14</v>
      </c>
      <c r="I929" s="26" t="s">
        <v>747</v>
      </c>
    </row>
    <row r="930" spans="1:9" x14ac:dyDescent="0.3">
      <c r="A930" s="24">
        <v>45357</v>
      </c>
      <c r="B930" t="s">
        <v>331</v>
      </c>
      <c r="C930" t="s">
        <v>29</v>
      </c>
      <c r="D930">
        <v>0.43</v>
      </c>
      <c r="E930" t="s">
        <v>91</v>
      </c>
      <c r="F930" t="s">
        <v>31</v>
      </c>
      <c r="G930" t="s">
        <v>750</v>
      </c>
      <c r="H930" t="s">
        <v>14</v>
      </c>
      <c r="I930" s="26" t="s">
        <v>747</v>
      </c>
    </row>
    <row r="931" spans="1:9" x14ac:dyDescent="0.3">
      <c r="A931" s="24">
        <v>45357</v>
      </c>
      <c r="B931" t="s">
        <v>331</v>
      </c>
      <c r="C931" t="s">
        <v>29</v>
      </c>
      <c r="D931">
        <v>0.78</v>
      </c>
      <c r="E931" t="s">
        <v>176</v>
      </c>
      <c r="F931" t="s">
        <v>31</v>
      </c>
      <c r="H931" t="s">
        <v>14</v>
      </c>
      <c r="I931" s="26" t="s">
        <v>747</v>
      </c>
    </row>
    <row r="932" spans="1:9" x14ac:dyDescent="0.3">
      <c r="A932" s="24">
        <v>45357</v>
      </c>
      <c r="B932" t="s">
        <v>331</v>
      </c>
      <c r="C932" t="s">
        <v>29</v>
      </c>
      <c r="D932">
        <v>0.83</v>
      </c>
      <c r="E932" t="s">
        <v>91</v>
      </c>
      <c r="F932" t="s">
        <v>31</v>
      </c>
      <c r="G932" t="s">
        <v>553</v>
      </c>
      <c r="H932" t="s">
        <v>14</v>
      </c>
      <c r="I932" s="26" t="s">
        <v>747</v>
      </c>
    </row>
    <row r="933" spans="1:9" x14ac:dyDescent="0.3">
      <c r="A933" s="24">
        <v>45357</v>
      </c>
      <c r="B933" t="s">
        <v>331</v>
      </c>
      <c r="C933" t="s">
        <v>29</v>
      </c>
      <c r="D933">
        <v>1.5</v>
      </c>
      <c r="E933" t="s">
        <v>91</v>
      </c>
      <c r="F933" t="s">
        <v>31</v>
      </c>
      <c r="H933" t="s">
        <v>14</v>
      </c>
      <c r="I933" s="26" t="s">
        <v>747</v>
      </c>
    </row>
    <row r="934" spans="1:9" x14ac:dyDescent="0.3">
      <c r="A934" s="24">
        <v>45357</v>
      </c>
      <c r="B934" t="s">
        <v>331</v>
      </c>
      <c r="C934" t="s">
        <v>29</v>
      </c>
      <c r="D934">
        <v>1.67</v>
      </c>
      <c r="E934" t="s">
        <v>91</v>
      </c>
      <c r="F934" t="s">
        <v>31</v>
      </c>
      <c r="G934" t="s">
        <v>871</v>
      </c>
      <c r="H934" t="s">
        <v>14</v>
      </c>
      <c r="I934" s="26" t="s">
        <v>747</v>
      </c>
    </row>
    <row r="935" spans="1:9" x14ac:dyDescent="0.3">
      <c r="A935" s="24">
        <v>45357</v>
      </c>
      <c r="B935" t="s">
        <v>331</v>
      </c>
      <c r="C935" t="s">
        <v>53</v>
      </c>
      <c r="D935">
        <v>0.5</v>
      </c>
      <c r="E935" t="s">
        <v>54</v>
      </c>
      <c r="F935" t="s">
        <v>55</v>
      </c>
      <c r="G935" t="s">
        <v>332</v>
      </c>
      <c r="H935" t="s">
        <v>14</v>
      </c>
      <c r="I935" s="26" t="s">
        <v>747</v>
      </c>
    </row>
    <row r="936" spans="1:9" x14ac:dyDescent="0.3">
      <c r="A936" s="24">
        <v>45357</v>
      </c>
      <c r="B936" t="s">
        <v>331</v>
      </c>
      <c r="C936" t="s">
        <v>58</v>
      </c>
      <c r="D936">
        <v>0.55000000000000004</v>
      </c>
      <c r="E936" t="s">
        <v>54</v>
      </c>
      <c r="F936" t="s">
        <v>55</v>
      </c>
      <c r="G936" t="s">
        <v>872</v>
      </c>
      <c r="H936" t="s">
        <v>14</v>
      </c>
      <c r="I936" s="26" t="s">
        <v>747</v>
      </c>
    </row>
    <row r="937" spans="1:9" x14ac:dyDescent="0.3">
      <c r="A937" s="24">
        <v>45357</v>
      </c>
      <c r="B937" t="s">
        <v>331</v>
      </c>
      <c r="C937" t="s">
        <v>60</v>
      </c>
      <c r="D937">
        <v>0.1</v>
      </c>
      <c r="E937" t="s">
        <v>104</v>
      </c>
      <c r="F937" t="s">
        <v>31</v>
      </c>
      <c r="G937" t="s">
        <v>873</v>
      </c>
      <c r="H937" t="s">
        <v>14</v>
      </c>
      <c r="I937" s="26" t="s">
        <v>747</v>
      </c>
    </row>
    <row r="938" spans="1:9" x14ac:dyDescent="0.3">
      <c r="A938" s="24">
        <v>45357</v>
      </c>
      <c r="B938" t="s">
        <v>331</v>
      </c>
      <c r="C938" t="s">
        <v>60</v>
      </c>
      <c r="D938">
        <v>0.17</v>
      </c>
      <c r="E938" t="s">
        <v>102</v>
      </c>
      <c r="F938" t="s">
        <v>31</v>
      </c>
      <c r="G938" t="s">
        <v>874</v>
      </c>
      <c r="H938" t="s">
        <v>14</v>
      </c>
      <c r="I938" s="26" t="s">
        <v>747</v>
      </c>
    </row>
    <row r="939" spans="1:9" x14ac:dyDescent="0.3">
      <c r="A939" s="24">
        <v>45357</v>
      </c>
      <c r="B939" t="s">
        <v>331</v>
      </c>
      <c r="C939" t="s">
        <v>60</v>
      </c>
      <c r="D939">
        <v>0.17</v>
      </c>
      <c r="E939" t="s">
        <v>218</v>
      </c>
      <c r="F939" t="s">
        <v>31</v>
      </c>
      <c r="G939" t="s">
        <v>875</v>
      </c>
      <c r="H939" t="s">
        <v>14</v>
      </c>
      <c r="I939" s="26" t="s">
        <v>747</v>
      </c>
    </row>
    <row r="940" spans="1:9" x14ac:dyDescent="0.3">
      <c r="A940" s="24">
        <v>45357</v>
      </c>
      <c r="B940" t="s">
        <v>331</v>
      </c>
      <c r="C940" t="s">
        <v>60</v>
      </c>
      <c r="D940">
        <v>0.25</v>
      </c>
      <c r="E940" t="s">
        <v>218</v>
      </c>
      <c r="F940" t="s">
        <v>31</v>
      </c>
      <c r="G940" t="s">
        <v>722</v>
      </c>
      <c r="H940" t="s">
        <v>14</v>
      </c>
      <c r="I940" s="26" t="s">
        <v>747</v>
      </c>
    </row>
    <row r="941" spans="1:9" x14ac:dyDescent="0.3">
      <c r="A941" s="24">
        <v>45357</v>
      </c>
      <c r="B941" t="s">
        <v>331</v>
      </c>
      <c r="C941" t="s">
        <v>60</v>
      </c>
      <c r="D941">
        <v>1.17</v>
      </c>
      <c r="E941" t="s">
        <v>334</v>
      </c>
      <c r="F941" t="s">
        <v>31</v>
      </c>
      <c r="G941" t="s">
        <v>876</v>
      </c>
      <c r="H941" t="s">
        <v>14</v>
      </c>
      <c r="I941" s="26" t="s">
        <v>747</v>
      </c>
    </row>
    <row r="942" spans="1:9" x14ac:dyDescent="0.3">
      <c r="A942" s="24">
        <v>45357</v>
      </c>
      <c r="B942" t="s">
        <v>331</v>
      </c>
      <c r="C942" t="s">
        <v>877</v>
      </c>
      <c r="D942">
        <v>0.15</v>
      </c>
      <c r="E942" t="s">
        <v>182</v>
      </c>
      <c r="F942" t="s">
        <v>31</v>
      </c>
      <c r="G942" t="s">
        <v>547</v>
      </c>
      <c r="H942" t="s">
        <v>14</v>
      </c>
      <c r="I942" s="26" t="s">
        <v>747</v>
      </c>
    </row>
    <row r="943" spans="1:9" x14ac:dyDescent="0.3">
      <c r="A943" s="24">
        <v>45357</v>
      </c>
      <c r="B943" t="s">
        <v>340</v>
      </c>
      <c r="C943" t="s">
        <v>202</v>
      </c>
      <c r="D943">
        <v>0.5</v>
      </c>
      <c r="E943" t="s">
        <v>226</v>
      </c>
      <c r="F943" t="s">
        <v>31</v>
      </c>
      <c r="G943" t="s">
        <v>878</v>
      </c>
      <c r="H943" t="s">
        <v>14</v>
      </c>
      <c r="I943" s="26" t="s">
        <v>747</v>
      </c>
    </row>
    <row r="944" spans="1:9" x14ac:dyDescent="0.3">
      <c r="A944" s="24">
        <v>45357</v>
      </c>
      <c r="B944" t="s">
        <v>340</v>
      </c>
      <c r="C944" t="s">
        <v>53</v>
      </c>
      <c r="D944">
        <v>6.5</v>
      </c>
      <c r="E944" t="s">
        <v>54</v>
      </c>
      <c r="F944" t="s">
        <v>55</v>
      </c>
      <c r="G944" t="s">
        <v>879</v>
      </c>
      <c r="H944" t="s">
        <v>14</v>
      </c>
      <c r="I944" s="26" t="s">
        <v>747</v>
      </c>
    </row>
    <row r="945" spans="1:9" x14ac:dyDescent="0.3">
      <c r="A945" s="24">
        <v>45357</v>
      </c>
      <c r="B945" t="s">
        <v>340</v>
      </c>
      <c r="C945" t="s">
        <v>493</v>
      </c>
      <c r="D945">
        <v>0.5</v>
      </c>
      <c r="E945" t="s">
        <v>106</v>
      </c>
      <c r="F945" t="s">
        <v>31</v>
      </c>
      <c r="G945" t="s">
        <v>880</v>
      </c>
      <c r="H945" t="s">
        <v>14</v>
      </c>
      <c r="I945" s="26" t="s">
        <v>747</v>
      </c>
    </row>
    <row r="946" spans="1:9" x14ac:dyDescent="0.3">
      <c r="A946" s="24">
        <v>45357</v>
      </c>
      <c r="B946" t="s">
        <v>340</v>
      </c>
      <c r="C946" t="s">
        <v>232</v>
      </c>
      <c r="D946">
        <v>0.33</v>
      </c>
      <c r="E946" t="s">
        <v>234</v>
      </c>
      <c r="F946" t="s">
        <v>31</v>
      </c>
      <c r="G946" t="s">
        <v>881</v>
      </c>
      <c r="H946" t="s">
        <v>14</v>
      </c>
      <c r="I946" s="26" t="s">
        <v>747</v>
      </c>
    </row>
    <row r="947" spans="1:9" x14ac:dyDescent="0.3">
      <c r="A947" s="24">
        <v>45357</v>
      </c>
      <c r="B947" t="s">
        <v>351</v>
      </c>
      <c r="C947" t="s">
        <v>250</v>
      </c>
      <c r="D947">
        <v>0.33</v>
      </c>
      <c r="E947" t="s">
        <v>81</v>
      </c>
      <c r="F947" t="s">
        <v>31</v>
      </c>
      <c r="G947" t="s">
        <v>564</v>
      </c>
      <c r="H947" t="s">
        <v>14</v>
      </c>
      <c r="I947" s="26" t="s">
        <v>747</v>
      </c>
    </row>
    <row r="948" spans="1:9" x14ac:dyDescent="0.3">
      <c r="A948" s="24">
        <v>45357</v>
      </c>
      <c r="B948" t="s">
        <v>351</v>
      </c>
      <c r="C948" t="s">
        <v>250</v>
      </c>
      <c r="D948">
        <v>0.33</v>
      </c>
      <c r="E948" t="s">
        <v>81</v>
      </c>
      <c r="F948" t="s">
        <v>31</v>
      </c>
      <c r="G948" t="s">
        <v>882</v>
      </c>
      <c r="H948" t="s">
        <v>14</v>
      </c>
      <c r="I948" s="26" t="s">
        <v>747</v>
      </c>
    </row>
    <row r="949" spans="1:9" x14ac:dyDescent="0.3">
      <c r="A949" s="24">
        <v>45357</v>
      </c>
      <c r="B949" t="s">
        <v>351</v>
      </c>
      <c r="C949" t="s">
        <v>250</v>
      </c>
      <c r="D949">
        <v>2.33</v>
      </c>
      <c r="E949" t="s">
        <v>81</v>
      </c>
      <c r="F949" t="s">
        <v>55</v>
      </c>
      <c r="G949" t="s">
        <v>883</v>
      </c>
      <c r="H949" t="s">
        <v>14</v>
      </c>
      <c r="I949" s="26" t="s">
        <v>747</v>
      </c>
    </row>
    <row r="950" spans="1:9" x14ac:dyDescent="0.3">
      <c r="A950" s="24">
        <v>45357</v>
      </c>
      <c r="B950" t="s">
        <v>351</v>
      </c>
      <c r="C950" t="s">
        <v>250</v>
      </c>
      <c r="D950">
        <v>2.38</v>
      </c>
      <c r="E950" t="s">
        <v>81</v>
      </c>
      <c r="F950" t="s">
        <v>55</v>
      </c>
      <c r="G950" t="s">
        <v>884</v>
      </c>
      <c r="H950" t="s">
        <v>14</v>
      </c>
      <c r="I950" s="26" t="s">
        <v>747</v>
      </c>
    </row>
    <row r="951" spans="1:9" x14ac:dyDescent="0.3">
      <c r="A951" s="24">
        <v>45357</v>
      </c>
      <c r="B951" t="s">
        <v>351</v>
      </c>
      <c r="C951" t="s">
        <v>29</v>
      </c>
      <c r="D951">
        <v>0.25</v>
      </c>
      <c r="E951" t="s">
        <v>81</v>
      </c>
      <c r="F951" t="s">
        <v>31</v>
      </c>
      <c r="G951" t="s">
        <v>885</v>
      </c>
      <c r="H951" t="s">
        <v>14</v>
      </c>
      <c r="I951" s="26" t="s">
        <v>747</v>
      </c>
    </row>
    <row r="952" spans="1:9" x14ac:dyDescent="0.3">
      <c r="A952" s="24">
        <v>45357</v>
      </c>
      <c r="B952" t="s">
        <v>351</v>
      </c>
      <c r="C952" t="s">
        <v>53</v>
      </c>
      <c r="D952">
        <v>0.42</v>
      </c>
      <c r="E952" t="s">
        <v>54</v>
      </c>
      <c r="F952" t="s">
        <v>55</v>
      </c>
      <c r="G952" t="s">
        <v>886</v>
      </c>
      <c r="H952" t="s">
        <v>14</v>
      </c>
      <c r="I952" s="26" t="s">
        <v>747</v>
      </c>
    </row>
    <row r="953" spans="1:9" x14ac:dyDescent="0.3">
      <c r="A953" s="24">
        <v>45357</v>
      </c>
      <c r="B953" t="s">
        <v>351</v>
      </c>
      <c r="C953" t="s">
        <v>53</v>
      </c>
      <c r="D953">
        <v>2</v>
      </c>
      <c r="E953" t="s">
        <v>54</v>
      </c>
      <c r="F953" t="s">
        <v>55</v>
      </c>
      <c r="G953" t="s">
        <v>712</v>
      </c>
      <c r="H953" t="s">
        <v>14</v>
      </c>
      <c r="I953" s="26" t="s">
        <v>747</v>
      </c>
    </row>
    <row r="954" spans="1:9" x14ac:dyDescent="0.3">
      <c r="A954" s="24">
        <v>45357</v>
      </c>
      <c r="B954" t="s">
        <v>355</v>
      </c>
      <c r="C954" t="s">
        <v>250</v>
      </c>
      <c r="D954">
        <v>0.2</v>
      </c>
      <c r="E954" t="s">
        <v>356</v>
      </c>
      <c r="F954" t="s">
        <v>31</v>
      </c>
      <c r="G954" t="s">
        <v>887</v>
      </c>
      <c r="H954" t="s">
        <v>14</v>
      </c>
      <c r="I954" s="26" t="s">
        <v>747</v>
      </c>
    </row>
    <row r="955" spans="1:9" x14ac:dyDescent="0.3">
      <c r="A955" s="24">
        <v>45357</v>
      </c>
      <c r="B955" t="s">
        <v>355</v>
      </c>
      <c r="C955" t="s">
        <v>29</v>
      </c>
      <c r="D955">
        <v>0.1</v>
      </c>
      <c r="E955" t="s">
        <v>91</v>
      </c>
      <c r="F955" t="s">
        <v>31</v>
      </c>
      <c r="G955" t="s">
        <v>888</v>
      </c>
      <c r="H955" t="s">
        <v>14</v>
      </c>
      <c r="I955" s="26" t="s">
        <v>747</v>
      </c>
    </row>
    <row r="956" spans="1:9" x14ac:dyDescent="0.3">
      <c r="A956" s="24">
        <v>45357</v>
      </c>
      <c r="B956" t="s">
        <v>355</v>
      </c>
      <c r="C956" t="s">
        <v>29</v>
      </c>
      <c r="D956">
        <v>0.3</v>
      </c>
      <c r="E956" t="s">
        <v>91</v>
      </c>
      <c r="F956" t="s">
        <v>31</v>
      </c>
      <c r="G956" t="s">
        <v>889</v>
      </c>
      <c r="H956" t="s">
        <v>14</v>
      </c>
      <c r="I956" s="26" t="s">
        <v>747</v>
      </c>
    </row>
    <row r="957" spans="1:9" x14ac:dyDescent="0.3">
      <c r="A957" s="24">
        <v>45357</v>
      </c>
      <c r="B957" t="s">
        <v>355</v>
      </c>
      <c r="C957" t="s">
        <v>29</v>
      </c>
      <c r="D957">
        <v>0.8</v>
      </c>
      <c r="E957" t="s">
        <v>91</v>
      </c>
      <c r="F957" t="s">
        <v>31</v>
      </c>
      <c r="G957" t="s">
        <v>890</v>
      </c>
      <c r="H957" t="s">
        <v>14</v>
      </c>
      <c r="I957" s="26" t="s">
        <v>747</v>
      </c>
    </row>
    <row r="958" spans="1:9" x14ac:dyDescent="0.3">
      <c r="A958" s="24">
        <v>45357</v>
      </c>
      <c r="B958" t="s">
        <v>355</v>
      </c>
      <c r="C958" t="s">
        <v>29</v>
      </c>
      <c r="D958">
        <v>0.8</v>
      </c>
      <c r="E958" t="s">
        <v>91</v>
      </c>
      <c r="F958" t="s">
        <v>31</v>
      </c>
      <c r="G958" t="s">
        <v>891</v>
      </c>
      <c r="H958" t="s">
        <v>14</v>
      </c>
      <c r="I958" s="26" t="s">
        <v>747</v>
      </c>
    </row>
    <row r="959" spans="1:9" x14ac:dyDescent="0.3">
      <c r="A959" s="24">
        <v>45357</v>
      </c>
      <c r="B959" t="s">
        <v>355</v>
      </c>
      <c r="C959" t="s">
        <v>29</v>
      </c>
      <c r="D959">
        <v>1.5</v>
      </c>
      <c r="E959" t="s">
        <v>91</v>
      </c>
      <c r="F959" t="s">
        <v>31</v>
      </c>
      <c r="G959" t="s">
        <v>892</v>
      </c>
      <c r="H959" t="s">
        <v>14</v>
      </c>
      <c r="I959" s="26" t="s">
        <v>747</v>
      </c>
    </row>
    <row r="960" spans="1:9" x14ac:dyDescent="0.3">
      <c r="A960" s="24">
        <v>45357</v>
      </c>
      <c r="B960" t="s">
        <v>355</v>
      </c>
      <c r="C960" t="s">
        <v>197</v>
      </c>
      <c r="D960">
        <v>0.1</v>
      </c>
      <c r="E960" t="s">
        <v>54</v>
      </c>
      <c r="F960" t="s">
        <v>55</v>
      </c>
      <c r="G960" t="s">
        <v>893</v>
      </c>
      <c r="H960" t="s">
        <v>14</v>
      </c>
      <c r="I960" s="26" t="s">
        <v>747</v>
      </c>
    </row>
    <row r="961" spans="1:9" x14ac:dyDescent="0.3">
      <c r="A961" s="24">
        <v>45357</v>
      </c>
      <c r="B961" t="s">
        <v>355</v>
      </c>
      <c r="C961" t="s">
        <v>197</v>
      </c>
      <c r="D961">
        <v>0.1</v>
      </c>
      <c r="E961" t="s">
        <v>54</v>
      </c>
      <c r="F961" t="s">
        <v>55</v>
      </c>
      <c r="G961" t="s">
        <v>894</v>
      </c>
      <c r="H961" t="s">
        <v>14</v>
      </c>
      <c r="I961" s="26" t="s">
        <v>747</v>
      </c>
    </row>
    <row r="962" spans="1:9" x14ac:dyDescent="0.3">
      <c r="A962" s="24">
        <v>45357</v>
      </c>
      <c r="B962" t="s">
        <v>355</v>
      </c>
      <c r="C962" t="s">
        <v>202</v>
      </c>
      <c r="D962">
        <v>0.5</v>
      </c>
      <c r="E962" t="s">
        <v>91</v>
      </c>
      <c r="F962" t="s">
        <v>31</v>
      </c>
      <c r="G962" t="s">
        <v>741</v>
      </c>
      <c r="H962" t="s">
        <v>14</v>
      </c>
      <c r="I962" s="26" t="s">
        <v>747</v>
      </c>
    </row>
    <row r="963" spans="1:9" x14ac:dyDescent="0.3">
      <c r="A963" s="24">
        <v>45357</v>
      </c>
      <c r="B963" t="s">
        <v>355</v>
      </c>
      <c r="C963" t="s">
        <v>370</v>
      </c>
      <c r="D963">
        <v>0.2</v>
      </c>
      <c r="E963" t="s">
        <v>371</v>
      </c>
      <c r="F963" t="s">
        <v>31</v>
      </c>
      <c r="G963" t="s">
        <v>895</v>
      </c>
      <c r="H963" t="s">
        <v>14</v>
      </c>
      <c r="I963" s="26" t="s">
        <v>747</v>
      </c>
    </row>
    <row r="964" spans="1:9" x14ac:dyDescent="0.3">
      <c r="A964" s="24">
        <v>45357</v>
      </c>
      <c r="B964" t="s">
        <v>355</v>
      </c>
      <c r="C964" t="s">
        <v>442</v>
      </c>
      <c r="D964">
        <v>3</v>
      </c>
      <c r="E964" t="s">
        <v>54</v>
      </c>
      <c r="F964" t="s">
        <v>55</v>
      </c>
      <c r="G964" t="s">
        <v>896</v>
      </c>
      <c r="H964" t="s">
        <v>14</v>
      </c>
      <c r="I964" s="26" t="s">
        <v>747</v>
      </c>
    </row>
    <row r="965" spans="1:9" x14ac:dyDescent="0.3">
      <c r="A965" s="24">
        <v>45357</v>
      </c>
      <c r="B965" t="s">
        <v>374</v>
      </c>
      <c r="C965" t="s">
        <v>53</v>
      </c>
      <c r="D965">
        <v>4</v>
      </c>
      <c r="E965" t="s">
        <v>54</v>
      </c>
      <c r="F965" t="s">
        <v>55</v>
      </c>
      <c r="G965" t="e">
        <f>- send technical assessment for review of another payroll Specialist candidate - close out CA for NIU -send out training evaluations - General Admin</f>
        <v>#NAME?</v>
      </c>
      <c r="H965" t="s">
        <v>14</v>
      </c>
      <c r="I965" s="26" t="s">
        <v>747</v>
      </c>
    </row>
    <row r="966" spans="1:9" x14ac:dyDescent="0.3">
      <c r="A966" s="24">
        <v>45357</v>
      </c>
      <c r="B966" t="s">
        <v>374</v>
      </c>
      <c r="C966" t="s">
        <v>123</v>
      </c>
      <c r="D966">
        <v>3.5</v>
      </c>
      <c r="E966" t="s">
        <v>54</v>
      </c>
      <c r="F966" t="s">
        <v>55</v>
      </c>
      <c r="G966" t="e">
        <f>- check Reward and Recognition program - explore salary Surveys</f>
        <v>#NAME?</v>
      </c>
      <c r="H966" t="s">
        <v>14</v>
      </c>
      <c r="I966" s="26" t="s">
        <v>747</v>
      </c>
    </row>
    <row r="967" spans="1:9" x14ac:dyDescent="0.3">
      <c r="A967" s="24">
        <v>45357</v>
      </c>
      <c r="B967" t="s">
        <v>374</v>
      </c>
      <c r="C967" t="s">
        <v>58</v>
      </c>
      <c r="D967">
        <v>0.5</v>
      </c>
      <c r="E967" t="s">
        <v>54</v>
      </c>
      <c r="F967" t="s">
        <v>55</v>
      </c>
      <c r="G967" t="s">
        <v>752</v>
      </c>
      <c r="H967" t="s">
        <v>14</v>
      </c>
      <c r="I967" s="26" t="s">
        <v>747</v>
      </c>
    </row>
    <row r="968" spans="1:9" x14ac:dyDescent="0.3">
      <c r="A968" s="24">
        <v>45358</v>
      </c>
      <c r="B968" t="s">
        <v>28</v>
      </c>
      <c r="C968" t="s">
        <v>29</v>
      </c>
      <c r="D968">
        <v>0.03</v>
      </c>
      <c r="E968" t="s">
        <v>42</v>
      </c>
      <c r="F968" t="s">
        <v>31</v>
      </c>
      <c r="G968" t="s">
        <v>32</v>
      </c>
      <c r="H968" t="s">
        <v>14</v>
      </c>
      <c r="I968" s="26" t="s">
        <v>897</v>
      </c>
    </row>
    <row r="969" spans="1:9" x14ac:dyDescent="0.3">
      <c r="A969" s="24">
        <v>45358</v>
      </c>
      <c r="B969" t="s">
        <v>28</v>
      </c>
      <c r="C969" t="s">
        <v>29</v>
      </c>
      <c r="D969">
        <v>0.1</v>
      </c>
      <c r="E969" t="s">
        <v>40</v>
      </c>
      <c r="F969" t="s">
        <v>31</v>
      </c>
      <c r="G969" t="s">
        <v>898</v>
      </c>
      <c r="H969" t="s">
        <v>14</v>
      </c>
      <c r="I969" s="26" t="s">
        <v>897</v>
      </c>
    </row>
    <row r="970" spans="1:9" x14ac:dyDescent="0.3">
      <c r="A970" s="24">
        <v>45358</v>
      </c>
      <c r="B970" t="s">
        <v>28</v>
      </c>
      <c r="C970" t="s">
        <v>29</v>
      </c>
      <c r="D970">
        <v>0.12</v>
      </c>
      <c r="E970" t="s">
        <v>30</v>
      </c>
      <c r="F970" t="s">
        <v>31</v>
      </c>
      <c r="G970" t="s">
        <v>899</v>
      </c>
      <c r="H970" t="s">
        <v>14</v>
      </c>
      <c r="I970" s="26" t="s">
        <v>897</v>
      </c>
    </row>
    <row r="971" spans="1:9" x14ac:dyDescent="0.3">
      <c r="A971" s="24">
        <v>45358</v>
      </c>
      <c r="B971" t="s">
        <v>28</v>
      </c>
      <c r="C971" t="s">
        <v>29</v>
      </c>
      <c r="D971">
        <v>0.37</v>
      </c>
      <c r="E971" t="s">
        <v>30</v>
      </c>
      <c r="F971" t="s">
        <v>31</v>
      </c>
      <c r="G971" t="s">
        <v>900</v>
      </c>
      <c r="H971" t="s">
        <v>14</v>
      </c>
      <c r="I971" s="26" t="s">
        <v>897</v>
      </c>
    </row>
    <row r="972" spans="1:9" x14ac:dyDescent="0.3">
      <c r="A972" s="24">
        <v>45358</v>
      </c>
      <c r="B972" t="s">
        <v>28</v>
      </c>
      <c r="C972" t="s">
        <v>29</v>
      </c>
      <c r="D972">
        <v>0.9</v>
      </c>
      <c r="E972" t="s">
        <v>30</v>
      </c>
      <c r="F972" t="s">
        <v>31</v>
      </c>
      <c r="G972" t="s">
        <v>901</v>
      </c>
      <c r="H972" t="s">
        <v>14</v>
      </c>
      <c r="I972" s="26" t="s">
        <v>897</v>
      </c>
    </row>
    <row r="973" spans="1:9" x14ac:dyDescent="0.3">
      <c r="A973" s="24">
        <v>45358</v>
      </c>
      <c r="B973" t="s">
        <v>28</v>
      </c>
      <c r="C973" t="s">
        <v>29</v>
      </c>
      <c r="D973">
        <v>0.95</v>
      </c>
      <c r="E973" t="s">
        <v>44</v>
      </c>
      <c r="F973" t="s">
        <v>31</v>
      </c>
      <c r="G973" t="s">
        <v>579</v>
      </c>
      <c r="H973" t="s">
        <v>14</v>
      </c>
      <c r="I973" s="26" t="s">
        <v>897</v>
      </c>
    </row>
    <row r="974" spans="1:9" x14ac:dyDescent="0.3">
      <c r="A974" s="24">
        <v>45358</v>
      </c>
      <c r="B974" t="s">
        <v>28</v>
      </c>
      <c r="C974" t="s">
        <v>29</v>
      </c>
      <c r="D974">
        <v>1.32</v>
      </c>
      <c r="E974" t="s">
        <v>30</v>
      </c>
      <c r="F974" t="s">
        <v>31</v>
      </c>
      <c r="G974" t="s">
        <v>38</v>
      </c>
      <c r="H974" t="s">
        <v>14</v>
      </c>
      <c r="I974" s="26" t="s">
        <v>897</v>
      </c>
    </row>
    <row r="975" spans="1:9" x14ac:dyDescent="0.3">
      <c r="A975" s="24">
        <v>45358</v>
      </c>
      <c r="B975" t="s">
        <v>28</v>
      </c>
      <c r="C975" t="s">
        <v>29</v>
      </c>
      <c r="D975">
        <v>1.4</v>
      </c>
      <c r="E975" t="s">
        <v>49</v>
      </c>
      <c r="F975" t="s">
        <v>31</v>
      </c>
      <c r="G975" t="s">
        <v>50</v>
      </c>
      <c r="H975" t="s">
        <v>14</v>
      </c>
      <c r="I975" s="26" t="s">
        <v>897</v>
      </c>
    </row>
    <row r="976" spans="1:9" x14ac:dyDescent="0.3">
      <c r="A976" s="24">
        <v>45358</v>
      </c>
      <c r="B976" t="s">
        <v>28</v>
      </c>
      <c r="C976" t="s">
        <v>29</v>
      </c>
      <c r="D976">
        <v>2.82</v>
      </c>
      <c r="E976" t="s">
        <v>30</v>
      </c>
      <c r="F976" t="s">
        <v>31</v>
      </c>
      <c r="G976" t="s">
        <v>902</v>
      </c>
      <c r="H976" t="s">
        <v>14</v>
      </c>
      <c r="I976" s="26" t="s">
        <v>897</v>
      </c>
    </row>
    <row r="977" spans="1:9" x14ac:dyDescent="0.3">
      <c r="A977" s="24">
        <v>45358</v>
      </c>
      <c r="B977" t="s">
        <v>64</v>
      </c>
      <c r="C977" t="s">
        <v>65</v>
      </c>
      <c r="D977">
        <v>2.83</v>
      </c>
      <c r="E977" t="s">
        <v>66</v>
      </c>
      <c r="F977" t="s">
        <v>31</v>
      </c>
      <c r="G977" t="s">
        <v>903</v>
      </c>
      <c r="H977" t="s">
        <v>14</v>
      </c>
      <c r="I977" s="26" t="s">
        <v>897</v>
      </c>
    </row>
    <row r="978" spans="1:9" x14ac:dyDescent="0.3">
      <c r="A978" s="24">
        <v>45358</v>
      </c>
      <c r="B978" t="s">
        <v>64</v>
      </c>
      <c r="C978" t="s">
        <v>68</v>
      </c>
      <c r="D978">
        <v>0.42</v>
      </c>
      <c r="E978" t="s">
        <v>66</v>
      </c>
      <c r="F978" t="s">
        <v>31</v>
      </c>
      <c r="G978" t="s">
        <v>904</v>
      </c>
      <c r="H978" t="s">
        <v>14</v>
      </c>
      <c r="I978" s="26" t="s">
        <v>897</v>
      </c>
    </row>
    <row r="979" spans="1:9" x14ac:dyDescent="0.3">
      <c r="A979" s="24">
        <v>45358</v>
      </c>
      <c r="B979" t="s">
        <v>64</v>
      </c>
      <c r="C979" t="s">
        <v>70</v>
      </c>
      <c r="D979">
        <v>1.17</v>
      </c>
      <c r="E979" t="s">
        <v>66</v>
      </c>
      <c r="F979" t="s">
        <v>31</v>
      </c>
      <c r="G979" t="s">
        <v>905</v>
      </c>
      <c r="H979" t="s">
        <v>14</v>
      </c>
      <c r="I979" s="26" t="s">
        <v>897</v>
      </c>
    </row>
    <row r="980" spans="1:9" x14ac:dyDescent="0.3">
      <c r="A980" s="24">
        <v>45358</v>
      </c>
      <c r="B980" t="s">
        <v>72</v>
      </c>
      <c r="C980" t="s">
        <v>29</v>
      </c>
      <c r="D980">
        <v>0.42</v>
      </c>
      <c r="E980" t="s">
        <v>271</v>
      </c>
      <c r="F980" t="s">
        <v>31</v>
      </c>
      <c r="H980" t="s">
        <v>14</v>
      </c>
      <c r="I980" s="26" t="s">
        <v>897</v>
      </c>
    </row>
    <row r="981" spans="1:9" x14ac:dyDescent="0.3">
      <c r="A981" s="24">
        <v>45358</v>
      </c>
      <c r="B981" t="s">
        <v>72</v>
      </c>
      <c r="C981" t="s">
        <v>29</v>
      </c>
      <c r="D981">
        <v>1.32</v>
      </c>
      <c r="E981" t="s">
        <v>358</v>
      </c>
      <c r="F981" t="s">
        <v>31</v>
      </c>
      <c r="G981" t="s">
        <v>758</v>
      </c>
      <c r="H981" t="s">
        <v>14</v>
      </c>
      <c r="I981" s="26" t="s">
        <v>897</v>
      </c>
    </row>
    <row r="982" spans="1:9" x14ac:dyDescent="0.3">
      <c r="A982" s="24">
        <v>45358</v>
      </c>
      <c r="B982" t="s">
        <v>72</v>
      </c>
      <c r="C982" t="s">
        <v>53</v>
      </c>
      <c r="D982">
        <v>0.18</v>
      </c>
      <c r="E982" t="s">
        <v>54</v>
      </c>
      <c r="F982" t="s">
        <v>55</v>
      </c>
      <c r="G982" t="s">
        <v>906</v>
      </c>
      <c r="H982" t="s">
        <v>14</v>
      </c>
      <c r="I982" s="26" t="s">
        <v>897</v>
      </c>
    </row>
    <row r="983" spans="1:9" x14ac:dyDescent="0.3">
      <c r="A983" s="24">
        <v>45358</v>
      </c>
      <c r="B983" t="s">
        <v>72</v>
      </c>
      <c r="C983" t="s">
        <v>53</v>
      </c>
      <c r="D983">
        <v>0.33</v>
      </c>
      <c r="E983" t="s">
        <v>54</v>
      </c>
      <c r="F983" t="s">
        <v>55</v>
      </c>
      <c r="G983" t="s">
        <v>907</v>
      </c>
      <c r="H983" t="s">
        <v>14</v>
      </c>
      <c r="I983" s="26" t="s">
        <v>897</v>
      </c>
    </row>
    <row r="984" spans="1:9" x14ac:dyDescent="0.3">
      <c r="A984" s="24">
        <v>45358</v>
      </c>
      <c r="B984" t="s">
        <v>72</v>
      </c>
      <c r="C984" t="s">
        <v>53</v>
      </c>
      <c r="D984">
        <v>0.62</v>
      </c>
      <c r="E984" t="s">
        <v>54</v>
      </c>
      <c r="F984" t="s">
        <v>55</v>
      </c>
      <c r="G984" t="s">
        <v>908</v>
      </c>
      <c r="H984" t="s">
        <v>14</v>
      </c>
      <c r="I984" s="26" t="s">
        <v>897</v>
      </c>
    </row>
    <row r="985" spans="1:9" x14ac:dyDescent="0.3">
      <c r="A985" s="24">
        <v>45358</v>
      </c>
      <c r="B985" t="s">
        <v>72</v>
      </c>
      <c r="C985" t="s">
        <v>53</v>
      </c>
      <c r="D985">
        <v>1.02</v>
      </c>
      <c r="E985" t="s">
        <v>54</v>
      </c>
      <c r="F985" t="s">
        <v>55</v>
      </c>
      <c r="G985" t="s">
        <v>909</v>
      </c>
      <c r="H985" t="s">
        <v>14</v>
      </c>
      <c r="I985" s="26" t="s">
        <v>897</v>
      </c>
    </row>
    <row r="986" spans="1:9" x14ac:dyDescent="0.3">
      <c r="A986" s="24">
        <v>45358</v>
      </c>
      <c r="B986" t="s">
        <v>72</v>
      </c>
      <c r="C986" t="s">
        <v>53</v>
      </c>
      <c r="D986">
        <v>1.25</v>
      </c>
      <c r="E986" t="s">
        <v>54</v>
      </c>
      <c r="F986" t="s">
        <v>55</v>
      </c>
      <c r="G986" t="s">
        <v>910</v>
      </c>
      <c r="H986" t="s">
        <v>14</v>
      </c>
      <c r="I986" s="26" t="s">
        <v>897</v>
      </c>
    </row>
    <row r="987" spans="1:9" x14ac:dyDescent="0.3">
      <c r="A987" s="24">
        <v>45358</v>
      </c>
      <c r="B987" t="s">
        <v>72</v>
      </c>
      <c r="C987" t="s">
        <v>58</v>
      </c>
      <c r="D987">
        <v>2.73</v>
      </c>
      <c r="E987" t="s">
        <v>54</v>
      </c>
      <c r="F987" t="s">
        <v>55</v>
      </c>
      <c r="G987" t="s">
        <v>911</v>
      </c>
      <c r="H987" t="s">
        <v>14</v>
      </c>
      <c r="I987" s="26" t="s">
        <v>897</v>
      </c>
    </row>
    <row r="988" spans="1:9" x14ac:dyDescent="0.3">
      <c r="A988" s="24">
        <v>45358</v>
      </c>
      <c r="B988" t="s">
        <v>72</v>
      </c>
      <c r="C988" t="s">
        <v>60</v>
      </c>
      <c r="D988">
        <v>0.18</v>
      </c>
      <c r="E988" t="s">
        <v>271</v>
      </c>
      <c r="F988" t="s">
        <v>31</v>
      </c>
      <c r="H988" t="s">
        <v>14</v>
      </c>
      <c r="I988" s="26" t="s">
        <v>897</v>
      </c>
    </row>
    <row r="989" spans="1:9" x14ac:dyDescent="0.3">
      <c r="A989" s="24">
        <v>45358</v>
      </c>
      <c r="B989" t="s">
        <v>75</v>
      </c>
      <c r="C989" t="s">
        <v>77</v>
      </c>
      <c r="D989">
        <v>8</v>
      </c>
      <c r="E989" t="s">
        <v>54</v>
      </c>
      <c r="F989" t="s">
        <v>55</v>
      </c>
      <c r="G989" t="s">
        <v>912</v>
      </c>
      <c r="H989" t="s">
        <v>14</v>
      </c>
      <c r="I989" s="26" t="s">
        <v>897</v>
      </c>
    </row>
    <row r="990" spans="1:9" x14ac:dyDescent="0.3">
      <c r="A990" s="24">
        <v>45358</v>
      </c>
      <c r="B990" t="s">
        <v>79</v>
      </c>
      <c r="C990" t="s">
        <v>77</v>
      </c>
      <c r="D990">
        <v>8</v>
      </c>
      <c r="E990" t="s">
        <v>54</v>
      </c>
      <c r="F990" t="s">
        <v>55</v>
      </c>
      <c r="H990" t="s">
        <v>14</v>
      </c>
      <c r="I990" s="26" t="s">
        <v>897</v>
      </c>
    </row>
    <row r="991" spans="1:9" x14ac:dyDescent="0.3">
      <c r="A991" s="24">
        <v>45358</v>
      </c>
      <c r="B991" t="s">
        <v>80</v>
      </c>
      <c r="C991" t="s">
        <v>29</v>
      </c>
      <c r="D991">
        <v>1.65</v>
      </c>
      <c r="E991" t="s">
        <v>81</v>
      </c>
      <c r="F991" t="s">
        <v>31</v>
      </c>
      <c r="G991" t="s">
        <v>913</v>
      </c>
      <c r="H991" t="s">
        <v>14</v>
      </c>
      <c r="I991" s="26" t="s">
        <v>897</v>
      </c>
    </row>
    <row r="992" spans="1:9" x14ac:dyDescent="0.3">
      <c r="A992" s="24">
        <v>45358</v>
      </c>
      <c r="B992" t="s">
        <v>80</v>
      </c>
      <c r="C992" t="s">
        <v>29</v>
      </c>
      <c r="D992">
        <v>1.88</v>
      </c>
      <c r="E992" t="s">
        <v>81</v>
      </c>
      <c r="F992" t="s">
        <v>31</v>
      </c>
      <c r="G992" t="s">
        <v>83</v>
      </c>
      <c r="H992" t="s">
        <v>14</v>
      </c>
      <c r="I992" s="26" t="s">
        <v>897</v>
      </c>
    </row>
    <row r="993" spans="1:9" x14ac:dyDescent="0.3">
      <c r="A993" s="24">
        <v>45358</v>
      </c>
      <c r="B993" t="s">
        <v>80</v>
      </c>
      <c r="C993" t="s">
        <v>29</v>
      </c>
      <c r="D993">
        <v>2.73</v>
      </c>
      <c r="E993" t="s">
        <v>81</v>
      </c>
      <c r="F993" t="s">
        <v>31</v>
      </c>
      <c r="G993" t="s">
        <v>914</v>
      </c>
      <c r="H993" t="s">
        <v>14</v>
      </c>
      <c r="I993" s="26" t="s">
        <v>897</v>
      </c>
    </row>
    <row r="994" spans="1:9" x14ac:dyDescent="0.3">
      <c r="A994" s="24">
        <v>45358</v>
      </c>
      <c r="B994" t="s">
        <v>80</v>
      </c>
      <c r="C994" t="s">
        <v>29</v>
      </c>
      <c r="D994">
        <v>2.83</v>
      </c>
      <c r="E994" t="s">
        <v>81</v>
      </c>
      <c r="F994" t="s">
        <v>31</v>
      </c>
      <c r="G994" t="s">
        <v>915</v>
      </c>
      <c r="H994" t="s">
        <v>14</v>
      </c>
      <c r="I994" s="26" t="s">
        <v>897</v>
      </c>
    </row>
    <row r="995" spans="1:9" x14ac:dyDescent="0.3">
      <c r="A995" s="24">
        <v>45358</v>
      </c>
      <c r="B995" t="s">
        <v>88</v>
      </c>
      <c r="C995" t="s">
        <v>394</v>
      </c>
      <c r="D995">
        <v>8</v>
      </c>
      <c r="E995" t="s">
        <v>54</v>
      </c>
      <c r="F995" t="s">
        <v>55</v>
      </c>
      <c r="G995" t="s">
        <v>916</v>
      </c>
      <c r="H995" t="s">
        <v>14</v>
      </c>
      <c r="I995" s="26" t="s">
        <v>897</v>
      </c>
    </row>
    <row r="996" spans="1:9" x14ac:dyDescent="0.3">
      <c r="A996" s="24">
        <v>45358</v>
      </c>
      <c r="B996" t="s">
        <v>93</v>
      </c>
      <c r="C996" t="s">
        <v>94</v>
      </c>
      <c r="D996">
        <v>0.02</v>
      </c>
      <c r="E996" t="s">
        <v>371</v>
      </c>
      <c r="F996" t="s">
        <v>55</v>
      </c>
      <c r="H996" t="s">
        <v>14</v>
      </c>
      <c r="I996" s="26" t="s">
        <v>897</v>
      </c>
    </row>
    <row r="997" spans="1:9" x14ac:dyDescent="0.3">
      <c r="A997" s="24">
        <v>45358</v>
      </c>
      <c r="B997" t="s">
        <v>97</v>
      </c>
      <c r="C997" t="s">
        <v>89</v>
      </c>
      <c r="D997">
        <v>4.5</v>
      </c>
      <c r="E997" t="s">
        <v>54</v>
      </c>
      <c r="F997" t="s">
        <v>55</v>
      </c>
      <c r="G997" t="s">
        <v>917</v>
      </c>
      <c r="H997" t="s">
        <v>14</v>
      </c>
      <c r="I997" s="26" t="s">
        <v>897</v>
      </c>
    </row>
    <row r="998" spans="1:9" x14ac:dyDescent="0.3">
      <c r="A998" s="24">
        <v>45358</v>
      </c>
      <c r="B998" t="s">
        <v>99</v>
      </c>
      <c r="C998" t="s">
        <v>601</v>
      </c>
      <c r="D998">
        <v>9.08</v>
      </c>
      <c r="E998" t="s">
        <v>54</v>
      </c>
      <c r="F998" t="s">
        <v>55</v>
      </c>
      <c r="G998" t="s">
        <v>767</v>
      </c>
      <c r="H998" t="s">
        <v>14</v>
      </c>
      <c r="I998" s="26" t="s">
        <v>897</v>
      </c>
    </row>
    <row r="999" spans="1:9" x14ac:dyDescent="0.3">
      <c r="A999" s="24">
        <v>45358</v>
      </c>
      <c r="B999" t="s">
        <v>101</v>
      </c>
      <c r="C999" t="s">
        <v>29</v>
      </c>
      <c r="D999">
        <v>0.17</v>
      </c>
      <c r="E999" t="s">
        <v>229</v>
      </c>
      <c r="F999" t="s">
        <v>31</v>
      </c>
      <c r="G999" t="s">
        <v>769</v>
      </c>
      <c r="H999" t="s">
        <v>14</v>
      </c>
      <c r="I999" s="26" t="s">
        <v>897</v>
      </c>
    </row>
    <row r="1000" spans="1:9" x14ac:dyDescent="0.3">
      <c r="A1000" s="24">
        <v>45358</v>
      </c>
      <c r="B1000" t="s">
        <v>101</v>
      </c>
      <c r="C1000" t="s">
        <v>29</v>
      </c>
      <c r="D1000">
        <v>0.5</v>
      </c>
      <c r="E1000" t="s">
        <v>227</v>
      </c>
      <c r="F1000" t="s">
        <v>31</v>
      </c>
      <c r="G1000" t="s">
        <v>769</v>
      </c>
      <c r="H1000" t="s">
        <v>14</v>
      </c>
      <c r="I1000" s="26" t="s">
        <v>897</v>
      </c>
    </row>
    <row r="1001" spans="1:9" x14ac:dyDescent="0.3">
      <c r="A1001" s="24">
        <v>45358</v>
      </c>
      <c r="B1001" t="s">
        <v>101</v>
      </c>
      <c r="C1001" t="s">
        <v>29</v>
      </c>
      <c r="D1001">
        <v>0.83</v>
      </c>
      <c r="E1001" t="s">
        <v>102</v>
      </c>
      <c r="F1001" t="s">
        <v>31</v>
      </c>
      <c r="G1001" t="s">
        <v>769</v>
      </c>
      <c r="H1001" t="s">
        <v>14</v>
      </c>
      <c r="I1001" s="26" t="s">
        <v>897</v>
      </c>
    </row>
    <row r="1002" spans="1:9" x14ac:dyDescent="0.3">
      <c r="A1002" s="24">
        <v>45358</v>
      </c>
      <c r="B1002" t="s">
        <v>101</v>
      </c>
      <c r="C1002" t="s">
        <v>29</v>
      </c>
      <c r="D1002">
        <v>5.83</v>
      </c>
      <c r="E1002" t="s">
        <v>108</v>
      </c>
      <c r="F1002" t="s">
        <v>31</v>
      </c>
      <c r="G1002" t="s">
        <v>918</v>
      </c>
      <c r="H1002" t="s">
        <v>14</v>
      </c>
      <c r="I1002" s="26" t="s">
        <v>897</v>
      </c>
    </row>
    <row r="1003" spans="1:9" x14ac:dyDescent="0.3">
      <c r="A1003" s="24">
        <v>45358</v>
      </c>
      <c r="B1003" t="s">
        <v>101</v>
      </c>
      <c r="C1003" t="s">
        <v>53</v>
      </c>
      <c r="D1003">
        <v>0.5</v>
      </c>
      <c r="E1003" t="s">
        <v>54</v>
      </c>
      <c r="F1003" t="s">
        <v>55</v>
      </c>
      <c r="G1003" t="s">
        <v>110</v>
      </c>
      <c r="H1003" t="s">
        <v>14</v>
      </c>
      <c r="I1003" s="26" t="s">
        <v>897</v>
      </c>
    </row>
    <row r="1004" spans="1:9" x14ac:dyDescent="0.3">
      <c r="A1004" s="24">
        <v>45358</v>
      </c>
      <c r="B1004" t="s">
        <v>101</v>
      </c>
      <c r="C1004" t="s">
        <v>60</v>
      </c>
      <c r="D1004">
        <v>0.17</v>
      </c>
      <c r="E1004" t="s">
        <v>108</v>
      </c>
      <c r="F1004" t="s">
        <v>55</v>
      </c>
      <c r="G1004" t="s">
        <v>919</v>
      </c>
      <c r="H1004" t="s">
        <v>14</v>
      </c>
      <c r="I1004" s="26" t="s">
        <v>897</v>
      </c>
    </row>
    <row r="1005" spans="1:9" x14ac:dyDescent="0.3">
      <c r="A1005" s="24">
        <v>45358</v>
      </c>
      <c r="B1005" t="s">
        <v>402</v>
      </c>
      <c r="C1005" t="s">
        <v>403</v>
      </c>
      <c r="D1005">
        <v>3.5</v>
      </c>
      <c r="E1005" t="s">
        <v>39</v>
      </c>
      <c r="F1005" t="s">
        <v>31</v>
      </c>
      <c r="G1005" t="s">
        <v>920</v>
      </c>
      <c r="H1005" t="s">
        <v>14</v>
      </c>
      <c r="I1005" s="26" t="s">
        <v>897</v>
      </c>
    </row>
    <row r="1006" spans="1:9" x14ac:dyDescent="0.3">
      <c r="A1006" s="24">
        <v>45358</v>
      </c>
      <c r="B1006" t="s">
        <v>402</v>
      </c>
      <c r="C1006" t="s">
        <v>405</v>
      </c>
      <c r="D1006">
        <v>1</v>
      </c>
      <c r="E1006" t="s">
        <v>42</v>
      </c>
      <c r="F1006" t="s">
        <v>31</v>
      </c>
      <c r="G1006" t="s">
        <v>921</v>
      </c>
      <c r="H1006" t="s">
        <v>14</v>
      </c>
      <c r="I1006" s="26" t="s">
        <v>897</v>
      </c>
    </row>
    <row r="1007" spans="1:9" x14ac:dyDescent="0.3">
      <c r="A1007" s="24">
        <v>45358</v>
      </c>
      <c r="B1007" t="s">
        <v>407</v>
      </c>
      <c r="C1007" t="s">
        <v>408</v>
      </c>
      <c r="D1007">
        <v>0.5</v>
      </c>
      <c r="E1007" t="s">
        <v>409</v>
      </c>
      <c r="F1007" t="s">
        <v>31</v>
      </c>
      <c r="G1007" t="s">
        <v>922</v>
      </c>
      <c r="H1007" t="s">
        <v>14</v>
      </c>
      <c r="I1007" s="26" t="s">
        <v>897</v>
      </c>
    </row>
    <row r="1008" spans="1:9" x14ac:dyDescent="0.3">
      <c r="A1008" s="24">
        <v>45358</v>
      </c>
      <c r="B1008" t="s">
        <v>113</v>
      </c>
      <c r="C1008" t="s">
        <v>29</v>
      </c>
      <c r="D1008">
        <v>0.08</v>
      </c>
      <c r="E1008" t="s">
        <v>116</v>
      </c>
      <c r="F1008" t="s">
        <v>31</v>
      </c>
      <c r="G1008" t="s">
        <v>489</v>
      </c>
      <c r="H1008" t="s">
        <v>14</v>
      </c>
      <c r="I1008" s="26" t="s">
        <v>897</v>
      </c>
    </row>
    <row r="1009" spans="1:9" x14ac:dyDescent="0.3">
      <c r="A1009" s="24">
        <v>45358</v>
      </c>
      <c r="B1009" t="s">
        <v>113</v>
      </c>
      <c r="C1009" t="s">
        <v>29</v>
      </c>
      <c r="D1009">
        <v>0.25</v>
      </c>
      <c r="E1009" t="s">
        <v>114</v>
      </c>
      <c r="F1009" t="s">
        <v>31</v>
      </c>
      <c r="G1009" t="s">
        <v>115</v>
      </c>
      <c r="H1009" t="s">
        <v>14</v>
      </c>
      <c r="I1009" s="26" t="s">
        <v>897</v>
      </c>
    </row>
    <row r="1010" spans="1:9" x14ac:dyDescent="0.3">
      <c r="A1010" s="24">
        <v>45358</v>
      </c>
      <c r="B1010" t="s">
        <v>113</v>
      </c>
      <c r="C1010" t="s">
        <v>29</v>
      </c>
      <c r="D1010">
        <v>0.33</v>
      </c>
      <c r="E1010" t="s">
        <v>127</v>
      </c>
      <c r="F1010" t="s">
        <v>31</v>
      </c>
      <c r="G1010" t="s">
        <v>923</v>
      </c>
      <c r="H1010" t="s">
        <v>14</v>
      </c>
      <c r="I1010" s="26" t="s">
        <v>897</v>
      </c>
    </row>
    <row r="1011" spans="1:9" x14ac:dyDescent="0.3">
      <c r="A1011" s="24">
        <v>45358</v>
      </c>
      <c r="B1011" t="s">
        <v>113</v>
      </c>
      <c r="C1011" t="s">
        <v>778</v>
      </c>
      <c r="D1011">
        <v>0.22</v>
      </c>
      <c r="E1011" t="s">
        <v>143</v>
      </c>
      <c r="F1011" t="s">
        <v>31</v>
      </c>
      <c r="H1011" t="s">
        <v>14</v>
      </c>
      <c r="I1011" s="26" t="s">
        <v>897</v>
      </c>
    </row>
    <row r="1012" spans="1:9" x14ac:dyDescent="0.3">
      <c r="A1012" s="24">
        <v>45358</v>
      </c>
      <c r="B1012" t="s">
        <v>113</v>
      </c>
      <c r="C1012" t="s">
        <v>53</v>
      </c>
      <c r="D1012">
        <v>0.5</v>
      </c>
      <c r="E1012" t="s">
        <v>54</v>
      </c>
      <c r="F1012" t="s">
        <v>55</v>
      </c>
      <c r="G1012" t="s">
        <v>110</v>
      </c>
      <c r="H1012" t="s">
        <v>14</v>
      </c>
      <c r="I1012" s="26" t="s">
        <v>897</v>
      </c>
    </row>
    <row r="1013" spans="1:9" x14ac:dyDescent="0.3">
      <c r="A1013" s="24">
        <v>45358</v>
      </c>
      <c r="B1013" t="s">
        <v>113</v>
      </c>
      <c r="C1013" t="s">
        <v>53</v>
      </c>
      <c r="D1013">
        <v>0.7</v>
      </c>
      <c r="E1013" t="s">
        <v>54</v>
      </c>
      <c r="F1013" t="s">
        <v>55</v>
      </c>
      <c r="G1013" t="s">
        <v>924</v>
      </c>
      <c r="H1013" t="s">
        <v>14</v>
      </c>
      <c r="I1013" s="26" t="s">
        <v>897</v>
      </c>
    </row>
    <row r="1014" spans="1:9" x14ac:dyDescent="0.3">
      <c r="A1014" s="24">
        <v>45358</v>
      </c>
      <c r="B1014" t="s">
        <v>113</v>
      </c>
      <c r="C1014" t="s">
        <v>123</v>
      </c>
      <c r="D1014">
        <v>0.35</v>
      </c>
      <c r="E1014" t="s">
        <v>54</v>
      </c>
      <c r="F1014" t="s">
        <v>55</v>
      </c>
      <c r="G1014" t="s">
        <v>925</v>
      </c>
      <c r="H1014" t="s">
        <v>14</v>
      </c>
      <c r="I1014" s="26" t="s">
        <v>897</v>
      </c>
    </row>
    <row r="1015" spans="1:9" x14ac:dyDescent="0.3">
      <c r="A1015" s="24">
        <v>45358</v>
      </c>
      <c r="B1015" t="s">
        <v>113</v>
      </c>
      <c r="C1015" t="s">
        <v>60</v>
      </c>
      <c r="D1015">
        <v>1.02</v>
      </c>
      <c r="E1015" t="s">
        <v>81</v>
      </c>
      <c r="F1015" t="s">
        <v>31</v>
      </c>
      <c r="G1015" t="s">
        <v>126</v>
      </c>
      <c r="H1015" t="s">
        <v>14</v>
      </c>
      <c r="I1015" s="26" t="s">
        <v>897</v>
      </c>
    </row>
    <row r="1016" spans="1:9" x14ac:dyDescent="0.3">
      <c r="A1016" s="24">
        <v>45358</v>
      </c>
      <c r="B1016" t="s">
        <v>113</v>
      </c>
      <c r="C1016" t="s">
        <v>60</v>
      </c>
      <c r="D1016">
        <v>3.57</v>
      </c>
      <c r="E1016" t="s">
        <v>81</v>
      </c>
      <c r="F1016" t="s">
        <v>31</v>
      </c>
      <c r="H1016" t="s">
        <v>14</v>
      </c>
      <c r="I1016" s="26" t="s">
        <v>897</v>
      </c>
    </row>
    <row r="1017" spans="1:9" x14ac:dyDescent="0.3">
      <c r="A1017" s="24">
        <v>45358</v>
      </c>
      <c r="B1017" t="s">
        <v>113</v>
      </c>
      <c r="C1017" t="s">
        <v>926</v>
      </c>
      <c r="D1017">
        <v>0.98</v>
      </c>
      <c r="E1017" t="s">
        <v>214</v>
      </c>
      <c r="F1017" t="s">
        <v>31</v>
      </c>
      <c r="G1017" t="s">
        <v>927</v>
      </c>
      <c r="H1017" t="s">
        <v>14</v>
      </c>
      <c r="I1017" s="26" t="s">
        <v>897</v>
      </c>
    </row>
    <row r="1018" spans="1:9" x14ac:dyDescent="0.3">
      <c r="A1018" s="24">
        <v>45358</v>
      </c>
      <c r="B1018" t="s">
        <v>132</v>
      </c>
      <c r="C1018" t="s">
        <v>53</v>
      </c>
      <c r="D1018">
        <v>9.43</v>
      </c>
      <c r="E1018" t="s">
        <v>54</v>
      </c>
      <c r="F1018" t="s">
        <v>55</v>
      </c>
      <c r="G1018" t="e">
        <f>- ATO - ASIC - Newsletter preparation  - Zoho Update on the list - ATO Communications to clients</f>
        <v>#NAME?</v>
      </c>
      <c r="H1018" t="s">
        <v>14</v>
      </c>
      <c r="I1018" s="26" t="s">
        <v>897</v>
      </c>
    </row>
    <row r="1019" spans="1:9" x14ac:dyDescent="0.3">
      <c r="A1019" s="24">
        <v>45358</v>
      </c>
      <c r="B1019" t="s">
        <v>134</v>
      </c>
      <c r="C1019" t="s">
        <v>29</v>
      </c>
      <c r="D1019">
        <v>0.55000000000000004</v>
      </c>
      <c r="E1019" t="s">
        <v>137</v>
      </c>
      <c r="F1019" t="s">
        <v>55</v>
      </c>
      <c r="G1019" t="s">
        <v>928</v>
      </c>
      <c r="H1019" t="s">
        <v>14</v>
      </c>
      <c r="I1019" s="26" t="s">
        <v>897</v>
      </c>
    </row>
    <row r="1020" spans="1:9" x14ac:dyDescent="0.3">
      <c r="A1020" s="24">
        <v>45358</v>
      </c>
      <c r="B1020" t="s">
        <v>134</v>
      </c>
      <c r="C1020" t="s">
        <v>29</v>
      </c>
      <c r="D1020">
        <v>0.55000000000000004</v>
      </c>
      <c r="E1020" t="s">
        <v>139</v>
      </c>
      <c r="F1020" t="s">
        <v>55</v>
      </c>
      <c r="G1020" t="s">
        <v>929</v>
      </c>
      <c r="H1020" t="s">
        <v>14</v>
      </c>
      <c r="I1020" s="26" t="s">
        <v>897</v>
      </c>
    </row>
    <row r="1021" spans="1:9" x14ac:dyDescent="0.3">
      <c r="A1021" s="24">
        <v>45358</v>
      </c>
      <c r="B1021" t="s">
        <v>134</v>
      </c>
      <c r="C1021" t="s">
        <v>29</v>
      </c>
      <c r="D1021">
        <v>0.67</v>
      </c>
      <c r="E1021" t="s">
        <v>139</v>
      </c>
      <c r="F1021" t="s">
        <v>31</v>
      </c>
      <c r="G1021" t="s">
        <v>930</v>
      </c>
      <c r="H1021" t="s">
        <v>14</v>
      </c>
      <c r="I1021" s="26" t="s">
        <v>897</v>
      </c>
    </row>
    <row r="1022" spans="1:9" x14ac:dyDescent="0.3">
      <c r="A1022" s="24">
        <v>45358</v>
      </c>
      <c r="B1022" t="s">
        <v>134</v>
      </c>
      <c r="C1022" t="s">
        <v>29</v>
      </c>
      <c r="D1022">
        <v>0.72</v>
      </c>
      <c r="E1022" t="s">
        <v>139</v>
      </c>
      <c r="F1022" t="s">
        <v>31</v>
      </c>
      <c r="G1022" t="s">
        <v>429</v>
      </c>
      <c r="H1022" t="s">
        <v>14</v>
      </c>
      <c r="I1022" s="26" t="s">
        <v>897</v>
      </c>
    </row>
    <row r="1023" spans="1:9" x14ac:dyDescent="0.3">
      <c r="A1023" s="24">
        <v>45358</v>
      </c>
      <c r="B1023" t="s">
        <v>134</v>
      </c>
      <c r="C1023" t="s">
        <v>29</v>
      </c>
      <c r="D1023">
        <v>0.93</v>
      </c>
      <c r="E1023" t="s">
        <v>420</v>
      </c>
      <c r="F1023" t="s">
        <v>31</v>
      </c>
      <c r="G1023" t="s">
        <v>931</v>
      </c>
      <c r="H1023" t="s">
        <v>14</v>
      </c>
      <c r="I1023" s="26" t="s">
        <v>897</v>
      </c>
    </row>
    <row r="1024" spans="1:9" x14ac:dyDescent="0.3">
      <c r="A1024" s="24">
        <v>45358</v>
      </c>
      <c r="B1024" t="s">
        <v>134</v>
      </c>
      <c r="C1024" t="s">
        <v>29</v>
      </c>
      <c r="D1024">
        <v>1.55</v>
      </c>
      <c r="E1024" t="s">
        <v>135</v>
      </c>
      <c r="F1024" t="s">
        <v>31</v>
      </c>
      <c r="G1024" t="s">
        <v>932</v>
      </c>
      <c r="H1024" t="s">
        <v>14</v>
      </c>
      <c r="I1024" s="26" t="s">
        <v>897</v>
      </c>
    </row>
    <row r="1025" spans="1:9" x14ac:dyDescent="0.3">
      <c r="A1025" s="24">
        <v>45358</v>
      </c>
      <c r="B1025" t="s">
        <v>134</v>
      </c>
      <c r="C1025" t="s">
        <v>142</v>
      </c>
      <c r="D1025">
        <v>0.75</v>
      </c>
      <c r="E1025" t="s">
        <v>143</v>
      </c>
      <c r="F1025" t="s">
        <v>31</v>
      </c>
      <c r="G1025" t="s">
        <v>933</v>
      </c>
      <c r="H1025" t="s">
        <v>14</v>
      </c>
      <c r="I1025" s="26" t="s">
        <v>897</v>
      </c>
    </row>
    <row r="1026" spans="1:9" x14ac:dyDescent="0.3">
      <c r="A1026" s="24">
        <v>45358</v>
      </c>
      <c r="B1026" t="s">
        <v>134</v>
      </c>
      <c r="C1026" t="s">
        <v>142</v>
      </c>
      <c r="D1026">
        <v>1.25</v>
      </c>
      <c r="E1026" t="s">
        <v>143</v>
      </c>
      <c r="F1026" t="s">
        <v>31</v>
      </c>
      <c r="G1026" t="s">
        <v>934</v>
      </c>
      <c r="H1026" t="s">
        <v>14</v>
      </c>
      <c r="I1026" s="26" t="s">
        <v>897</v>
      </c>
    </row>
    <row r="1027" spans="1:9" x14ac:dyDescent="0.3">
      <c r="A1027" s="24">
        <v>45358</v>
      </c>
      <c r="B1027" t="s">
        <v>134</v>
      </c>
      <c r="C1027" t="s">
        <v>53</v>
      </c>
      <c r="D1027">
        <v>0.25</v>
      </c>
      <c r="E1027" t="s">
        <v>54</v>
      </c>
      <c r="F1027" t="s">
        <v>55</v>
      </c>
      <c r="G1027" t="s">
        <v>935</v>
      </c>
      <c r="H1027" t="s">
        <v>14</v>
      </c>
      <c r="I1027" s="26" t="s">
        <v>897</v>
      </c>
    </row>
    <row r="1028" spans="1:9" x14ac:dyDescent="0.3">
      <c r="A1028" s="24">
        <v>45358</v>
      </c>
      <c r="B1028" t="s">
        <v>134</v>
      </c>
      <c r="C1028" t="s">
        <v>53</v>
      </c>
      <c r="D1028">
        <v>0.28000000000000003</v>
      </c>
      <c r="E1028" t="s">
        <v>54</v>
      </c>
      <c r="F1028" t="s">
        <v>55</v>
      </c>
      <c r="G1028" t="s">
        <v>936</v>
      </c>
      <c r="H1028" t="s">
        <v>14</v>
      </c>
      <c r="I1028" s="26" t="s">
        <v>897</v>
      </c>
    </row>
    <row r="1029" spans="1:9" x14ac:dyDescent="0.3">
      <c r="A1029" s="24">
        <v>45358</v>
      </c>
      <c r="B1029" t="s">
        <v>134</v>
      </c>
      <c r="C1029" t="s">
        <v>53</v>
      </c>
      <c r="D1029">
        <v>0.5</v>
      </c>
      <c r="E1029" t="s">
        <v>54</v>
      </c>
      <c r="F1029" t="s">
        <v>55</v>
      </c>
      <c r="G1029" t="s">
        <v>110</v>
      </c>
      <c r="H1029" t="s">
        <v>14</v>
      </c>
      <c r="I1029" s="26" t="s">
        <v>897</v>
      </c>
    </row>
    <row r="1030" spans="1:9" x14ac:dyDescent="0.3">
      <c r="A1030" s="24">
        <v>45358</v>
      </c>
      <c r="B1030" t="s">
        <v>150</v>
      </c>
      <c r="C1030" t="s">
        <v>29</v>
      </c>
      <c r="D1030">
        <v>0.25</v>
      </c>
      <c r="E1030" t="s">
        <v>151</v>
      </c>
      <c r="F1030" t="s">
        <v>31</v>
      </c>
      <c r="G1030" t="s">
        <v>937</v>
      </c>
      <c r="H1030" t="s">
        <v>14</v>
      </c>
      <c r="I1030" s="26" t="s">
        <v>897</v>
      </c>
    </row>
    <row r="1031" spans="1:9" x14ac:dyDescent="0.3">
      <c r="A1031" s="24">
        <v>45358</v>
      </c>
      <c r="B1031" t="s">
        <v>150</v>
      </c>
      <c r="C1031" t="s">
        <v>29</v>
      </c>
      <c r="D1031">
        <v>1.1299999999999999</v>
      </c>
      <c r="E1031" t="s">
        <v>114</v>
      </c>
      <c r="F1031" t="s">
        <v>31</v>
      </c>
      <c r="G1031" t="s">
        <v>938</v>
      </c>
      <c r="H1031" t="s">
        <v>14</v>
      </c>
      <c r="I1031" s="26" t="s">
        <v>897</v>
      </c>
    </row>
    <row r="1032" spans="1:9" x14ac:dyDescent="0.3">
      <c r="A1032" s="24">
        <v>45358</v>
      </c>
      <c r="B1032" t="s">
        <v>150</v>
      </c>
      <c r="C1032" t="s">
        <v>29</v>
      </c>
      <c r="D1032">
        <v>1.48</v>
      </c>
      <c r="E1032" t="s">
        <v>114</v>
      </c>
      <c r="F1032" t="s">
        <v>31</v>
      </c>
      <c r="G1032" t="s">
        <v>939</v>
      </c>
      <c r="H1032" t="s">
        <v>14</v>
      </c>
      <c r="I1032" s="26" t="s">
        <v>897</v>
      </c>
    </row>
    <row r="1033" spans="1:9" x14ac:dyDescent="0.3">
      <c r="A1033" s="24">
        <v>45358</v>
      </c>
      <c r="B1033" t="s">
        <v>150</v>
      </c>
      <c r="C1033" t="s">
        <v>29</v>
      </c>
      <c r="D1033">
        <v>1.75</v>
      </c>
      <c r="E1033" t="s">
        <v>114</v>
      </c>
      <c r="F1033" t="s">
        <v>31</v>
      </c>
      <c r="G1033" t="s">
        <v>438</v>
      </c>
      <c r="H1033" t="s">
        <v>14</v>
      </c>
      <c r="I1033" s="26" t="s">
        <v>897</v>
      </c>
    </row>
    <row r="1034" spans="1:9" x14ac:dyDescent="0.3">
      <c r="A1034" s="24">
        <v>45358</v>
      </c>
      <c r="B1034" t="s">
        <v>150</v>
      </c>
      <c r="C1034" t="s">
        <v>159</v>
      </c>
      <c r="D1034">
        <v>1.53</v>
      </c>
      <c r="E1034" t="s">
        <v>151</v>
      </c>
      <c r="F1034" t="s">
        <v>31</v>
      </c>
      <c r="G1034" t="s">
        <v>940</v>
      </c>
      <c r="H1034" t="s">
        <v>14</v>
      </c>
      <c r="I1034" s="26" t="s">
        <v>897</v>
      </c>
    </row>
    <row r="1035" spans="1:9" x14ac:dyDescent="0.3">
      <c r="A1035" s="24">
        <v>45358</v>
      </c>
      <c r="B1035" t="s">
        <v>150</v>
      </c>
      <c r="C1035" t="s">
        <v>60</v>
      </c>
      <c r="D1035">
        <v>0.63</v>
      </c>
      <c r="E1035" t="s">
        <v>162</v>
      </c>
      <c r="F1035" t="s">
        <v>31</v>
      </c>
      <c r="G1035" t="s">
        <v>941</v>
      </c>
      <c r="H1035" t="s">
        <v>14</v>
      </c>
      <c r="I1035" s="26" t="s">
        <v>897</v>
      </c>
    </row>
    <row r="1036" spans="1:9" x14ac:dyDescent="0.3">
      <c r="A1036" s="24">
        <v>45358</v>
      </c>
      <c r="B1036" t="s">
        <v>150</v>
      </c>
      <c r="C1036" t="s">
        <v>60</v>
      </c>
      <c r="D1036">
        <v>1.6</v>
      </c>
      <c r="E1036" t="s">
        <v>162</v>
      </c>
      <c r="F1036" t="s">
        <v>31</v>
      </c>
      <c r="G1036" t="s">
        <v>942</v>
      </c>
      <c r="H1036" t="s">
        <v>14</v>
      </c>
      <c r="I1036" s="26" t="s">
        <v>897</v>
      </c>
    </row>
    <row r="1037" spans="1:9" x14ac:dyDescent="0.3">
      <c r="A1037" s="24">
        <v>45358</v>
      </c>
      <c r="B1037" t="s">
        <v>164</v>
      </c>
      <c r="C1037" t="s">
        <v>29</v>
      </c>
      <c r="D1037">
        <v>2.2999999999999998</v>
      </c>
      <c r="E1037" t="s">
        <v>229</v>
      </c>
      <c r="F1037" t="s">
        <v>31</v>
      </c>
      <c r="H1037" t="s">
        <v>14</v>
      </c>
      <c r="I1037" s="26" t="s">
        <v>897</v>
      </c>
    </row>
    <row r="1038" spans="1:9" x14ac:dyDescent="0.3">
      <c r="A1038" s="24">
        <v>45358</v>
      </c>
      <c r="B1038" t="s">
        <v>164</v>
      </c>
      <c r="C1038" t="s">
        <v>53</v>
      </c>
      <c r="D1038">
        <v>1.52</v>
      </c>
      <c r="E1038" t="s">
        <v>54</v>
      </c>
      <c r="F1038" t="s">
        <v>55</v>
      </c>
      <c r="G1038" t="s">
        <v>943</v>
      </c>
      <c r="H1038" t="s">
        <v>14</v>
      </c>
      <c r="I1038" s="26" t="s">
        <v>897</v>
      </c>
    </row>
    <row r="1039" spans="1:9" x14ac:dyDescent="0.3">
      <c r="A1039" s="24">
        <v>45358</v>
      </c>
      <c r="B1039" t="s">
        <v>164</v>
      </c>
      <c r="C1039" t="s">
        <v>53</v>
      </c>
      <c r="D1039">
        <v>2.23</v>
      </c>
      <c r="E1039" t="s">
        <v>54</v>
      </c>
      <c r="F1039" t="s">
        <v>55</v>
      </c>
      <c r="H1039" t="s">
        <v>14</v>
      </c>
      <c r="I1039" s="26" t="s">
        <v>897</v>
      </c>
    </row>
    <row r="1040" spans="1:9" x14ac:dyDescent="0.3">
      <c r="A1040" s="24">
        <v>45358</v>
      </c>
      <c r="B1040" t="s">
        <v>164</v>
      </c>
      <c r="C1040" t="s">
        <v>58</v>
      </c>
      <c r="D1040">
        <v>2.2200000000000002</v>
      </c>
      <c r="E1040" t="s">
        <v>54</v>
      </c>
      <c r="F1040" t="s">
        <v>55</v>
      </c>
      <c r="H1040" t="s">
        <v>14</v>
      </c>
      <c r="I1040" s="26" t="s">
        <v>897</v>
      </c>
    </row>
    <row r="1041" spans="1:9" x14ac:dyDescent="0.3">
      <c r="A1041" s="24">
        <v>45358</v>
      </c>
      <c r="B1041" t="s">
        <v>169</v>
      </c>
      <c r="C1041" t="s">
        <v>29</v>
      </c>
      <c r="D1041">
        <v>7.8</v>
      </c>
      <c r="E1041" t="s">
        <v>170</v>
      </c>
      <c r="F1041" t="s">
        <v>31</v>
      </c>
      <c r="H1041" t="s">
        <v>14</v>
      </c>
      <c r="I1041" s="26" t="s">
        <v>897</v>
      </c>
    </row>
    <row r="1042" spans="1:9" x14ac:dyDescent="0.3">
      <c r="A1042" s="24">
        <v>45358</v>
      </c>
      <c r="B1042" t="s">
        <v>169</v>
      </c>
      <c r="C1042" t="s">
        <v>60</v>
      </c>
      <c r="D1042">
        <v>0.28000000000000003</v>
      </c>
      <c r="E1042" t="s">
        <v>35</v>
      </c>
      <c r="F1042" t="s">
        <v>31</v>
      </c>
      <c r="G1042" t="s">
        <v>944</v>
      </c>
      <c r="H1042" t="s">
        <v>14</v>
      </c>
      <c r="I1042" s="26" t="s">
        <v>897</v>
      </c>
    </row>
    <row r="1043" spans="1:9" x14ac:dyDescent="0.3">
      <c r="A1043" s="24">
        <v>45358</v>
      </c>
      <c r="B1043" t="s">
        <v>172</v>
      </c>
      <c r="C1043" t="s">
        <v>58</v>
      </c>
      <c r="D1043">
        <v>0.37</v>
      </c>
      <c r="E1043" t="s">
        <v>54</v>
      </c>
      <c r="F1043" t="s">
        <v>55</v>
      </c>
      <c r="G1043" t="s">
        <v>945</v>
      </c>
      <c r="H1043" t="s">
        <v>14</v>
      </c>
      <c r="I1043" s="26" t="s">
        <v>897</v>
      </c>
    </row>
    <row r="1044" spans="1:9" x14ac:dyDescent="0.3">
      <c r="A1044" s="24">
        <v>45358</v>
      </c>
      <c r="B1044" t="s">
        <v>172</v>
      </c>
      <c r="C1044" t="s">
        <v>173</v>
      </c>
      <c r="D1044">
        <v>7.25</v>
      </c>
      <c r="E1044" t="s">
        <v>162</v>
      </c>
      <c r="F1044" t="s">
        <v>31</v>
      </c>
      <c r="G1044" t="s">
        <v>946</v>
      </c>
      <c r="H1044" t="s">
        <v>14</v>
      </c>
      <c r="I1044" s="26" t="s">
        <v>897</v>
      </c>
    </row>
    <row r="1045" spans="1:9" x14ac:dyDescent="0.3">
      <c r="A1045" s="24">
        <v>45358</v>
      </c>
      <c r="B1045" t="s">
        <v>175</v>
      </c>
      <c r="C1045" t="s">
        <v>29</v>
      </c>
      <c r="D1045">
        <v>0.1</v>
      </c>
      <c r="E1045" t="s">
        <v>177</v>
      </c>
      <c r="F1045" t="s">
        <v>31</v>
      </c>
      <c r="H1045" t="s">
        <v>14</v>
      </c>
      <c r="I1045" s="26" t="s">
        <v>897</v>
      </c>
    </row>
    <row r="1046" spans="1:9" x14ac:dyDescent="0.3">
      <c r="A1046" s="24">
        <v>45358</v>
      </c>
      <c r="B1046" t="s">
        <v>175</v>
      </c>
      <c r="C1046" t="s">
        <v>29</v>
      </c>
      <c r="D1046">
        <v>1.32</v>
      </c>
      <c r="E1046" t="s">
        <v>177</v>
      </c>
      <c r="F1046" t="s">
        <v>31</v>
      </c>
      <c r="G1046" t="s">
        <v>947</v>
      </c>
      <c r="H1046" t="s">
        <v>14</v>
      </c>
      <c r="I1046" s="26" t="s">
        <v>897</v>
      </c>
    </row>
    <row r="1047" spans="1:9" x14ac:dyDescent="0.3">
      <c r="A1047" s="24">
        <v>45358</v>
      </c>
      <c r="B1047" t="s">
        <v>175</v>
      </c>
      <c r="C1047" t="s">
        <v>29</v>
      </c>
      <c r="D1047">
        <v>1.32</v>
      </c>
      <c r="E1047" t="s">
        <v>182</v>
      </c>
      <c r="F1047" t="s">
        <v>31</v>
      </c>
      <c r="G1047" t="s">
        <v>948</v>
      </c>
      <c r="H1047" t="s">
        <v>14</v>
      </c>
      <c r="I1047" s="26" t="s">
        <v>897</v>
      </c>
    </row>
    <row r="1048" spans="1:9" x14ac:dyDescent="0.3">
      <c r="A1048" s="24">
        <v>45358</v>
      </c>
      <c r="B1048" t="s">
        <v>175</v>
      </c>
      <c r="C1048" t="s">
        <v>29</v>
      </c>
      <c r="D1048">
        <v>2.17</v>
      </c>
      <c r="E1048" t="s">
        <v>170</v>
      </c>
      <c r="F1048" t="s">
        <v>31</v>
      </c>
      <c r="G1048" t="s">
        <v>949</v>
      </c>
      <c r="H1048" t="s">
        <v>14</v>
      </c>
      <c r="I1048" s="26" t="s">
        <v>897</v>
      </c>
    </row>
    <row r="1049" spans="1:9" x14ac:dyDescent="0.3">
      <c r="A1049" s="24">
        <v>45358</v>
      </c>
      <c r="B1049" t="s">
        <v>175</v>
      </c>
      <c r="C1049" t="s">
        <v>29</v>
      </c>
      <c r="D1049">
        <v>3.1</v>
      </c>
      <c r="E1049" t="s">
        <v>127</v>
      </c>
      <c r="F1049" t="s">
        <v>31</v>
      </c>
      <c r="H1049" t="s">
        <v>14</v>
      </c>
      <c r="I1049" s="26" t="s">
        <v>897</v>
      </c>
    </row>
    <row r="1050" spans="1:9" x14ac:dyDescent="0.3">
      <c r="A1050" s="24">
        <v>45358</v>
      </c>
      <c r="B1050" t="s">
        <v>188</v>
      </c>
      <c r="C1050" t="s">
        <v>454</v>
      </c>
      <c r="D1050">
        <v>8</v>
      </c>
      <c r="E1050" t="s">
        <v>54</v>
      </c>
      <c r="F1050" t="s">
        <v>55</v>
      </c>
      <c r="G1050" t="s">
        <v>189</v>
      </c>
      <c r="H1050" t="s">
        <v>14</v>
      </c>
      <c r="I1050" s="26" t="s">
        <v>897</v>
      </c>
    </row>
    <row r="1051" spans="1:9" x14ac:dyDescent="0.3">
      <c r="A1051" s="24">
        <v>45358</v>
      </c>
      <c r="B1051" t="s">
        <v>190</v>
      </c>
      <c r="C1051" t="s">
        <v>89</v>
      </c>
      <c r="D1051">
        <v>6</v>
      </c>
      <c r="E1051" t="s">
        <v>54</v>
      </c>
      <c r="F1051" t="s">
        <v>55</v>
      </c>
      <c r="H1051" t="s">
        <v>14</v>
      </c>
      <c r="I1051" s="26" t="s">
        <v>897</v>
      </c>
    </row>
    <row r="1052" spans="1:9" x14ac:dyDescent="0.3">
      <c r="A1052" s="24">
        <v>45358</v>
      </c>
      <c r="B1052" t="s">
        <v>190</v>
      </c>
      <c r="C1052" t="s">
        <v>950</v>
      </c>
      <c r="D1052">
        <v>2</v>
      </c>
      <c r="E1052" t="s">
        <v>54</v>
      </c>
      <c r="F1052" t="s">
        <v>55</v>
      </c>
      <c r="H1052" t="s">
        <v>14</v>
      </c>
      <c r="I1052" s="26" t="s">
        <v>897</v>
      </c>
    </row>
    <row r="1053" spans="1:9" x14ac:dyDescent="0.3">
      <c r="A1053" s="24">
        <v>45358</v>
      </c>
      <c r="B1053" t="s">
        <v>191</v>
      </c>
      <c r="C1053" t="s">
        <v>89</v>
      </c>
      <c r="D1053">
        <v>8</v>
      </c>
      <c r="E1053" t="s">
        <v>54</v>
      </c>
      <c r="F1053" t="s">
        <v>55</v>
      </c>
      <c r="G1053" t="s">
        <v>951</v>
      </c>
      <c r="H1053" t="s">
        <v>14</v>
      </c>
      <c r="I1053" s="26" t="s">
        <v>897</v>
      </c>
    </row>
    <row r="1054" spans="1:9" x14ac:dyDescent="0.3">
      <c r="A1054" s="24">
        <v>45358</v>
      </c>
      <c r="B1054" t="s">
        <v>193</v>
      </c>
      <c r="C1054" t="s">
        <v>29</v>
      </c>
      <c r="D1054">
        <v>0.13</v>
      </c>
      <c r="E1054" t="s">
        <v>205</v>
      </c>
      <c r="F1054" t="s">
        <v>31</v>
      </c>
      <c r="G1054" t="s">
        <v>952</v>
      </c>
      <c r="H1054" t="s">
        <v>14</v>
      </c>
      <c r="I1054" s="26" t="s">
        <v>897</v>
      </c>
    </row>
    <row r="1055" spans="1:9" x14ac:dyDescent="0.3">
      <c r="A1055" s="24">
        <v>45358</v>
      </c>
      <c r="B1055" t="s">
        <v>193</v>
      </c>
      <c r="C1055" t="s">
        <v>29</v>
      </c>
      <c r="D1055">
        <v>1.03</v>
      </c>
      <c r="E1055" t="s">
        <v>953</v>
      </c>
      <c r="F1055" t="s">
        <v>31</v>
      </c>
      <c r="G1055" t="s">
        <v>954</v>
      </c>
      <c r="H1055" t="s">
        <v>14</v>
      </c>
      <c r="I1055" s="26" t="s">
        <v>897</v>
      </c>
    </row>
    <row r="1056" spans="1:9" x14ac:dyDescent="0.3">
      <c r="A1056" s="24">
        <v>45358</v>
      </c>
      <c r="B1056" t="s">
        <v>193</v>
      </c>
      <c r="C1056" t="s">
        <v>85</v>
      </c>
      <c r="D1056">
        <v>0.12</v>
      </c>
      <c r="E1056" t="s">
        <v>953</v>
      </c>
      <c r="F1056" t="s">
        <v>31</v>
      </c>
      <c r="G1056" t="s">
        <v>955</v>
      </c>
      <c r="H1056" t="s">
        <v>14</v>
      </c>
      <c r="I1056" s="26" t="s">
        <v>897</v>
      </c>
    </row>
    <row r="1057" spans="1:9" x14ac:dyDescent="0.3">
      <c r="A1057" s="24">
        <v>45358</v>
      </c>
      <c r="B1057" t="s">
        <v>193</v>
      </c>
      <c r="C1057" t="s">
        <v>53</v>
      </c>
      <c r="D1057">
        <v>0.12</v>
      </c>
      <c r="E1057" t="s">
        <v>54</v>
      </c>
      <c r="F1057" t="s">
        <v>55</v>
      </c>
      <c r="G1057" t="s">
        <v>956</v>
      </c>
      <c r="H1057" t="s">
        <v>14</v>
      </c>
      <c r="I1057" s="26" t="s">
        <v>897</v>
      </c>
    </row>
    <row r="1058" spans="1:9" x14ac:dyDescent="0.3">
      <c r="A1058" s="24">
        <v>45358</v>
      </c>
      <c r="B1058" t="s">
        <v>193</v>
      </c>
      <c r="C1058" t="s">
        <v>53</v>
      </c>
      <c r="D1058">
        <v>0.17</v>
      </c>
      <c r="E1058" t="s">
        <v>54</v>
      </c>
      <c r="F1058" t="s">
        <v>55</v>
      </c>
      <c r="G1058" t="s">
        <v>243</v>
      </c>
      <c r="H1058" t="s">
        <v>14</v>
      </c>
      <c r="I1058" s="26" t="s">
        <v>897</v>
      </c>
    </row>
    <row r="1059" spans="1:9" x14ac:dyDescent="0.3">
      <c r="A1059" s="24">
        <v>45358</v>
      </c>
      <c r="B1059" t="s">
        <v>193</v>
      </c>
      <c r="C1059" t="s">
        <v>53</v>
      </c>
      <c r="D1059">
        <v>0.5</v>
      </c>
      <c r="E1059" t="s">
        <v>54</v>
      </c>
      <c r="F1059" t="s">
        <v>55</v>
      </c>
      <c r="G1059" t="s">
        <v>957</v>
      </c>
      <c r="H1059" t="s">
        <v>14</v>
      </c>
      <c r="I1059" s="26" t="s">
        <v>897</v>
      </c>
    </row>
    <row r="1060" spans="1:9" x14ac:dyDescent="0.3">
      <c r="A1060" s="24">
        <v>45358</v>
      </c>
      <c r="B1060" t="s">
        <v>193</v>
      </c>
      <c r="C1060" t="s">
        <v>53</v>
      </c>
      <c r="D1060">
        <v>0.6</v>
      </c>
      <c r="E1060" t="s">
        <v>54</v>
      </c>
      <c r="F1060" t="s">
        <v>55</v>
      </c>
      <c r="G1060" t="s">
        <v>958</v>
      </c>
      <c r="H1060" t="s">
        <v>14</v>
      </c>
      <c r="I1060" s="26" t="s">
        <v>897</v>
      </c>
    </row>
    <row r="1061" spans="1:9" x14ac:dyDescent="0.3">
      <c r="A1061" s="24">
        <v>45358</v>
      </c>
      <c r="B1061" t="s">
        <v>193</v>
      </c>
      <c r="C1061" t="s">
        <v>53</v>
      </c>
      <c r="D1061">
        <v>0.62</v>
      </c>
      <c r="E1061" t="s">
        <v>54</v>
      </c>
      <c r="F1061" t="s">
        <v>55</v>
      </c>
      <c r="G1061" t="s">
        <v>959</v>
      </c>
      <c r="H1061" t="s">
        <v>14</v>
      </c>
      <c r="I1061" s="26" t="s">
        <v>897</v>
      </c>
    </row>
    <row r="1062" spans="1:9" x14ac:dyDescent="0.3">
      <c r="A1062" s="24">
        <v>45358</v>
      </c>
      <c r="B1062" t="s">
        <v>193</v>
      </c>
      <c r="C1062" t="s">
        <v>60</v>
      </c>
      <c r="D1062">
        <v>0.25</v>
      </c>
      <c r="E1062" t="s">
        <v>203</v>
      </c>
      <c r="F1062" t="s">
        <v>31</v>
      </c>
      <c r="G1062" t="s">
        <v>960</v>
      </c>
      <c r="H1062" t="s">
        <v>14</v>
      </c>
      <c r="I1062" s="26" t="s">
        <v>897</v>
      </c>
    </row>
    <row r="1063" spans="1:9" x14ac:dyDescent="0.3">
      <c r="A1063" s="24">
        <v>45358</v>
      </c>
      <c r="B1063" t="s">
        <v>193</v>
      </c>
      <c r="C1063" t="s">
        <v>60</v>
      </c>
      <c r="D1063">
        <v>0.82</v>
      </c>
      <c r="E1063" t="s">
        <v>162</v>
      </c>
      <c r="F1063" t="s">
        <v>31</v>
      </c>
      <c r="G1063" t="s">
        <v>961</v>
      </c>
      <c r="H1063" t="s">
        <v>14</v>
      </c>
      <c r="I1063" s="26" t="s">
        <v>897</v>
      </c>
    </row>
    <row r="1064" spans="1:9" x14ac:dyDescent="0.3">
      <c r="A1064" s="24">
        <v>45358</v>
      </c>
      <c r="B1064" t="s">
        <v>193</v>
      </c>
      <c r="C1064" t="s">
        <v>60</v>
      </c>
      <c r="D1064">
        <v>0.95</v>
      </c>
      <c r="E1064" t="s">
        <v>162</v>
      </c>
      <c r="F1064" t="s">
        <v>31</v>
      </c>
      <c r="G1064" t="s">
        <v>962</v>
      </c>
      <c r="H1064" t="s">
        <v>14</v>
      </c>
      <c r="I1064" s="26" t="s">
        <v>897</v>
      </c>
    </row>
    <row r="1065" spans="1:9" x14ac:dyDescent="0.3">
      <c r="A1065" s="24">
        <v>45358</v>
      </c>
      <c r="B1065" t="s">
        <v>193</v>
      </c>
      <c r="C1065" t="s">
        <v>60</v>
      </c>
      <c r="D1065">
        <v>1.48</v>
      </c>
      <c r="E1065" t="s">
        <v>162</v>
      </c>
      <c r="F1065" t="s">
        <v>31</v>
      </c>
      <c r="G1065" t="s">
        <v>963</v>
      </c>
      <c r="H1065" t="s">
        <v>14</v>
      </c>
      <c r="I1065" s="26" t="s">
        <v>897</v>
      </c>
    </row>
    <row r="1066" spans="1:9" x14ac:dyDescent="0.3">
      <c r="A1066" s="24">
        <v>45358</v>
      </c>
      <c r="B1066" t="s">
        <v>193</v>
      </c>
      <c r="C1066" t="s">
        <v>60</v>
      </c>
      <c r="D1066">
        <v>1.65</v>
      </c>
      <c r="E1066" t="s">
        <v>162</v>
      </c>
      <c r="F1066" t="s">
        <v>31</v>
      </c>
      <c r="G1066" t="s">
        <v>964</v>
      </c>
      <c r="H1066" t="s">
        <v>14</v>
      </c>
      <c r="I1066" s="26" t="s">
        <v>897</v>
      </c>
    </row>
    <row r="1067" spans="1:9" x14ac:dyDescent="0.3">
      <c r="A1067" s="24">
        <v>45358</v>
      </c>
      <c r="B1067" t="s">
        <v>212</v>
      </c>
      <c r="C1067" t="s">
        <v>85</v>
      </c>
      <c r="D1067">
        <v>0.05</v>
      </c>
      <c r="E1067" t="s">
        <v>185</v>
      </c>
      <c r="F1067" t="s">
        <v>55</v>
      </c>
      <c r="G1067" t="s">
        <v>965</v>
      </c>
      <c r="H1067" t="s">
        <v>14</v>
      </c>
      <c r="I1067" s="26" t="s">
        <v>897</v>
      </c>
    </row>
    <row r="1068" spans="1:9" x14ac:dyDescent="0.3">
      <c r="A1068" s="24">
        <v>45358</v>
      </c>
      <c r="B1068" t="s">
        <v>212</v>
      </c>
      <c r="C1068" t="s">
        <v>85</v>
      </c>
      <c r="D1068">
        <v>0.05</v>
      </c>
      <c r="E1068" t="s">
        <v>156</v>
      </c>
      <c r="F1068" t="s">
        <v>55</v>
      </c>
      <c r="G1068" t="s">
        <v>489</v>
      </c>
      <c r="H1068" t="s">
        <v>14</v>
      </c>
      <c r="I1068" s="26" t="s">
        <v>897</v>
      </c>
    </row>
    <row r="1069" spans="1:9" x14ac:dyDescent="0.3">
      <c r="A1069" s="24">
        <v>45358</v>
      </c>
      <c r="B1069" t="s">
        <v>212</v>
      </c>
      <c r="C1069" t="s">
        <v>85</v>
      </c>
      <c r="D1069">
        <v>0.05</v>
      </c>
      <c r="E1069" t="s">
        <v>178</v>
      </c>
      <c r="F1069" t="s">
        <v>55</v>
      </c>
      <c r="G1069" t="s">
        <v>489</v>
      </c>
      <c r="H1069" t="s">
        <v>14</v>
      </c>
      <c r="I1069" s="26" t="s">
        <v>897</v>
      </c>
    </row>
    <row r="1070" spans="1:9" x14ac:dyDescent="0.3">
      <c r="A1070" s="24">
        <v>45358</v>
      </c>
      <c r="B1070" t="s">
        <v>212</v>
      </c>
      <c r="C1070" t="s">
        <v>85</v>
      </c>
      <c r="D1070">
        <v>0.08</v>
      </c>
      <c r="E1070" t="s">
        <v>966</v>
      </c>
      <c r="F1070" t="s">
        <v>55</v>
      </c>
      <c r="G1070" t="s">
        <v>32</v>
      </c>
      <c r="H1070" t="s">
        <v>14</v>
      </c>
      <c r="I1070" s="26" t="s">
        <v>897</v>
      </c>
    </row>
    <row r="1071" spans="1:9" x14ac:dyDescent="0.3">
      <c r="A1071" s="24">
        <v>45358</v>
      </c>
      <c r="B1071" t="s">
        <v>212</v>
      </c>
      <c r="C1071" t="s">
        <v>85</v>
      </c>
      <c r="D1071">
        <v>0.08</v>
      </c>
      <c r="E1071" t="s">
        <v>848</v>
      </c>
      <c r="F1071" t="s">
        <v>55</v>
      </c>
      <c r="G1071" t="s">
        <v>489</v>
      </c>
      <c r="H1071" t="s">
        <v>14</v>
      </c>
      <c r="I1071" s="26" t="s">
        <v>897</v>
      </c>
    </row>
    <row r="1072" spans="1:9" x14ac:dyDescent="0.3">
      <c r="A1072" s="24">
        <v>45358</v>
      </c>
      <c r="B1072" t="s">
        <v>212</v>
      </c>
      <c r="C1072" t="s">
        <v>85</v>
      </c>
      <c r="D1072">
        <v>0.08</v>
      </c>
      <c r="E1072" t="s">
        <v>967</v>
      </c>
      <c r="F1072" t="s">
        <v>55</v>
      </c>
      <c r="G1072" t="s">
        <v>489</v>
      </c>
      <c r="H1072" t="s">
        <v>14</v>
      </c>
      <c r="I1072" s="26" t="s">
        <v>897</v>
      </c>
    </row>
    <row r="1073" spans="1:9" x14ac:dyDescent="0.3">
      <c r="A1073" s="24">
        <v>45358</v>
      </c>
      <c r="B1073" t="s">
        <v>212</v>
      </c>
      <c r="C1073" t="s">
        <v>85</v>
      </c>
      <c r="D1073">
        <v>0.08</v>
      </c>
      <c r="E1073" t="s">
        <v>968</v>
      </c>
      <c r="F1073" t="s">
        <v>55</v>
      </c>
      <c r="G1073" t="s">
        <v>969</v>
      </c>
      <c r="H1073" t="s">
        <v>14</v>
      </c>
      <c r="I1073" s="26" t="s">
        <v>897</v>
      </c>
    </row>
    <row r="1074" spans="1:9" x14ac:dyDescent="0.3">
      <c r="A1074" s="24">
        <v>45358</v>
      </c>
      <c r="B1074" t="s">
        <v>212</v>
      </c>
      <c r="C1074" t="s">
        <v>85</v>
      </c>
      <c r="D1074">
        <v>0.12</v>
      </c>
      <c r="E1074" t="s">
        <v>108</v>
      </c>
      <c r="F1074" t="s">
        <v>55</v>
      </c>
      <c r="G1074" t="s">
        <v>970</v>
      </c>
      <c r="H1074" t="s">
        <v>14</v>
      </c>
      <c r="I1074" s="26" t="s">
        <v>897</v>
      </c>
    </row>
    <row r="1075" spans="1:9" x14ac:dyDescent="0.3">
      <c r="A1075" s="24">
        <v>45358</v>
      </c>
      <c r="B1075" t="s">
        <v>212</v>
      </c>
      <c r="C1075" t="s">
        <v>85</v>
      </c>
      <c r="D1075">
        <v>0.12</v>
      </c>
      <c r="E1075" t="s">
        <v>108</v>
      </c>
      <c r="F1075" t="s">
        <v>55</v>
      </c>
      <c r="G1075" t="s">
        <v>971</v>
      </c>
      <c r="H1075" t="s">
        <v>14</v>
      </c>
      <c r="I1075" s="26" t="s">
        <v>897</v>
      </c>
    </row>
    <row r="1076" spans="1:9" x14ac:dyDescent="0.3">
      <c r="A1076" s="24">
        <v>45358</v>
      </c>
      <c r="B1076" t="s">
        <v>212</v>
      </c>
      <c r="C1076" t="s">
        <v>85</v>
      </c>
      <c r="D1076">
        <v>0.12</v>
      </c>
      <c r="E1076" t="s">
        <v>42</v>
      </c>
      <c r="F1076" t="s">
        <v>55</v>
      </c>
      <c r="G1076" t="s">
        <v>972</v>
      </c>
      <c r="H1076" t="s">
        <v>14</v>
      </c>
      <c r="I1076" s="26" t="s">
        <v>897</v>
      </c>
    </row>
    <row r="1077" spans="1:9" x14ac:dyDescent="0.3">
      <c r="A1077" s="24">
        <v>45358</v>
      </c>
      <c r="B1077" t="s">
        <v>212</v>
      </c>
      <c r="C1077" t="s">
        <v>85</v>
      </c>
      <c r="D1077">
        <v>0.13</v>
      </c>
      <c r="E1077" t="s">
        <v>40</v>
      </c>
      <c r="F1077" t="s">
        <v>55</v>
      </c>
      <c r="G1077" t="s">
        <v>489</v>
      </c>
      <c r="H1077" t="s">
        <v>14</v>
      </c>
      <c r="I1077" s="26" t="s">
        <v>897</v>
      </c>
    </row>
    <row r="1078" spans="1:9" x14ac:dyDescent="0.3">
      <c r="A1078" s="24">
        <v>45358</v>
      </c>
      <c r="B1078" t="s">
        <v>212</v>
      </c>
      <c r="C1078" t="s">
        <v>85</v>
      </c>
      <c r="D1078">
        <v>0.17</v>
      </c>
      <c r="E1078" t="s">
        <v>106</v>
      </c>
      <c r="F1078" t="s">
        <v>55</v>
      </c>
      <c r="G1078" t="s">
        <v>973</v>
      </c>
      <c r="H1078" t="s">
        <v>14</v>
      </c>
      <c r="I1078" s="26" t="s">
        <v>897</v>
      </c>
    </row>
    <row r="1079" spans="1:9" x14ac:dyDescent="0.3">
      <c r="A1079" s="24">
        <v>45358</v>
      </c>
      <c r="B1079" t="s">
        <v>212</v>
      </c>
      <c r="C1079" t="s">
        <v>53</v>
      </c>
      <c r="D1079">
        <v>0.05</v>
      </c>
      <c r="E1079" t="s">
        <v>54</v>
      </c>
      <c r="F1079" t="s">
        <v>55</v>
      </c>
      <c r="G1079" t="s">
        <v>974</v>
      </c>
      <c r="H1079" t="s">
        <v>14</v>
      </c>
      <c r="I1079" s="26" t="s">
        <v>897</v>
      </c>
    </row>
    <row r="1080" spans="1:9" x14ac:dyDescent="0.3">
      <c r="A1080" s="24">
        <v>45358</v>
      </c>
      <c r="B1080" t="s">
        <v>212</v>
      </c>
      <c r="C1080" t="s">
        <v>53</v>
      </c>
      <c r="D1080">
        <v>0.05</v>
      </c>
      <c r="E1080" t="s">
        <v>54</v>
      </c>
      <c r="F1080" t="s">
        <v>55</v>
      </c>
      <c r="G1080" t="s">
        <v>975</v>
      </c>
      <c r="H1080" t="s">
        <v>14</v>
      </c>
      <c r="I1080" s="26" t="s">
        <v>897</v>
      </c>
    </row>
    <row r="1081" spans="1:9" x14ac:dyDescent="0.3">
      <c r="A1081" s="24">
        <v>45358</v>
      </c>
      <c r="B1081" t="s">
        <v>212</v>
      </c>
      <c r="C1081" t="s">
        <v>53</v>
      </c>
      <c r="D1081">
        <v>0.08</v>
      </c>
      <c r="E1081" t="s">
        <v>54</v>
      </c>
      <c r="F1081" t="s">
        <v>55</v>
      </c>
      <c r="G1081" t="s">
        <v>976</v>
      </c>
      <c r="H1081" t="s">
        <v>14</v>
      </c>
      <c r="I1081" s="26" t="s">
        <v>897</v>
      </c>
    </row>
    <row r="1082" spans="1:9" x14ac:dyDescent="0.3">
      <c r="A1082" s="24">
        <v>45358</v>
      </c>
      <c r="B1082" t="s">
        <v>212</v>
      </c>
      <c r="C1082" t="s">
        <v>53</v>
      </c>
      <c r="D1082">
        <v>0.17</v>
      </c>
      <c r="E1082" t="s">
        <v>54</v>
      </c>
      <c r="F1082" t="s">
        <v>55</v>
      </c>
      <c r="G1082" t="s">
        <v>977</v>
      </c>
      <c r="H1082" t="s">
        <v>14</v>
      </c>
      <c r="I1082" s="26" t="s">
        <v>897</v>
      </c>
    </row>
    <row r="1083" spans="1:9" x14ac:dyDescent="0.3">
      <c r="A1083" s="24">
        <v>45358</v>
      </c>
      <c r="B1083" t="s">
        <v>212</v>
      </c>
      <c r="C1083" t="s">
        <v>53</v>
      </c>
      <c r="D1083">
        <v>0.25</v>
      </c>
      <c r="E1083" t="s">
        <v>54</v>
      </c>
      <c r="F1083" t="s">
        <v>55</v>
      </c>
      <c r="G1083" t="s">
        <v>221</v>
      </c>
      <c r="H1083" t="s">
        <v>14</v>
      </c>
      <c r="I1083" s="26" t="s">
        <v>897</v>
      </c>
    </row>
    <row r="1084" spans="1:9" x14ac:dyDescent="0.3">
      <c r="A1084" s="24">
        <v>45358</v>
      </c>
      <c r="B1084" t="s">
        <v>212</v>
      </c>
      <c r="C1084" t="s">
        <v>53</v>
      </c>
      <c r="D1084">
        <v>0.25</v>
      </c>
      <c r="E1084" t="s">
        <v>54</v>
      </c>
      <c r="F1084" t="s">
        <v>55</v>
      </c>
      <c r="G1084" t="s">
        <v>978</v>
      </c>
      <c r="H1084" t="s">
        <v>14</v>
      </c>
      <c r="I1084" s="26" t="s">
        <v>897</v>
      </c>
    </row>
    <row r="1085" spans="1:9" x14ac:dyDescent="0.3">
      <c r="A1085" s="24">
        <v>45358</v>
      </c>
      <c r="B1085" t="s">
        <v>212</v>
      </c>
      <c r="C1085" t="s">
        <v>53</v>
      </c>
      <c r="D1085">
        <v>0.52</v>
      </c>
      <c r="E1085" t="s">
        <v>54</v>
      </c>
      <c r="F1085" t="s">
        <v>55</v>
      </c>
      <c r="G1085" t="s">
        <v>979</v>
      </c>
      <c r="H1085" t="s">
        <v>14</v>
      </c>
      <c r="I1085" s="26" t="s">
        <v>897</v>
      </c>
    </row>
    <row r="1086" spans="1:9" x14ac:dyDescent="0.3">
      <c r="A1086" s="24">
        <v>45358</v>
      </c>
      <c r="B1086" t="s">
        <v>212</v>
      </c>
      <c r="C1086" t="s">
        <v>53</v>
      </c>
      <c r="D1086">
        <v>0.98</v>
      </c>
      <c r="E1086" t="s">
        <v>54</v>
      </c>
      <c r="F1086" t="s">
        <v>55</v>
      </c>
      <c r="H1086" t="s">
        <v>14</v>
      </c>
      <c r="I1086" s="26" t="s">
        <v>897</v>
      </c>
    </row>
    <row r="1087" spans="1:9" x14ac:dyDescent="0.3">
      <c r="A1087" s="24">
        <v>45358</v>
      </c>
      <c r="B1087" t="s">
        <v>212</v>
      </c>
      <c r="C1087" t="s">
        <v>53</v>
      </c>
      <c r="D1087">
        <v>1.08</v>
      </c>
      <c r="E1087" t="s">
        <v>54</v>
      </c>
      <c r="F1087" t="s">
        <v>55</v>
      </c>
      <c r="G1087" t="s">
        <v>980</v>
      </c>
      <c r="H1087" t="s">
        <v>14</v>
      </c>
      <c r="I1087" s="26" t="s">
        <v>897</v>
      </c>
    </row>
    <row r="1088" spans="1:9" x14ac:dyDescent="0.3">
      <c r="A1088" s="24">
        <v>45358</v>
      </c>
      <c r="B1088" t="s">
        <v>212</v>
      </c>
      <c r="C1088" t="s">
        <v>225</v>
      </c>
      <c r="D1088">
        <v>0.05</v>
      </c>
      <c r="E1088" t="s">
        <v>821</v>
      </c>
      <c r="F1088" t="s">
        <v>31</v>
      </c>
      <c r="H1088" t="s">
        <v>14</v>
      </c>
      <c r="I1088" s="26" t="s">
        <v>897</v>
      </c>
    </row>
    <row r="1089" spans="1:9" x14ac:dyDescent="0.3">
      <c r="A1089" s="24">
        <v>45358</v>
      </c>
      <c r="B1089" t="s">
        <v>212</v>
      </c>
      <c r="C1089" t="s">
        <v>225</v>
      </c>
      <c r="D1089">
        <v>0.05</v>
      </c>
      <c r="E1089" t="s">
        <v>151</v>
      </c>
      <c r="F1089" t="s">
        <v>31</v>
      </c>
      <c r="H1089" t="s">
        <v>14</v>
      </c>
      <c r="I1089" s="26" t="s">
        <v>897</v>
      </c>
    </row>
    <row r="1090" spans="1:9" x14ac:dyDescent="0.3">
      <c r="A1090" s="24">
        <v>45358</v>
      </c>
      <c r="B1090" t="s">
        <v>212</v>
      </c>
      <c r="C1090" t="s">
        <v>225</v>
      </c>
      <c r="D1090">
        <v>7.0000000000000007E-2</v>
      </c>
      <c r="E1090" t="s">
        <v>821</v>
      </c>
      <c r="F1090" t="s">
        <v>31</v>
      </c>
      <c r="G1090" t="s">
        <v>228</v>
      </c>
      <c r="H1090" t="s">
        <v>14</v>
      </c>
      <c r="I1090" s="26" t="s">
        <v>897</v>
      </c>
    </row>
    <row r="1091" spans="1:9" x14ac:dyDescent="0.3">
      <c r="A1091" s="24">
        <v>45358</v>
      </c>
      <c r="B1091" t="s">
        <v>212</v>
      </c>
      <c r="C1091" t="s">
        <v>225</v>
      </c>
      <c r="D1091">
        <v>0.12</v>
      </c>
      <c r="E1091" t="s">
        <v>151</v>
      </c>
      <c r="F1091" t="s">
        <v>31</v>
      </c>
      <c r="G1091" t="s">
        <v>228</v>
      </c>
      <c r="H1091" t="s">
        <v>14</v>
      </c>
      <c r="I1091" s="26" t="s">
        <v>897</v>
      </c>
    </row>
    <row r="1092" spans="1:9" x14ac:dyDescent="0.3">
      <c r="A1092" s="24">
        <v>45358</v>
      </c>
      <c r="B1092" t="s">
        <v>212</v>
      </c>
      <c r="C1092" t="s">
        <v>225</v>
      </c>
      <c r="D1092">
        <v>0.12</v>
      </c>
      <c r="E1092" t="s">
        <v>156</v>
      </c>
      <c r="F1092" t="s">
        <v>31</v>
      </c>
      <c r="H1092" t="s">
        <v>14</v>
      </c>
      <c r="I1092" s="26" t="s">
        <v>897</v>
      </c>
    </row>
    <row r="1093" spans="1:9" x14ac:dyDescent="0.3">
      <c r="A1093" s="24">
        <v>45358</v>
      </c>
      <c r="B1093" t="s">
        <v>212</v>
      </c>
      <c r="C1093" t="s">
        <v>225</v>
      </c>
      <c r="D1093">
        <v>0.13</v>
      </c>
      <c r="E1093" t="s">
        <v>114</v>
      </c>
      <c r="F1093" t="s">
        <v>31</v>
      </c>
      <c r="H1093" t="s">
        <v>14</v>
      </c>
      <c r="I1093" s="26" t="s">
        <v>897</v>
      </c>
    </row>
    <row r="1094" spans="1:9" x14ac:dyDescent="0.3">
      <c r="A1094" s="24">
        <v>45358</v>
      </c>
      <c r="B1094" t="s">
        <v>212</v>
      </c>
      <c r="C1094" t="s">
        <v>232</v>
      </c>
      <c r="D1094">
        <v>0.18</v>
      </c>
      <c r="E1094" t="s">
        <v>106</v>
      </c>
      <c r="F1094" t="s">
        <v>55</v>
      </c>
      <c r="G1094" t="s">
        <v>981</v>
      </c>
      <c r="H1094" t="s">
        <v>14</v>
      </c>
      <c r="I1094" s="26" t="s">
        <v>897</v>
      </c>
    </row>
    <row r="1095" spans="1:9" x14ac:dyDescent="0.3">
      <c r="A1095" s="24">
        <v>45358</v>
      </c>
      <c r="B1095" t="s">
        <v>212</v>
      </c>
      <c r="C1095" t="s">
        <v>232</v>
      </c>
      <c r="D1095">
        <v>0.18</v>
      </c>
      <c r="E1095" t="s">
        <v>234</v>
      </c>
      <c r="F1095" t="s">
        <v>31</v>
      </c>
      <c r="G1095" t="s">
        <v>982</v>
      </c>
      <c r="H1095" t="s">
        <v>14</v>
      </c>
      <c r="I1095" s="26" t="s">
        <v>897</v>
      </c>
    </row>
    <row r="1096" spans="1:9" x14ac:dyDescent="0.3">
      <c r="A1096" s="24">
        <v>45358</v>
      </c>
      <c r="B1096" t="s">
        <v>212</v>
      </c>
      <c r="C1096" t="s">
        <v>267</v>
      </c>
      <c r="D1096">
        <v>0.35</v>
      </c>
      <c r="E1096" t="s">
        <v>54</v>
      </c>
      <c r="F1096" t="s">
        <v>55</v>
      </c>
      <c r="G1096" t="s">
        <v>983</v>
      </c>
      <c r="H1096" t="s">
        <v>14</v>
      </c>
      <c r="I1096" s="26" t="s">
        <v>897</v>
      </c>
    </row>
    <row r="1097" spans="1:9" x14ac:dyDescent="0.3">
      <c r="A1097" s="24">
        <v>45358</v>
      </c>
      <c r="B1097" t="s">
        <v>212</v>
      </c>
      <c r="C1097" t="s">
        <v>235</v>
      </c>
      <c r="D1097">
        <v>0.97</v>
      </c>
      <c r="E1097" t="s">
        <v>54</v>
      </c>
      <c r="F1097" t="s">
        <v>55</v>
      </c>
      <c r="G1097" t="s">
        <v>984</v>
      </c>
      <c r="H1097" t="s">
        <v>14</v>
      </c>
      <c r="I1097" s="26" t="s">
        <v>897</v>
      </c>
    </row>
    <row r="1098" spans="1:9" x14ac:dyDescent="0.3">
      <c r="A1098" s="24">
        <v>45358</v>
      </c>
      <c r="B1098" t="s">
        <v>212</v>
      </c>
      <c r="C1098" t="s">
        <v>235</v>
      </c>
      <c r="D1098">
        <v>1.1299999999999999</v>
      </c>
      <c r="E1098" t="s">
        <v>54</v>
      </c>
      <c r="F1098" t="s">
        <v>55</v>
      </c>
      <c r="G1098" t="s">
        <v>985</v>
      </c>
      <c r="H1098" t="s">
        <v>14</v>
      </c>
      <c r="I1098" s="26" t="s">
        <v>897</v>
      </c>
    </row>
    <row r="1099" spans="1:9" x14ac:dyDescent="0.3">
      <c r="A1099" s="24">
        <v>45358</v>
      </c>
      <c r="B1099" t="s">
        <v>212</v>
      </c>
      <c r="C1099" t="s">
        <v>238</v>
      </c>
      <c r="D1099">
        <v>0.08</v>
      </c>
      <c r="E1099" t="s">
        <v>54</v>
      </c>
      <c r="F1099" t="s">
        <v>55</v>
      </c>
      <c r="G1099" t="s">
        <v>986</v>
      </c>
      <c r="H1099" t="s">
        <v>14</v>
      </c>
      <c r="I1099" s="26" t="s">
        <v>897</v>
      </c>
    </row>
    <row r="1100" spans="1:9" x14ac:dyDescent="0.3">
      <c r="A1100" s="24">
        <v>45358</v>
      </c>
      <c r="B1100" t="s">
        <v>240</v>
      </c>
      <c r="C1100" t="s">
        <v>29</v>
      </c>
      <c r="D1100">
        <v>2.42</v>
      </c>
      <c r="E1100" t="s">
        <v>217</v>
      </c>
      <c r="F1100" t="s">
        <v>31</v>
      </c>
      <c r="H1100" t="s">
        <v>14</v>
      </c>
      <c r="I1100" s="26" t="s">
        <v>897</v>
      </c>
    </row>
    <row r="1101" spans="1:9" x14ac:dyDescent="0.3">
      <c r="A1101" s="24">
        <v>45358</v>
      </c>
      <c r="B1101" t="s">
        <v>240</v>
      </c>
      <c r="C1101" t="s">
        <v>29</v>
      </c>
      <c r="D1101">
        <v>5.05</v>
      </c>
      <c r="E1101" t="s">
        <v>81</v>
      </c>
      <c r="F1101" t="s">
        <v>31</v>
      </c>
      <c r="H1101" t="s">
        <v>14</v>
      </c>
      <c r="I1101" s="26" t="s">
        <v>897</v>
      </c>
    </row>
    <row r="1102" spans="1:9" x14ac:dyDescent="0.3">
      <c r="A1102" s="24">
        <v>45358</v>
      </c>
      <c r="B1102" t="s">
        <v>240</v>
      </c>
      <c r="C1102" t="s">
        <v>53</v>
      </c>
      <c r="D1102">
        <v>7.0000000000000007E-2</v>
      </c>
      <c r="E1102" t="s">
        <v>54</v>
      </c>
      <c r="F1102" t="s">
        <v>55</v>
      </c>
      <c r="G1102" t="s">
        <v>987</v>
      </c>
      <c r="H1102" t="s">
        <v>14</v>
      </c>
      <c r="I1102" s="26" t="s">
        <v>897</v>
      </c>
    </row>
    <row r="1103" spans="1:9" x14ac:dyDescent="0.3">
      <c r="A1103" s="24">
        <v>45358</v>
      </c>
      <c r="B1103" t="s">
        <v>240</v>
      </c>
      <c r="C1103" t="s">
        <v>53</v>
      </c>
      <c r="D1103">
        <v>0.52</v>
      </c>
      <c r="E1103" t="s">
        <v>54</v>
      </c>
      <c r="F1103" t="s">
        <v>55</v>
      </c>
      <c r="G1103" t="s">
        <v>988</v>
      </c>
      <c r="H1103" t="s">
        <v>14</v>
      </c>
      <c r="I1103" s="26" t="s">
        <v>897</v>
      </c>
    </row>
    <row r="1104" spans="1:9" x14ac:dyDescent="0.3">
      <c r="A1104" s="24">
        <v>45358</v>
      </c>
      <c r="B1104" t="s">
        <v>245</v>
      </c>
      <c r="C1104" t="s">
        <v>29</v>
      </c>
      <c r="D1104">
        <v>0.5</v>
      </c>
      <c r="E1104" t="s">
        <v>91</v>
      </c>
      <c r="F1104" t="s">
        <v>31</v>
      </c>
      <c r="G1104" t="s">
        <v>989</v>
      </c>
      <c r="H1104" t="s">
        <v>14</v>
      </c>
      <c r="I1104" s="26" t="s">
        <v>897</v>
      </c>
    </row>
    <row r="1105" spans="1:9" x14ac:dyDescent="0.3">
      <c r="A1105" s="24">
        <v>45358</v>
      </c>
      <c r="B1105" t="s">
        <v>245</v>
      </c>
      <c r="C1105" t="s">
        <v>29</v>
      </c>
      <c r="D1105">
        <v>1.75</v>
      </c>
      <c r="E1105" t="s">
        <v>91</v>
      </c>
      <c r="F1105" t="s">
        <v>31</v>
      </c>
      <c r="G1105" t="s">
        <v>990</v>
      </c>
      <c r="H1105" t="s">
        <v>14</v>
      </c>
      <c r="I1105" s="26" t="s">
        <v>897</v>
      </c>
    </row>
    <row r="1106" spans="1:9" x14ac:dyDescent="0.3">
      <c r="A1106" s="24">
        <v>45358</v>
      </c>
      <c r="B1106" t="s">
        <v>249</v>
      </c>
      <c r="C1106" t="s">
        <v>252</v>
      </c>
      <c r="D1106">
        <v>1.5</v>
      </c>
      <c r="E1106" t="s">
        <v>54</v>
      </c>
      <c r="F1106" t="s">
        <v>55</v>
      </c>
      <c r="G1106" t="s">
        <v>991</v>
      </c>
      <c r="H1106" t="s">
        <v>14</v>
      </c>
      <c r="I1106" s="26" t="s">
        <v>897</v>
      </c>
    </row>
    <row r="1107" spans="1:9" x14ac:dyDescent="0.3">
      <c r="A1107" s="24">
        <v>45358</v>
      </c>
      <c r="B1107" t="s">
        <v>249</v>
      </c>
      <c r="C1107" t="s">
        <v>252</v>
      </c>
      <c r="D1107">
        <v>2</v>
      </c>
      <c r="E1107" t="s">
        <v>54</v>
      </c>
      <c r="F1107" t="s">
        <v>55</v>
      </c>
      <c r="H1107" t="s">
        <v>14</v>
      </c>
      <c r="I1107" s="26" t="s">
        <v>897</v>
      </c>
    </row>
    <row r="1108" spans="1:9" x14ac:dyDescent="0.3">
      <c r="A1108" s="24">
        <v>45358</v>
      </c>
      <c r="B1108" t="s">
        <v>249</v>
      </c>
      <c r="C1108" t="s">
        <v>252</v>
      </c>
      <c r="D1108">
        <v>4</v>
      </c>
      <c r="E1108" t="s">
        <v>81</v>
      </c>
      <c r="F1108" t="s">
        <v>31</v>
      </c>
      <c r="H1108" t="s">
        <v>14</v>
      </c>
      <c r="I1108" s="26" t="s">
        <v>897</v>
      </c>
    </row>
    <row r="1109" spans="1:9" x14ac:dyDescent="0.3">
      <c r="A1109" s="24">
        <v>45358</v>
      </c>
      <c r="B1109" t="s">
        <v>249</v>
      </c>
      <c r="C1109" t="s">
        <v>53</v>
      </c>
      <c r="D1109">
        <v>0.5</v>
      </c>
      <c r="E1109" t="s">
        <v>54</v>
      </c>
      <c r="F1109" t="s">
        <v>55</v>
      </c>
      <c r="G1109" t="s">
        <v>110</v>
      </c>
      <c r="H1109" t="s">
        <v>14</v>
      </c>
      <c r="I1109" s="26" t="s">
        <v>897</v>
      </c>
    </row>
    <row r="1110" spans="1:9" x14ac:dyDescent="0.3">
      <c r="A1110" s="24">
        <v>45358</v>
      </c>
      <c r="B1110" t="s">
        <v>256</v>
      </c>
      <c r="C1110" t="s">
        <v>73</v>
      </c>
      <c r="D1110">
        <v>8</v>
      </c>
      <c r="E1110" t="s">
        <v>54</v>
      </c>
      <c r="F1110" t="s">
        <v>55</v>
      </c>
      <c r="H1110" t="s">
        <v>14</v>
      </c>
      <c r="I1110" s="26" t="s">
        <v>897</v>
      </c>
    </row>
    <row r="1111" spans="1:9" x14ac:dyDescent="0.3">
      <c r="A1111" s="24">
        <v>45358</v>
      </c>
      <c r="B1111" t="s">
        <v>262</v>
      </c>
      <c r="C1111" t="s">
        <v>29</v>
      </c>
      <c r="D1111">
        <v>1.38</v>
      </c>
      <c r="E1111" t="s">
        <v>263</v>
      </c>
      <c r="F1111" t="s">
        <v>31</v>
      </c>
      <c r="G1111" t="s">
        <v>992</v>
      </c>
      <c r="H1111" t="s">
        <v>14</v>
      </c>
      <c r="I1111" s="26" t="s">
        <v>897</v>
      </c>
    </row>
    <row r="1112" spans="1:9" x14ac:dyDescent="0.3">
      <c r="A1112" s="24">
        <v>45358</v>
      </c>
      <c r="B1112" t="s">
        <v>262</v>
      </c>
      <c r="C1112" t="s">
        <v>29</v>
      </c>
      <c r="D1112">
        <v>6.15</v>
      </c>
      <c r="E1112" t="s">
        <v>263</v>
      </c>
      <c r="F1112" t="s">
        <v>31</v>
      </c>
      <c r="G1112" t="s">
        <v>993</v>
      </c>
      <c r="H1112" t="s">
        <v>14</v>
      </c>
      <c r="I1112" s="26" t="s">
        <v>897</v>
      </c>
    </row>
    <row r="1113" spans="1:9" x14ac:dyDescent="0.3">
      <c r="A1113" s="24">
        <v>45358</v>
      </c>
      <c r="B1113" t="s">
        <v>262</v>
      </c>
      <c r="C1113" t="s">
        <v>53</v>
      </c>
      <c r="D1113">
        <v>0.5</v>
      </c>
      <c r="E1113" t="s">
        <v>54</v>
      </c>
      <c r="F1113" t="s">
        <v>55</v>
      </c>
      <c r="G1113" t="s">
        <v>253</v>
      </c>
      <c r="H1113" t="s">
        <v>14</v>
      </c>
      <c r="I1113" s="26" t="s">
        <v>897</v>
      </c>
    </row>
    <row r="1114" spans="1:9" x14ac:dyDescent="0.3">
      <c r="A1114" s="24">
        <v>45358</v>
      </c>
      <c r="B1114" t="s">
        <v>266</v>
      </c>
      <c r="C1114" t="s">
        <v>267</v>
      </c>
      <c r="D1114">
        <v>9</v>
      </c>
      <c r="E1114" t="s">
        <v>54</v>
      </c>
      <c r="F1114" t="s">
        <v>55</v>
      </c>
      <c r="G1114" t="s">
        <v>994</v>
      </c>
      <c r="H1114" t="s">
        <v>14</v>
      </c>
      <c r="I1114" s="26" t="s">
        <v>897</v>
      </c>
    </row>
    <row r="1115" spans="1:9" x14ac:dyDescent="0.3">
      <c r="A1115" s="24">
        <v>45358</v>
      </c>
      <c r="B1115" t="s">
        <v>269</v>
      </c>
      <c r="C1115" t="s">
        <v>29</v>
      </c>
      <c r="D1115">
        <v>0.48</v>
      </c>
      <c r="E1115" t="s">
        <v>460</v>
      </c>
      <c r="F1115" t="s">
        <v>31</v>
      </c>
      <c r="G1115" t="s">
        <v>995</v>
      </c>
      <c r="H1115" t="s">
        <v>14</v>
      </c>
      <c r="I1115" s="26" t="s">
        <v>897</v>
      </c>
    </row>
    <row r="1116" spans="1:9" x14ac:dyDescent="0.3">
      <c r="A1116" s="24">
        <v>45358</v>
      </c>
      <c r="B1116" t="s">
        <v>269</v>
      </c>
      <c r="C1116" t="s">
        <v>29</v>
      </c>
      <c r="D1116">
        <v>0.63</v>
      </c>
      <c r="E1116" t="s">
        <v>116</v>
      </c>
      <c r="F1116" t="s">
        <v>31</v>
      </c>
      <c r="G1116" t="s">
        <v>996</v>
      </c>
      <c r="H1116" t="s">
        <v>14</v>
      </c>
      <c r="I1116" s="26" t="s">
        <v>897</v>
      </c>
    </row>
    <row r="1117" spans="1:9" x14ac:dyDescent="0.3">
      <c r="A1117" s="24">
        <v>45358</v>
      </c>
      <c r="B1117" t="s">
        <v>269</v>
      </c>
      <c r="C1117" t="s">
        <v>29</v>
      </c>
      <c r="D1117">
        <v>5.52</v>
      </c>
      <c r="E1117" t="s">
        <v>271</v>
      </c>
      <c r="F1117" t="s">
        <v>31</v>
      </c>
      <c r="G1117" t="s">
        <v>997</v>
      </c>
      <c r="H1117" t="s">
        <v>14</v>
      </c>
      <c r="I1117" s="26" t="s">
        <v>897</v>
      </c>
    </row>
    <row r="1118" spans="1:9" x14ac:dyDescent="0.3">
      <c r="A1118" s="24">
        <v>45358</v>
      </c>
      <c r="B1118" t="s">
        <v>269</v>
      </c>
      <c r="C1118" t="s">
        <v>85</v>
      </c>
      <c r="D1118">
        <v>0.55000000000000004</v>
      </c>
      <c r="E1118" t="s">
        <v>42</v>
      </c>
      <c r="F1118" t="s">
        <v>31</v>
      </c>
      <c r="G1118" t="s">
        <v>998</v>
      </c>
      <c r="H1118" t="s">
        <v>14</v>
      </c>
      <c r="I1118" s="26" t="s">
        <v>897</v>
      </c>
    </row>
    <row r="1119" spans="1:9" x14ac:dyDescent="0.3">
      <c r="A1119" s="24">
        <v>45358</v>
      </c>
      <c r="B1119" t="s">
        <v>269</v>
      </c>
      <c r="C1119" t="s">
        <v>53</v>
      </c>
      <c r="D1119">
        <v>0.72</v>
      </c>
      <c r="E1119" t="s">
        <v>54</v>
      </c>
      <c r="F1119" t="s">
        <v>55</v>
      </c>
      <c r="G1119" t="s">
        <v>83</v>
      </c>
      <c r="H1119" t="s">
        <v>14</v>
      </c>
      <c r="I1119" s="26" t="s">
        <v>897</v>
      </c>
    </row>
    <row r="1120" spans="1:9" x14ac:dyDescent="0.3">
      <c r="A1120" s="24">
        <v>45358</v>
      </c>
      <c r="B1120" t="s">
        <v>269</v>
      </c>
      <c r="C1120" t="s">
        <v>60</v>
      </c>
      <c r="D1120">
        <v>0.17</v>
      </c>
      <c r="E1120" t="s">
        <v>203</v>
      </c>
      <c r="F1120" t="s">
        <v>31</v>
      </c>
      <c r="G1120" t="s">
        <v>999</v>
      </c>
      <c r="H1120" t="s">
        <v>14</v>
      </c>
      <c r="I1120" s="26" t="s">
        <v>897</v>
      </c>
    </row>
    <row r="1121" spans="1:9" x14ac:dyDescent="0.3">
      <c r="A1121" s="24">
        <v>45358</v>
      </c>
      <c r="B1121" t="s">
        <v>278</v>
      </c>
      <c r="C1121" t="s">
        <v>279</v>
      </c>
      <c r="D1121">
        <v>7.0000000000000007E-2</v>
      </c>
      <c r="E1121" t="s">
        <v>54</v>
      </c>
      <c r="F1121" t="s">
        <v>55</v>
      </c>
      <c r="G1121" t="s">
        <v>1000</v>
      </c>
      <c r="H1121" t="s">
        <v>14</v>
      </c>
      <c r="I1121" s="26" t="s">
        <v>897</v>
      </c>
    </row>
    <row r="1122" spans="1:9" x14ac:dyDescent="0.3">
      <c r="A1122" s="24">
        <v>45358</v>
      </c>
      <c r="B1122" t="s">
        <v>278</v>
      </c>
      <c r="C1122" t="s">
        <v>279</v>
      </c>
      <c r="D1122">
        <v>0.15</v>
      </c>
      <c r="E1122" t="s">
        <v>54</v>
      </c>
      <c r="F1122" t="s">
        <v>55</v>
      </c>
      <c r="G1122" t="s">
        <v>1001</v>
      </c>
      <c r="H1122" t="s">
        <v>14</v>
      </c>
      <c r="I1122" s="26" t="s">
        <v>897</v>
      </c>
    </row>
    <row r="1123" spans="1:9" x14ac:dyDescent="0.3">
      <c r="A1123" s="24">
        <v>45358</v>
      </c>
      <c r="B1123" t="s">
        <v>278</v>
      </c>
      <c r="C1123" t="s">
        <v>279</v>
      </c>
      <c r="D1123">
        <v>0.18</v>
      </c>
      <c r="E1123" t="s">
        <v>254</v>
      </c>
      <c r="F1123" t="s">
        <v>55</v>
      </c>
      <c r="G1123" t="s">
        <v>1002</v>
      </c>
      <c r="H1123" t="s">
        <v>14</v>
      </c>
      <c r="I1123" s="26" t="s">
        <v>897</v>
      </c>
    </row>
    <row r="1124" spans="1:9" x14ac:dyDescent="0.3">
      <c r="A1124" s="24">
        <v>45358</v>
      </c>
      <c r="B1124" t="s">
        <v>278</v>
      </c>
      <c r="C1124" t="s">
        <v>279</v>
      </c>
      <c r="D1124">
        <v>0.18</v>
      </c>
      <c r="E1124" t="s">
        <v>54</v>
      </c>
      <c r="F1124" t="s">
        <v>55</v>
      </c>
      <c r="G1124" t="s">
        <v>1003</v>
      </c>
      <c r="H1124" t="s">
        <v>14</v>
      </c>
      <c r="I1124" s="26" t="s">
        <v>897</v>
      </c>
    </row>
    <row r="1125" spans="1:9" x14ac:dyDescent="0.3">
      <c r="A1125" s="24">
        <v>45358</v>
      </c>
      <c r="B1125" t="s">
        <v>278</v>
      </c>
      <c r="C1125" t="s">
        <v>279</v>
      </c>
      <c r="D1125">
        <v>0.5</v>
      </c>
      <c r="E1125" t="s">
        <v>54</v>
      </c>
      <c r="F1125" t="s">
        <v>55</v>
      </c>
      <c r="G1125" t="s">
        <v>1004</v>
      </c>
      <c r="H1125" t="s">
        <v>14</v>
      </c>
      <c r="I1125" s="26" t="s">
        <v>897</v>
      </c>
    </row>
    <row r="1126" spans="1:9" x14ac:dyDescent="0.3">
      <c r="A1126" s="24">
        <v>45358</v>
      </c>
      <c r="B1126" t="s">
        <v>278</v>
      </c>
      <c r="C1126" t="s">
        <v>29</v>
      </c>
      <c r="D1126">
        <v>0.15</v>
      </c>
      <c r="E1126" t="s">
        <v>54</v>
      </c>
      <c r="F1126" t="s">
        <v>55</v>
      </c>
      <c r="G1126" t="s">
        <v>1005</v>
      </c>
      <c r="H1126" t="s">
        <v>14</v>
      </c>
      <c r="I1126" s="26" t="s">
        <v>897</v>
      </c>
    </row>
    <row r="1127" spans="1:9" x14ac:dyDescent="0.3">
      <c r="A1127" s="24">
        <v>45358</v>
      </c>
      <c r="B1127" t="s">
        <v>278</v>
      </c>
      <c r="C1127" t="s">
        <v>29</v>
      </c>
      <c r="D1127">
        <v>0.27</v>
      </c>
      <c r="E1127" t="s">
        <v>54</v>
      </c>
      <c r="F1127" t="s">
        <v>55</v>
      </c>
      <c r="G1127" t="s">
        <v>1006</v>
      </c>
      <c r="H1127" t="s">
        <v>14</v>
      </c>
      <c r="I1127" s="26" t="s">
        <v>897</v>
      </c>
    </row>
    <row r="1128" spans="1:9" x14ac:dyDescent="0.3">
      <c r="A1128" s="24">
        <v>45358</v>
      </c>
      <c r="B1128" t="s">
        <v>278</v>
      </c>
      <c r="C1128" t="s">
        <v>29</v>
      </c>
      <c r="D1128">
        <v>0.63</v>
      </c>
      <c r="E1128" t="s">
        <v>54</v>
      </c>
      <c r="F1128" t="s">
        <v>55</v>
      </c>
      <c r="G1128" t="s">
        <v>1007</v>
      </c>
      <c r="H1128" t="s">
        <v>14</v>
      </c>
      <c r="I1128" s="26" t="s">
        <v>897</v>
      </c>
    </row>
    <row r="1129" spans="1:9" x14ac:dyDescent="0.3">
      <c r="A1129" s="24">
        <v>45358</v>
      </c>
      <c r="B1129" t="s">
        <v>278</v>
      </c>
      <c r="C1129" t="s">
        <v>1008</v>
      </c>
      <c r="D1129">
        <v>0.52</v>
      </c>
      <c r="E1129" t="s">
        <v>54</v>
      </c>
      <c r="F1129" t="s">
        <v>55</v>
      </c>
      <c r="G1129" t="s">
        <v>1009</v>
      </c>
      <c r="H1129" t="s">
        <v>14</v>
      </c>
      <c r="I1129" s="26" t="s">
        <v>897</v>
      </c>
    </row>
    <row r="1130" spans="1:9" x14ac:dyDescent="0.3">
      <c r="A1130" s="24">
        <v>45358</v>
      </c>
      <c r="B1130" t="s">
        <v>278</v>
      </c>
      <c r="C1130" t="s">
        <v>1008</v>
      </c>
      <c r="D1130">
        <v>0.62</v>
      </c>
      <c r="E1130" t="s">
        <v>254</v>
      </c>
      <c r="F1130" t="s">
        <v>55</v>
      </c>
      <c r="G1130" t="s">
        <v>1010</v>
      </c>
      <c r="H1130" t="s">
        <v>14</v>
      </c>
      <c r="I1130" s="26" t="s">
        <v>897</v>
      </c>
    </row>
    <row r="1131" spans="1:9" x14ac:dyDescent="0.3">
      <c r="A1131" s="24">
        <v>45358</v>
      </c>
      <c r="B1131" t="s">
        <v>278</v>
      </c>
      <c r="C1131" t="s">
        <v>1008</v>
      </c>
      <c r="D1131">
        <v>0.73</v>
      </c>
      <c r="E1131" t="s">
        <v>1011</v>
      </c>
      <c r="F1131" t="s">
        <v>55</v>
      </c>
      <c r="G1131" t="s">
        <v>1012</v>
      </c>
      <c r="H1131" t="s">
        <v>14</v>
      </c>
      <c r="I1131" s="26" t="s">
        <v>897</v>
      </c>
    </row>
    <row r="1132" spans="1:9" x14ac:dyDescent="0.3">
      <c r="A1132" s="24">
        <v>45358</v>
      </c>
      <c r="B1132" t="s">
        <v>278</v>
      </c>
      <c r="C1132" t="s">
        <v>53</v>
      </c>
      <c r="D1132">
        <v>0.62</v>
      </c>
      <c r="E1132" t="s">
        <v>254</v>
      </c>
      <c r="F1132" t="s">
        <v>55</v>
      </c>
      <c r="G1132" t="s">
        <v>1013</v>
      </c>
      <c r="H1132" t="s">
        <v>14</v>
      </c>
      <c r="I1132" s="26" t="s">
        <v>897</v>
      </c>
    </row>
    <row r="1133" spans="1:9" x14ac:dyDescent="0.3">
      <c r="A1133" s="24">
        <v>45358</v>
      </c>
      <c r="B1133" t="s">
        <v>278</v>
      </c>
      <c r="C1133" t="s">
        <v>53</v>
      </c>
      <c r="D1133">
        <v>1.43</v>
      </c>
      <c r="E1133" t="s">
        <v>254</v>
      </c>
      <c r="F1133" t="s">
        <v>55</v>
      </c>
      <c r="G1133" t="s">
        <v>1014</v>
      </c>
      <c r="H1133" t="s">
        <v>14</v>
      </c>
      <c r="I1133" s="26" t="s">
        <v>897</v>
      </c>
    </row>
    <row r="1134" spans="1:9" x14ac:dyDescent="0.3">
      <c r="A1134" s="24">
        <v>45358</v>
      </c>
      <c r="B1134" t="s">
        <v>278</v>
      </c>
      <c r="C1134" t="s">
        <v>159</v>
      </c>
      <c r="D1134">
        <v>1.95</v>
      </c>
      <c r="E1134" t="s">
        <v>54</v>
      </c>
      <c r="F1134" t="s">
        <v>55</v>
      </c>
      <c r="G1134" t="s">
        <v>1015</v>
      </c>
      <c r="H1134" t="s">
        <v>14</v>
      </c>
      <c r="I1134" s="26" t="s">
        <v>897</v>
      </c>
    </row>
    <row r="1135" spans="1:9" x14ac:dyDescent="0.3">
      <c r="A1135" s="24">
        <v>45358</v>
      </c>
      <c r="B1135" t="s">
        <v>278</v>
      </c>
      <c r="C1135" t="s">
        <v>60</v>
      </c>
      <c r="D1135">
        <v>0.18</v>
      </c>
      <c r="E1135" t="s">
        <v>254</v>
      </c>
      <c r="F1135" t="s">
        <v>55</v>
      </c>
      <c r="G1135" t="s">
        <v>1016</v>
      </c>
      <c r="H1135" t="s">
        <v>14</v>
      </c>
      <c r="I1135" s="26" t="s">
        <v>897</v>
      </c>
    </row>
    <row r="1136" spans="1:9" x14ac:dyDescent="0.3">
      <c r="A1136" s="24">
        <v>45358</v>
      </c>
      <c r="B1136" t="s">
        <v>278</v>
      </c>
      <c r="C1136" t="s">
        <v>60</v>
      </c>
      <c r="D1136">
        <v>0.62</v>
      </c>
      <c r="E1136" t="s">
        <v>254</v>
      </c>
      <c r="F1136" t="s">
        <v>55</v>
      </c>
      <c r="G1136" t="s">
        <v>1017</v>
      </c>
      <c r="H1136" t="s">
        <v>14</v>
      </c>
      <c r="I1136" s="26" t="s">
        <v>897</v>
      </c>
    </row>
    <row r="1137" spans="1:9" x14ac:dyDescent="0.3">
      <c r="A1137" s="24">
        <v>45358</v>
      </c>
      <c r="B1137" t="s">
        <v>286</v>
      </c>
      <c r="C1137" t="s">
        <v>287</v>
      </c>
      <c r="D1137">
        <v>10</v>
      </c>
      <c r="E1137" t="s">
        <v>54</v>
      </c>
      <c r="F1137" t="s">
        <v>55</v>
      </c>
      <c r="G1137" t="s">
        <v>1018</v>
      </c>
      <c r="H1137" t="s">
        <v>14</v>
      </c>
      <c r="I1137" s="26" t="s">
        <v>897</v>
      </c>
    </row>
    <row r="1138" spans="1:9" x14ac:dyDescent="0.3">
      <c r="A1138" s="24">
        <v>45358</v>
      </c>
      <c r="B1138" t="s">
        <v>289</v>
      </c>
      <c r="C1138" t="s">
        <v>29</v>
      </c>
      <c r="D1138">
        <v>0.5</v>
      </c>
      <c r="E1138" t="s">
        <v>291</v>
      </c>
      <c r="F1138" t="s">
        <v>31</v>
      </c>
      <c r="G1138" t="s">
        <v>1019</v>
      </c>
      <c r="H1138" t="s">
        <v>14</v>
      </c>
      <c r="I1138" s="26" t="s">
        <v>897</v>
      </c>
    </row>
    <row r="1139" spans="1:9" x14ac:dyDescent="0.3">
      <c r="A1139" s="24">
        <v>45358</v>
      </c>
      <c r="B1139" t="s">
        <v>289</v>
      </c>
      <c r="C1139" t="s">
        <v>29</v>
      </c>
      <c r="D1139">
        <v>0.5</v>
      </c>
      <c r="E1139" t="s">
        <v>291</v>
      </c>
      <c r="F1139" t="s">
        <v>31</v>
      </c>
      <c r="G1139" t="s">
        <v>1020</v>
      </c>
      <c r="H1139" t="s">
        <v>14</v>
      </c>
      <c r="I1139" s="26" t="s">
        <v>897</v>
      </c>
    </row>
    <row r="1140" spans="1:9" x14ac:dyDescent="0.3">
      <c r="A1140" s="24">
        <v>45358</v>
      </c>
      <c r="B1140" t="s">
        <v>289</v>
      </c>
      <c r="C1140" t="s">
        <v>29</v>
      </c>
      <c r="D1140">
        <v>0.5</v>
      </c>
      <c r="E1140" t="s">
        <v>226</v>
      </c>
      <c r="F1140" t="s">
        <v>31</v>
      </c>
      <c r="H1140" t="s">
        <v>14</v>
      </c>
      <c r="I1140" s="26" t="s">
        <v>897</v>
      </c>
    </row>
    <row r="1141" spans="1:9" x14ac:dyDescent="0.3">
      <c r="A1141" s="24">
        <v>45358</v>
      </c>
      <c r="B1141" t="s">
        <v>289</v>
      </c>
      <c r="C1141" t="s">
        <v>29</v>
      </c>
      <c r="D1141">
        <v>0.75</v>
      </c>
      <c r="E1141" t="s">
        <v>290</v>
      </c>
      <c r="F1141" t="s">
        <v>31</v>
      </c>
      <c r="H1141" t="s">
        <v>14</v>
      </c>
      <c r="I1141" s="26" t="s">
        <v>897</v>
      </c>
    </row>
    <row r="1142" spans="1:9" x14ac:dyDescent="0.3">
      <c r="A1142" s="24">
        <v>45358</v>
      </c>
      <c r="B1142" t="s">
        <v>289</v>
      </c>
      <c r="C1142" t="s">
        <v>29</v>
      </c>
      <c r="D1142">
        <v>1.5</v>
      </c>
      <c r="E1142" t="s">
        <v>49</v>
      </c>
      <c r="F1142" t="s">
        <v>31</v>
      </c>
      <c r="H1142" t="s">
        <v>14</v>
      </c>
      <c r="I1142" s="26" t="s">
        <v>897</v>
      </c>
    </row>
    <row r="1143" spans="1:9" x14ac:dyDescent="0.3">
      <c r="A1143" s="24">
        <v>45358</v>
      </c>
      <c r="B1143" t="s">
        <v>289</v>
      </c>
      <c r="C1143" t="s">
        <v>60</v>
      </c>
      <c r="D1143">
        <v>0.5</v>
      </c>
      <c r="E1143" t="s">
        <v>291</v>
      </c>
      <c r="F1143" t="s">
        <v>31</v>
      </c>
      <c r="H1143" t="s">
        <v>14</v>
      </c>
      <c r="I1143" s="26" t="s">
        <v>897</v>
      </c>
    </row>
    <row r="1144" spans="1:9" x14ac:dyDescent="0.3">
      <c r="A1144" s="24">
        <v>45358</v>
      </c>
      <c r="B1144" t="s">
        <v>289</v>
      </c>
      <c r="C1144" t="s">
        <v>60</v>
      </c>
      <c r="D1144">
        <v>1.25</v>
      </c>
      <c r="E1144" t="s">
        <v>1021</v>
      </c>
      <c r="F1144" t="s">
        <v>31</v>
      </c>
      <c r="H1144" t="s">
        <v>14</v>
      </c>
      <c r="I1144" s="26" t="s">
        <v>897</v>
      </c>
    </row>
    <row r="1145" spans="1:9" x14ac:dyDescent="0.3">
      <c r="A1145" s="24">
        <v>45358</v>
      </c>
      <c r="B1145" t="s">
        <v>294</v>
      </c>
      <c r="C1145" t="s">
        <v>202</v>
      </c>
      <c r="D1145">
        <v>0.12</v>
      </c>
      <c r="E1145" t="s">
        <v>1022</v>
      </c>
      <c r="F1145" t="s">
        <v>55</v>
      </c>
      <c r="G1145" t="s">
        <v>1023</v>
      </c>
      <c r="H1145" t="s">
        <v>14</v>
      </c>
      <c r="I1145" s="26" t="s">
        <v>897</v>
      </c>
    </row>
    <row r="1146" spans="1:9" x14ac:dyDescent="0.3">
      <c r="A1146" s="24">
        <v>45358</v>
      </c>
      <c r="B1146" t="s">
        <v>294</v>
      </c>
      <c r="C1146" t="s">
        <v>202</v>
      </c>
      <c r="D1146">
        <v>0.25</v>
      </c>
      <c r="E1146" t="s">
        <v>295</v>
      </c>
      <c r="F1146" t="s">
        <v>55</v>
      </c>
      <c r="G1146" t="s">
        <v>1024</v>
      </c>
      <c r="H1146" t="s">
        <v>14</v>
      </c>
      <c r="I1146" s="26" t="s">
        <v>897</v>
      </c>
    </row>
    <row r="1147" spans="1:9" x14ac:dyDescent="0.3">
      <c r="A1147" s="24">
        <v>45358</v>
      </c>
      <c r="B1147" t="s">
        <v>294</v>
      </c>
      <c r="C1147" t="s">
        <v>202</v>
      </c>
      <c r="D1147">
        <v>0.38</v>
      </c>
      <c r="E1147" t="s">
        <v>1022</v>
      </c>
      <c r="F1147" t="s">
        <v>31</v>
      </c>
      <c r="G1147" t="s">
        <v>1025</v>
      </c>
      <c r="H1147" t="s">
        <v>14</v>
      </c>
      <c r="I1147" s="26" t="s">
        <v>897</v>
      </c>
    </row>
    <row r="1148" spans="1:9" x14ac:dyDescent="0.3">
      <c r="A1148" s="24">
        <v>45358</v>
      </c>
      <c r="B1148" t="s">
        <v>294</v>
      </c>
      <c r="C1148" t="s">
        <v>202</v>
      </c>
      <c r="D1148">
        <v>0.68</v>
      </c>
      <c r="E1148" t="s">
        <v>30</v>
      </c>
      <c r="F1148" t="s">
        <v>55</v>
      </c>
      <c r="G1148" t="s">
        <v>297</v>
      </c>
      <c r="H1148" t="s">
        <v>14</v>
      </c>
      <c r="I1148" s="26" t="s">
        <v>897</v>
      </c>
    </row>
    <row r="1149" spans="1:9" x14ac:dyDescent="0.3">
      <c r="A1149" s="24">
        <v>45358</v>
      </c>
      <c r="B1149" t="s">
        <v>294</v>
      </c>
      <c r="C1149" t="s">
        <v>202</v>
      </c>
      <c r="D1149">
        <v>1.9</v>
      </c>
      <c r="E1149" t="s">
        <v>30</v>
      </c>
      <c r="F1149" t="s">
        <v>31</v>
      </c>
      <c r="G1149" t="s">
        <v>1026</v>
      </c>
      <c r="H1149" t="s">
        <v>14</v>
      </c>
      <c r="I1149" s="26" t="s">
        <v>897</v>
      </c>
    </row>
    <row r="1150" spans="1:9" x14ac:dyDescent="0.3">
      <c r="A1150" s="24">
        <v>45358</v>
      </c>
      <c r="B1150" t="s">
        <v>294</v>
      </c>
      <c r="C1150" t="s">
        <v>85</v>
      </c>
      <c r="D1150">
        <v>0.55000000000000004</v>
      </c>
      <c r="E1150" t="s">
        <v>30</v>
      </c>
      <c r="F1150" t="s">
        <v>31</v>
      </c>
      <c r="G1150" t="s">
        <v>1027</v>
      </c>
      <c r="H1150" t="s">
        <v>14</v>
      </c>
      <c r="I1150" s="26" t="s">
        <v>897</v>
      </c>
    </row>
    <row r="1151" spans="1:9" x14ac:dyDescent="0.3">
      <c r="A1151" s="24">
        <v>45358</v>
      </c>
      <c r="B1151" t="s">
        <v>294</v>
      </c>
      <c r="C1151" t="s">
        <v>85</v>
      </c>
      <c r="D1151">
        <v>0.83</v>
      </c>
      <c r="E1151" t="s">
        <v>445</v>
      </c>
      <c r="F1151" t="s">
        <v>31</v>
      </c>
      <c r="G1151" t="s">
        <v>700</v>
      </c>
      <c r="H1151" t="s">
        <v>14</v>
      </c>
      <c r="I1151" s="26" t="s">
        <v>897</v>
      </c>
    </row>
    <row r="1152" spans="1:9" x14ac:dyDescent="0.3">
      <c r="A1152" s="24">
        <v>45358</v>
      </c>
      <c r="B1152" t="s">
        <v>294</v>
      </c>
      <c r="C1152" t="s">
        <v>85</v>
      </c>
      <c r="D1152">
        <v>1.25</v>
      </c>
      <c r="E1152" t="s">
        <v>1022</v>
      </c>
      <c r="F1152" t="s">
        <v>31</v>
      </c>
      <c r="G1152" t="s">
        <v>1028</v>
      </c>
      <c r="H1152" t="s">
        <v>14</v>
      </c>
      <c r="I1152" s="26" t="s">
        <v>897</v>
      </c>
    </row>
    <row r="1153" spans="1:9" x14ac:dyDescent="0.3">
      <c r="A1153" s="24">
        <v>45358</v>
      </c>
      <c r="B1153" t="s">
        <v>294</v>
      </c>
      <c r="C1153" t="s">
        <v>53</v>
      </c>
      <c r="D1153">
        <v>1.45</v>
      </c>
      <c r="E1153" t="s">
        <v>54</v>
      </c>
      <c r="F1153" t="s">
        <v>55</v>
      </c>
      <c r="G1153" t="s">
        <v>1029</v>
      </c>
      <c r="H1153" t="s">
        <v>14</v>
      </c>
      <c r="I1153" s="26" t="s">
        <v>897</v>
      </c>
    </row>
    <row r="1154" spans="1:9" x14ac:dyDescent="0.3">
      <c r="A1154" s="24">
        <v>45358</v>
      </c>
      <c r="B1154" t="s">
        <v>301</v>
      </c>
      <c r="C1154" t="s">
        <v>29</v>
      </c>
      <c r="D1154">
        <v>0.18</v>
      </c>
      <c r="E1154" t="s">
        <v>304</v>
      </c>
      <c r="F1154" t="s">
        <v>31</v>
      </c>
      <c r="G1154" t="s">
        <v>1030</v>
      </c>
      <c r="H1154" t="s">
        <v>14</v>
      </c>
      <c r="I1154" s="26" t="s">
        <v>897</v>
      </c>
    </row>
    <row r="1155" spans="1:9" x14ac:dyDescent="0.3">
      <c r="A1155" s="24">
        <v>45358</v>
      </c>
      <c r="B1155" t="s">
        <v>301</v>
      </c>
      <c r="C1155" t="s">
        <v>29</v>
      </c>
      <c r="D1155">
        <v>0.85</v>
      </c>
      <c r="E1155" t="s">
        <v>156</v>
      </c>
      <c r="F1155" t="s">
        <v>31</v>
      </c>
      <c r="H1155" t="s">
        <v>14</v>
      </c>
      <c r="I1155" s="26" t="s">
        <v>897</v>
      </c>
    </row>
    <row r="1156" spans="1:9" x14ac:dyDescent="0.3">
      <c r="A1156" s="24">
        <v>45358</v>
      </c>
      <c r="B1156" t="s">
        <v>301</v>
      </c>
      <c r="C1156" t="s">
        <v>29</v>
      </c>
      <c r="D1156">
        <v>1.45</v>
      </c>
      <c r="E1156" t="s">
        <v>156</v>
      </c>
      <c r="F1156" t="s">
        <v>31</v>
      </c>
      <c r="G1156" t="s">
        <v>303</v>
      </c>
      <c r="H1156" t="s">
        <v>14</v>
      </c>
      <c r="I1156" s="26" t="s">
        <v>897</v>
      </c>
    </row>
    <row r="1157" spans="1:9" x14ac:dyDescent="0.3">
      <c r="A1157" s="24">
        <v>45358</v>
      </c>
      <c r="B1157" t="s">
        <v>301</v>
      </c>
      <c r="C1157" t="s">
        <v>29</v>
      </c>
      <c r="D1157">
        <v>2.5</v>
      </c>
      <c r="E1157" t="s">
        <v>304</v>
      </c>
      <c r="F1157" t="s">
        <v>31</v>
      </c>
      <c r="G1157" t="s">
        <v>1031</v>
      </c>
      <c r="H1157" t="s">
        <v>14</v>
      </c>
      <c r="I1157" s="26" t="s">
        <v>897</v>
      </c>
    </row>
    <row r="1158" spans="1:9" x14ac:dyDescent="0.3">
      <c r="A1158" s="24">
        <v>45358</v>
      </c>
      <c r="B1158" t="s">
        <v>301</v>
      </c>
      <c r="C1158" t="s">
        <v>29</v>
      </c>
      <c r="D1158">
        <v>2.73</v>
      </c>
      <c r="E1158" t="s">
        <v>304</v>
      </c>
      <c r="F1158" t="s">
        <v>31</v>
      </c>
      <c r="G1158" t="s">
        <v>1032</v>
      </c>
      <c r="H1158" t="s">
        <v>14</v>
      </c>
      <c r="I1158" s="26" t="s">
        <v>897</v>
      </c>
    </row>
    <row r="1159" spans="1:9" x14ac:dyDescent="0.3">
      <c r="A1159" s="24">
        <v>45358</v>
      </c>
      <c r="B1159" t="s">
        <v>301</v>
      </c>
      <c r="C1159" t="s">
        <v>53</v>
      </c>
      <c r="D1159">
        <v>0.28000000000000003</v>
      </c>
      <c r="E1159" t="s">
        <v>54</v>
      </c>
      <c r="F1159" t="s">
        <v>55</v>
      </c>
      <c r="G1159" t="s">
        <v>1033</v>
      </c>
      <c r="H1159" t="s">
        <v>14</v>
      </c>
      <c r="I1159" s="26" t="s">
        <v>897</v>
      </c>
    </row>
    <row r="1160" spans="1:9" x14ac:dyDescent="0.3">
      <c r="A1160" s="24">
        <v>45358</v>
      </c>
      <c r="B1160" t="s">
        <v>313</v>
      </c>
      <c r="C1160" t="s">
        <v>53</v>
      </c>
      <c r="D1160">
        <v>0.13</v>
      </c>
      <c r="E1160" t="s">
        <v>54</v>
      </c>
      <c r="F1160" t="s">
        <v>55</v>
      </c>
      <c r="G1160" t="s">
        <v>316</v>
      </c>
      <c r="H1160" t="s">
        <v>14</v>
      </c>
      <c r="I1160" s="26" t="s">
        <v>897</v>
      </c>
    </row>
    <row r="1161" spans="1:9" x14ac:dyDescent="0.3">
      <c r="A1161" s="24">
        <v>45358</v>
      </c>
      <c r="B1161" t="s">
        <v>313</v>
      </c>
      <c r="C1161" t="s">
        <v>159</v>
      </c>
      <c r="D1161">
        <v>6.65</v>
      </c>
      <c r="E1161" t="s">
        <v>170</v>
      </c>
      <c r="F1161" t="s">
        <v>31</v>
      </c>
      <c r="H1161" t="s">
        <v>14</v>
      </c>
      <c r="I1161" s="26" t="s">
        <v>897</v>
      </c>
    </row>
    <row r="1162" spans="1:9" x14ac:dyDescent="0.3">
      <c r="A1162" s="24">
        <v>45358</v>
      </c>
      <c r="B1162" t="s">
        <v>313</v>
      </c>
      <c r="C1162" t="s">
        <v>60</v>
      </c>
      <c r="D1162">
        <v>3.43</v>
      </c>
      <c r="E1162" t="s">
        <v>170</v>
      </c>
      <c r="F1162" t="s">
        <v>31</v>
      </c>
      <c r="H1162" t="s">
        <v>14</v>
      </c>
      <c r="I1162" s="26" t="s">
        <v>897</v>
      </c>
    </row>
    <row r="1163" spans="1:9" x14ac:dyDescent="0.3">
      <c r="A1163" s="24">
        <v>45358</v>
      </c>
      <c r="B1163" t="s">
        <v>318</v>
      </c>
      <c r="C1163" t="s">
        <v>53</v>
      </c>
      <c r="D1163">
        <v>3.47</v>
      </c>
      <c r="E1163" t="s">
        <v>54</v>
      </c>
      <c r="F1163" t="s">
        <v>55</v>
      </c>
      <c r="G1163" t="s">
        <v>1034</v>
      </c>
      <c r="H1163" t="s">
        <v>14</v>
      </c>
      <c r="I1163" s="26" t="s">
        <v>897</v>
      </c>
    </row>
    <row r="1164" spans="1:9" x14ac:dyDescent="0.3">
      <c r="A1164" s="24">
        <v>45358</v>
      </c>
      <c r="B1164" t="s">
        <v>318</v>
      </c>
      <c r="C1164" t="s">
        <v>58</v>
      </c>
      <c r="D1164">
        <v>6.28</v>
      </c>
      <c r="E1164" t="s">
        <v>54</v>
      </c>
      <c r="F1164" t="s">
        <v>55</v>
      </c>
      <c r="G1164" t="s">
        <v>1035</v>
      </c>
      <c r="H1164" t="s">
        <v>14</v>
      </c>
      <c r="I1164" s="26" t="s">
        <v>897</v>
      </c>
    </row>
    <row r="1165" spans="1:9" x14ac:dyDescent="0.3">
      <c r="A1165" s="24">
        <v>45358</v>
      </c>
      <c r="B1165" t="s">
        <v>324</v>
      </c>
      <c r="C1165" t="s">
        <v>29</v>
      </c>
      <c r="D1165">
        <v>8.6</v>
      </c>
      <c r="E1165" t="s">
        <v>81</v>
      </c>
      <c r="F1165" t="s">
        <v>31</v>
      </c>
      <c r="H1165" t="s">
        <v>14</v>
      </c>
      <c r="I1165" s="26" t="s">
        <v>897</v>
      </c>
    </row>
    <row r="1166" spans="1:9" x14ac:dyDescent="0.3">
      <c r="A1166" s="24">
        <v>45358</v>
      </c>
      <c r="B1166" t="s">
        <v>328</v>
      </c>
      <c r="C1166" t="s">
        <v>29</v>
      </c>
      <c r="D1166">
        <v>1.75</v>
      </c>
      <c r="E1166" t="s">
        <v>135</v>
      </c>
      <c r="F1166" t="s">
        <v>31</v>
      </c>
      <c r="G1166" t="s">
        <v>1036</v>
      </c>
      <c r="H1166" t="s">
        <v>14</v>
      </c>
      <c r="I1166" s="26" t="s">
        <v>897</v>
      </c>
    </row>
    <row r="1167" spans="1:9" x14ac:dyDescent="0.3">
      <c r="A1167" s="24">
        <v>45358</v>
      </c>
      <c r="B1167" t="s">
        <v>328</v>
      </c>
      <c r="C1167" t="s">
        <v>53</v>
      </c>
      <c r="D1167">
        <v>0.5</v>
      </c>
      <c r="E1167" t="s">
        <v>54</v>
      </c>
      <c r="F1167" t="s">
        <v>55</v>
      </c>
      <c r="G1167" t="s">
        <v>253</v>
      </c>
      <c r="H1167" t="s">
        <v>14</v>
      </c>
      <c r="I1167" s="26" t="s">
        <v>897</v>
      </c>
    </row>
    <row r="1168" spans="1:9" x14ac:dyDescent="0.3">
      <c r="A1168" s="24">
        <v>45358</v>
      </c>
      <c r="B1168" t="s">
        <v>328</v>
      </c>
      <c r="C1168" t="s">
        <v>53</v>
      </c>
      <c r="D1168">
        <v>0.8</v>
      </c>
      <c r="E1168" t="s">
        <v>54</v>
      </c>
      <c r="F1168" t="s">
        <v>55</v>
      </c>
      <c r="G1168" t="s">
        <v>1037</v>
      </c>
      <c r="H1168" t="s">
        <v>14</v>
      </c>
      <c r="I1168" s="26" t="s">
        <v>897</v>
      </c>
    </row>
    <row r="1169" spans="1:9" x14ac:dyDescent="0.3">
      <c r="A1169" s="24">
        <v>45358</v>
      </c>
      <c r="B1169" t="s">
        <v>328</v>
      </c>
      <c r="C1169" t="s">
        <v>60</v>
      </c>
      <c r="D1169">
        <v>0.12</v>
      </c>
      <c r="E1169" t="s">
        <v>81</v>
      </c>
      <c r="F1169" t="s">
        <v>31</v>
      </c>
      <c r="G1169" t="s">
        <v>1038</v>
      </c>
      <c r="H1169" t="s">
        <v>14</v>
      </c>
      <c r="I1169" s="26" t="s">
        <v>897</v>
      </c>
    </row>
    <row r="1170" spans="1:9" x14ac:dyDescent="0.3">
      <c r="A1170" s="24">
        <v>45358</v>
      </c>
      <c r="B1170" t="s">
        <v>328</v>
      </c>
      <c r="C1170" t="s">
        <v>60</v>
      </c>
      <c r="D1170">
        <v>0.12</v>
      </c>
      <c r="E1170" t="s">
        <v>162</v>
      </c>
      <c r="F1170" t="s">
        <v>31</v>
      </c>
      <c r="G1170" t="s">
        <v>1039</v>
      </c>
      <c r="H1170" t="s">
        <v>14</v>
      </c>
      <c r="I1170" s="26" t="s">
        <v>897</v>
      </c>
    </row>
    <row r="1171" spans="1:9" x14ac:dyDescent="0.3">
      <c r="A1171" s="24">
        <v>45358</v>
      </c>
      <c r="B1171" t="s">
        <v>328</v>
      </c>
      <c r="C1171" t="s">
        <v>60</v>
      </c>
      <c r="D1171">
        <v>0.27</v>
      </c>
      <c r="E1171" t="s">
        <v>162</v>
      </c>
      <c r="F1171" t="s">
        <v>31</v>
      </c>
      <c r="G1171" t="s">
        <v>1040</v>
      </c>
      <c r="H1171" t="s">
        <v>14</v>
      </c>
      <c r="I1171" s="26" t="s">
        <v>897</v>
      </c>
    </row>
    <row r="1172" spans="1:9" x14ac:dyDescent="0.3">
      <c r="A1172" s="24">
        <v>45358</v>
      </c>
      <c r="B1172" t="s">
        <v>328</v>
      </c>
      <c r="C1172" t="s">
        <v>60</v>
      </c>
      <c r="D1172">
        <v>0.28000000000000003</v>
      </c>
      <c r="E1172" t="s">
        <v>81</v>
      </c>
      <c r="F1172" t="s">
        <v>31</v>
      </c>
      <c r="G1172" t="s">
        <v>1041</v>
      </c>
      <c r="H1172" t="s">
        <v>14</v>
      </c>
      <c r="I1172" s="26" t="s">
        <v>897</v>
      </c>
    </row>
    <row r="1173" spans="1:9" x14ac:dyDescent="0.3">
      <c r="A1173" s="24">
        <v>45358</v>
      </c>
      <c r="B1173" t="s">
        <v>328</v>
      </c>
      <c r="C1173" t="s">
        <v>60</v>
      </c>
      <c r="D1173">
        <v>0.35</v>
      </c>
      <c r="E1173" t="s">
        <v>81</v>
      </c>
      <c r="F1173" t="s">
        <v>31</v>
      </c>
      <c r="G1173" t="s">
        <v>1042</v>
      </c>
      <c r="H1173" t="s">
        <v>14</v>
      </c>
      <c r="I1173" s="26" t="s">
        <v>897</v>
      </c>
    </row>
    <row r="1174" spans="1:9" x14ac:dyDescent="0.3">
      <c r="A1174" s="24">
        <v>45358</v>
      </c>
      <c r="B1174" t="s">
        <v>328</v>
      </c>
      <c r="C1174" t="s">
        <v>60</v>
      </c>
      <c r="D1174">
        <v>0.6</v>
      </c>
      <c r="E1174" t="s">
        <v>848</v>
      </c>
      <c r="F1174" t="s">
        <v>31</v>
      </c>
      <c r="G1174" t="s">
        <v>1043</v>
      </c>
      <c r="H1174" t="s">
        <v>14</v>
      </c>
      <c r="I1174" s="26" t="s">
        <v>897</v>
      </c>
    </row>
    <row r="1175" spans="1:9" x14ac:dyDescent="0.3">
      <c r="A1175" s="24">
        <v>45358</v>
      </c>
      <c r="B1175" t="s">
        <v>328</v>
      </c>
      <c r="C1175" t="s">
        <v>60</v>
      </c>
      <c r="D1175">
        <v>0.85</v>
      </c>
      <c r="E1175" t="s">
        <v>81</v>
      </c>
      <c r="F1175" t="s">
        <v>31</v>
      </c>
      <c r="G1175" t="s">
        <v>1044</v>
      </c>
      <c r="H1175" t="s">
        <v>14</v>
      </c>
      <c r="I1175" s="26" t="s">
        <v>897</v>
      </c>
    </row>
    <row r="1176" spans="1:9" x14ac:dyDescent="0.3">
      <c r="A1176" s="24">
        <v>45358</v>
      </c>
      <c r="B1176" t="s">
        <v>328</v>
      </c>
      <c r="C1176" t="s">
        <v>60</v>
      </c>
      <c r="D1176">
        <v>2.37</v>
      </c>
      <c r="E1176" t="s">
        <v>81</v>
      </c>
      <c r="F1176" t="s">
        <v>31</v>
      </c>
      <c r="G1176" t="s">
        <v>1045</v>
      </c>
      <c r="H1176" t="s">
        <v>14</v>
      </c>
      <c r="I1176" s="26" t="s">
        <v>897</v>
      </c>
    </row>
    <row r="1177" spans="1:9" x14ac:dyDescent="0.3">
      <c r="A1177" s="24">
        <v>45358</v>
      </c>
      <c r="B1177" t="s">
        <v>331</v>
      </c>
      <c r="C1177" t="s">
        <v>29</v>
      </c>
      <c r="D1177">
        <v>0.08</v>
      </c>
      <c r="E1177" t="s">
        <v>218</v>
      </c>
      <c r="F1177" t="s">
        <v>31</v>
      </c>
      <c r="G1177" t="s">
        <v>1046</v>
      </c>
      <c r="H1177" t="s">
        <v>14</v>
      </c>
      <c r="I1177" s="26" t="s">
        <v>897</v>
      </c>
    </row>
    <row r="1178" spans="1:9" x14ac:dyDescent="0.3">
      <c r="A1178" s="24">
        <v>45358</v>
      </c>
      <c r="B1178" t="s">
        <v>331</v>
      </c>
      <c r="C1178" t="s">
        <v>29</v>
      </c>
      <c r="D1178">
        <v>0.35</v>
      </c>
      <c r="E1178" t="s">
        <v>176</v>
      </c>
      <c r="F1178" t="s">
        <v>31</v>
      </c>
      <c r="G1178" t="s">
        <v>1047</v>
      </c>
      <c r="H1178" t="s">
        <v>14</v>
      </c>
      <c r="I1178" s="26" t="s">
        <v>897</v>
      </c>
    </row>
    <row r="1179" spans="1:9" x14ac:dyDescent="0.3">
      <c r="A1179" s="24">
        <v>45358</v>
      </c>
      <c r="B1179" t="s">
        <v>331</v>
      </c>
      <c r="C1179" t="s">
        <v>29</v>
      </c>
      <c r="D1179">
        <v>0.67</v>
      </c>
      <c r="E1179" t="s">
        <v>176</v>
      </c>
      <c r="F1179" t="s">
        <v>31</v>
      </c>
      <c r="G1179" t="s">
        <v>1048</v>
      </c>
      <c r="H1179" t="s">
        <v>14</v>
      </c>
      <c r="I1179" s="26" t="s">
        <v>897</v>
      </c>
    </row>
    <row r="1180" spans="1:9" x14ac:dyDescent="0.3">
      <c r="A1180" s="24">
        <v>45358</v>
      </c>
      <c r="B1180" t="s">
        <v>331</v>
      </c>
      <c r="C1180" t="s">
        <v>29</v>
      </c>
      <c r="D1180">
        <v>1.1000000000000001</v>
      </c>
      <c r="E1180" t="s">
        <v>91</v>
      </c>
      <c r="F1180" t="s">
        <v>31</v>
      </c>
      <c r="G1180" t="s">
        <v>1049</v>
      </c>
      <c r="H1180" t="s">
        <v>14</v>
      </c>
      <c r="I1180" s="26" t="s">
        <v>897</v>
      </c>
    </row>
    <row r="1181" spans="1:9" x14ac:dyDescent="0.3">
      <c r="A1181" s="24">
        <v>45358</v>
      </c>
      <c r="B1181" t="s">
        <v>331</v>
      </c>
      <c r="C1181" t="s">
        <v>29</v>
      </c>
      <c r="D1181">
        <v>1.5</v>
      </c>
      <c r="E1181" t="s">
        <v>337</v>
      </c>
      <c r="F1181" t="s">
        <v>31</v>
      </c>
      <c r="G1181" t="s">
        <v>1050</v>
      </c>
      <c r="H1181" t="s">
        <v>14</v>
      </c>
      <c r="I1181" s="26" t="s">
        <v>897</v>
      </c>
    </row>
    <row r="1182" spans="1:9" x14ac:dyDescent="0.3">
      <c r="A1182" s="24">
        <v>45358</v>
      </c>
      <c r="B1182" t="s">
        <v>331</v>
      </c>
      <c r="C1182" t="s">
        <v>29</v>
      </c>
      <c r="D1182">
        <v>1.8</v>
      </c>
      <c r="E1182" t="s">
        <v>91</v>
      </c>
      <c r="F1182" t="s">
        <v>31</v>
      </c>
      <c r="G1182" t="s">
        <v>1051</v>
      </c>
      <c r="H1182" t="s">
        <v>14</v>
      </c>
      <c r="I1182" s="26" t="s">
        <v>897</v>
      </c>
    </row>
    <row r="1183" spans="1:9" x14ac:dyDescent="0.3">
      <c r="A1183" s="24">
        <v>45358</v>
      </c>
      <c r="B1183" t="s">
        <v>331</v>
      </c>
      <c r="C1183" t="s">
        <v>29</v>
      </c>
      <c r="D1183">
        <v>1.83</v>
      </c>
      <c r="E1183" t="s">
        <v>91</v>
      </c>
      <c r="F1183" t="s">
        <v>31</v>
      </c>
      <c r="G1183" t="s">
        <v>1052</v>
      </c>
      <c r="H1183" t="s">
        <v>14</v>
      </c>
      <c r="I1183" s="26" t="s">
        <v>897</v>
      </c>
    </row>
    <row r="1184" spans="1:9" x14ac:dyDescent="0.3">
      <c r="A1184" s="24">
        <v>45358</v>
      </c>
      <c r="B1184" t="s">
        <v>331</v>
      </c>
      <c r="C1184" t="s">
        <v>53</v>
      </c>
      <c r="D1184">
        <v>0.5</v>
      </c>
      <c r="E1184" t="s">
        <v>54</v>
      </c>
      <c r="F1184" t="s">
        <v>55</v>
      </c>
      <c r="G1184" t="s">
        <v>332</v>
      </c>
      <c r="H1184" t="s">
        <v>14</v>
      </c>
      <c r="I1184" s="26" t="s">
        <v>897</v>
      </c>
    </row>
    <row r="1185" spans="1:9" x14ac:dyDescent="0.3">
      <c r="A1185" s="24">
        <v>45358</v>
      </c>
      <c r="B1185" t="s">
        <v>331</v>
      </c>
      <c r="C1185" t="s">
        <v>60</v>
      </c>
      <c r="D1185">
        <v>0.03</v>
      </c>
      <c r="E1185" t="s">
        <v>229</v>
      </c>
      <c r="F1185" t="s">
        <v>31</v>
      </c>
      <c r="G1185" t="s">
        <v>1053</v>
      </c>
      <c r="H1185" t="s">
        <v>14</v>
      </c>
      <c r="I1185" s="26" t="s">
        <v>897</v>
      </c>
    </row>
    <row r="1186" spans="1:9" x14ac:dyDescent="0.3">
      <c r="A1186" s="24">
        <v>45358</v>
      </c>
      <c r="B1186" t="s">
        <v>331</v>
      </c>
      <c r="C1186" t="s">
        <v>60</v>
      </c>
      <c r="D1186">
        <v>0.13</v>
      </c>
      <c r="E1186" t="s">
        <v>218</v>
      </c>
      <c r="F1186" t="s">
        <v>31</v>
      </c>
      <c r="G1186" t="s">
        <v>1054</v>
      </c>
      <c r="H1186" t="s">
        <v>14</v>
      </c>
      <c r="I1186" s="26" t="s">
        <v>897</v>
      </c>
    </row>
    <row r="1187" spans="1:9" x14ac:dyDescent="0.3">
      <c r="A1187" s="24">
        <v>45358</v>
      </c>
      <c r="B1187" t="s">
        <v>340</v>
      </c>
      <c r="C1187" t="s">
        <v>202</v>
      </c>
      <c r="D1187">
        <v>0.25</v>
      </c>
      <c r="E1187" t="s">
        <v>156</v>
      </c>
      <c r="F1187" t="s">
        <v>31</v>
      </c>
      <c r="G1187" t="s">
        <v>1055</v>
      </c>
      <c r="H1187" t="s">
        <v>14</v>
      </c>
      <c r="I1187" s="26" t="s">
        <v>897</v>
      </c>
    </row>
    <row r="1188" spans="1:9" x14ac:dyDescent="0.3">
      <c r="A1188" s="24">
        <v>45358</v>
      </c>
      <c r="B1188" t="s">
        <v>340</v>
      </c>
      <c r="C1188" t="s">
        <v>202</v>
      </c>
      <c r="D1188">
        <v>0.5</v>
      </c>
      <c r="E1188" t="s">
        <v>725</v>
      </c>
      <c r="F1188" t="s">
        <v>31</v>
      </c>
      <c r="G1188" t="s">
        <v>1056</v>
      </c>
      <c r="H1188" t="s">
        <v>14</v>
      </c>
      <c r="I1188" s="26" t="s">
        <v>897</v>
      </c>
    </row>
    <row r="1189" spans="1:9" x14ac:dyDescent="0.3">
      <c r="A1189" s="24">
        <v>45358</v>
      </c>
      <c r="B1189" t="s">
        <v>340</v>
      </c>
      <c r="C1189" t="s">
        <v>202</v>
      </c>
      <c r="D1189">
        <v>1.5</v>
      </c>
      <c r="E1189" t="s">
        <v>226</v>
      </c>
      <c r="F1189" t="s">
        <v>31</v>
      </c>
      <c r="G1189" t="s">
        <v>1057</v>
      </c>
      <c r="H1189" t="s">
        <v>14</v>
      </c>
      <c r="I1189" s="26" t="s">
        <v>897</v>
      </c>
    </row>
    <row r="1190" spans="1:9" x14ac:dyDescent="0.3">
      <c r="A1190" s="24">
        <v>45358</v>
      </c>
      <c r="B1190" t="s">
        <v>340</v>
      </c>
      <c r="C1190" t="s">
        <v>53</v>
      </c>
      <c r="D1190">
        <v>5.25</v>
      </c>
      <c r="E1190" t="s">
        <v>54</v>
      </c>
      <c r="F1190" t="s">
        <v>55</v>
      </c>
      <c r="G1190" t="s">
        <v>1058</v>
      </c>
      <c r="H1190" t="s">
        <v>14</v>
      </c>
      <c r="I1190" s="26" t="s">
        <v>897</v>
      </c>
    </row>
    <row r="1191" spans="1:9" x14ac:dyDescent="0.3">
      <c r="A1191" s="24">
        <v>45358</v>
      </c>
      <c r="B1191" t="s">
        <v>351</v>
      </c>
      <c r="C1191" t="s">
        <v>29</v>
      </c>
      <c r="D1191">
        <v>0.37</v>
      </c>
      <c r="E1191" t="s">
        <v>81</v>
      </c>
      <c r="F1191" t="s">
        <v>31</v>
      </c>
      <c r="G1191" t="s">
        <v>1059</v>
      </c>
      <c r="H1191" t="s">
        <v>14</v>
      </c>
      <c r="I1191" s="26" t="s">
        <v>897</v>
      </c>
    </row>
    <row r="1192" spans="1:9" x14ac:dyDescent="0.3">
      <c r="A1192" s="24">
        <v>45358</v>
      </c>
      <c r="B1192" t="s">
        <v>351</v>
      </c>
      <c r="C1192" t="s">
        <v>159</v>
      </c>
      <c r="D1192">
        <v>7.02</v>
      </c>
      <c r="E1192" t="s">
        <v>81</v>
      </c>
      <c r="F1192" t="s">
        <v>55</v>
      </c>
      <c r="G1192" t="s">
        <v>1060</v>
      </c>
      <c r="H1192" t="s">
        <v>14</v>
      </c>
      <c r="I1192" s="26" t="s">
        <v>897</v>
      </c>
    </row>
    <row r="1193" spans="1:9" x14ac:dyDescent="0.3">
      <c r="A1193" s="24">
        <v>45358</v>
      </c>
      <c r="B1193" t="s">
        <v>351</v>
      </c>
      <c r="C1193" t="s">
        <v>60</v>
      </c>
      <c r="D1193">
        <v>0.73</v>
      </c>
      <c r="E1193" t="s">
        <v>81</v>
      </c>
      <c r="F1193" t="s">
        <v>55</v>
      </c>
      <c r="G1193" t="s">
        <v>1061</v>
      </c>
      <c r="H1193" t="s">
        <v>14</v>
      </c>
      <c r="I1193" s="26" t="s">
        <v>897</v>
      </c>
    </row>
    <row r="1194" spans="1:9" x14ac:dyDescent="0.3">
      <c r="A1194" s="24">
        <v>45358</v>
      </c>
      <c r="B1194" t="s">
        <v>355</v>
      </c>
      <c r="C1194" t="s">
        <v>29</v>
      </c>
      <c r="D1194">
        <v>0.2</v>
      </c>
      <c r="E1194" t="s">
        <v>91</v>
      </c>
      <c r="F1194" t="s">
        <v>31</v>
      </c>
      <c r="G1194" t="s">
        <v>1062</v>
      </c>
      <c r="H1194" t="s">
        <v>14</v>
      </c>
      <c r="I1194" s="26" t="s">
        <v>897</v>
      </c>
    </row>
    <row r="1195" spans="1:9" x14ac:dyDescent="0.3">
      <c r="A1195" s="24">
        <v>45358</v>
      </c>
      <c r="B1195" t="s">
        <v>355</v>
      </c>
      <c r="C1195" t="s">
        <v>29</v>
      </c>
      <c r="D1195">
        <v>0.2</v>
      </c>
      <c r="E1195" t="s">
        <v>91</v>
      </c>
      <c r="F1195" t="s">
        <v>31</v>
      </c>
      <c r="G1195" t="s">
        <v>1063</v>
      </c>
      <c r="H1195" t="s">
        <v>14</v>
      </c>
      <c r="I1195" s="26" t="s">
        <v>897</v>
      </c>
    </row>
    <row r="1196" spans="1:9" x14ac:dyDescent="0.3">
      <c r="A1196" s="24">
        <v>45358</v>
      </c>
      <c r="B1196" t="s">
        <v>355</v>
      </c>
      <c r="C1196" t="s">
        <v>29</v>
      </c>
      <c r="D1196">
        <v>0.5</v>
      </c>
      <c r="E1196" t="s">
        <v>91</v>
      </c>
      <c r="F1196" t="s">
        <v>31</v>
      </c>
      <c r="G1196" t="s">
        <v>1064</v>
      </c>
      <c r="H1196" t="s">
        <v>14</v>
      </c>
      <c r="I1196" s="26" t="s">
        <v>897</v>
      </c>
    </row>
    <row r="1197" spans="1:9" x14ac:dyDescent="0.3">
      <c r="A1197" s="24">
        <v>45358</v>
      </c>
      <c r="B1197" t="s">
        <v>355</v>
      </c>
      <c r="C1197" t="s">
        <v>29</v>
      </c>
      <c r="D1197">
        <v>2</v>
      </c>
      <c r="E1197" t="s">
        <v>91</v>
      </c>
      <c r="F1197" t="s">
        <v>31</v>
      </c>
      <c r="G1197" t="s">
        <v>1065</v>
      </c>
      <c r="H1197" t="s">
        <v>14</v>
      </c>
      <c r="I1197" s="26" t="s">
        <v>897</v>
      </c>
    </row>
    <row r="1198" spans="1:9" x14ac:dyDescent="0.3">
      <c r="A1198" s="24">
        <v>45358</v>
      </c>
      <c r="B1198" t="s">
        <v>355</v>
      </c>
      <c r="C1198" t="s">
        <v>197</v>
      </c>
      <c r="D1198">
        <v>0.3</v>
      </c>
      <c r="E1198" t="s">
        <v>54</v>
      </c>
      <c r="F1198" t="s">
        <v>55</v>
      </c>
      <c r="G1198" t="s">
        <v>1066</v>
      </c>
      <c r="H1198" t="s">
        <v>14</v>
      </c>
      <c r="I1198" s="26" t="s">
        <v>897</v>
      </c>
    </row>
    <row r="1199" spans="1:9" x14ac:dyDescent="0.3">
      <c r="A1199" s="24">
        <v>45358</v>
      </c>
      <c r="B1199" t="s">
        <v>355</v>
      </c>
      <c r="C1199" t="s">
        <v>197</v>
      </c>
      <c r="D1199">
        <v>0.4</v>
      </c>
      <c r="E1199" t="s">
        <v>54</v>
      </c>
      <c r="F1199" t="s">
        <v>55</v>
      </c>
      <c r="G1199" t="s">
        <v>1067</v>
      </c>
      <c r="H1199" t="s">
        <v>14</v>
      </c>
      <c r="I1199" s="26" t="s">
        <v>897</v>
      </c>
    </row>
    <row r="1200" spans="1:9" x14ac:dyDescent="0.3">
      <c r="A1200" s="24">
        <v>45358</v>
      </c>
      <c r="B1200" t="s">
        <v>355</v>
      </c>
      <c r="C1200" t="s">
        <v>202</v>
      </c>
      <c r="D1200">
        <v>0.2</v>
      </c>
      <c r="E1200" t="s">
        <v>44</v>
      </c>
      <c r="F1200" t="s">
        <v>31</v>
      </c>
      <c r="G1200" t="s">
        <v>1068</v>
      </c>
      <c r="H1200" t="s">
        <v>14</v>
      </c>
      <c r="I1200" s="26" t="s">
        <v>897</v>
      </c>
    </row>
    <row r="1201" spans="1:9" x14ac:dyDescent="0.3">
      <c r="A1201" s="24">
        <v>45358</v>
      </c>
      <c r="B1201" t="s">
        <v>355</v>
      </c>
      <c r="C1201" t="s">
        <v>202</v>
      </c>
      <c r="D1201">
        <v>0.7</v>
      </c>
      <c r="E1201" t="s">
        <v>91</v>
      </c>
      <c r="F1201" t="s">
        <v>31</v>
      </c>
      <c r="G1201" t="s">
        <v>1069</v>
      </c>
      <c r="H1201" t="s">
        <v>14</v>
      </c>
      <c r="I1201" s="26" t="s">
        <v>897</v>
      </c>
    </row>
    <row r="1202" spans="1:9" x14ac:dyDescent="0.3">
      <c r="A1202" s="24">
        <v>45358</v>
      </c>
      <c r="B1202" t="s">
        <v>355</v>
      </c>
      <c r="C1202" t="s">
        <v>202</v>
      </c>
      <c r="D1202">
        <v>1</v>
      </c>
      <c r="E1202" t="s">
        <v>91</v>
      </c>
      <c r="F1202" t="s">
        <v>31</v>
      </c>
      <c r="G1202" t="s">
        <v>1070</v>
      </c>
      <c r="H1202" t="s">
        <v>14</v>
      </c>
      <c r="I1202" s="26" t="s">
        <v>897</v>
      </c>
    </row>
    <row r="1203" spans="1:9" x14ac:dyDescent="0.3">
      <c r="A1203" s="24">
        <v>45358</v>
      </c>
      <c r="B1203" t="s">
        <v>355</v>
      </c>
      <c r="C1203" t="s">
        <v>53</v>
      </c>
      <c r="D1203">
        <v>0.7</v>
      </c>
      <c r="E1203" t="s">
        <v>54</v>
      </c>
      <c r="F1203" t="s">
        <v>55</v>
      </c>
      <c r="G1203" t="s">
        <v>1071</v>
      </c>
      <c r="H1203" t="s">
        <v>14</v>
      </c>
      <c r="I1203" s="26" t="s">
        <v>897</v>
      </c>
    </row>
    <row r="1204" spans="1:9" x14ac:dyDescent="0.3">
      <c r="A1204" s="24">
        <v>45358</v>
      </c>
      <c r="B1204" t="s">
        <v>355</v>
      </c>
      <c r="C1204" t="s">
        <v>225</v>
      </c>
      <c r="D1204">
        <v>0.2</v>
      </c>
      <c r="E1204" t="s">
        <v>358</v>
      </c>
      <c r="F1204" t="s">
        <v>31</v>
      </c>
      <c r="G1204" t="s">
        <v>1072</v>
      </c>
      <c r="H1204" t="s">
        <v>14</v>
      </c>
      <c r="I1204" s="26" t="s">
        <v>897</v>
      </c>
    </row>
    <row r="1205" spans="1:9" x14ac:dyDescent="0.3">
      <c r="A1205" s="24">
        <v>45358</v>
      </c>
      <c r="B1205" t="s">
        <v>355</v>
      </c>
      <c r="C1205" t="s">
        <v>1073</v>
      </c>
      <c r="D1205">
        <v>0.9</v>
      </c>
      <c r="E1205" t="s">
        <v>1074</v>
      </c>
      <c r="F1205" t="s">
        <v>31</v>
      </c>
      <c r="G1205" t="s">
        <v>1075</v>
      </c>
      <c r="H1205" t="s">
        <v>14</v>
      </c>
      <c r="I1205" s="26" t="s">
        <v>897</v>
      </c>
    </row>
    <row r="1206" spans="1:9" x14ac:dyDescent="0.3">
      <c r="A1206" s="24">
        <v>45358</v>
      </c>
      <c r="B1206" t="s">
        <v>355</v>
      </c>
      <c r="C1206" t="s">
        <v>159</v>
      </c>
      <c r="D1206">
        <v>1.3</v>
      </c>
      <c r="E1206" t="s">
        <v>91</v>
      </c>
      <c r="F1206" t="s">
        <v>31</v>
      </c>
      <c r="G1206" t="s">
        <v>1076</v>
      </c>
      <c r="H1206" t="s">
        <v>14</v>
      </c>
      <c r="I1206" s="26" t="s">
        <v>897</v>
      </c>
    </row>
    <row r="1207" spans="1:9" x14ac:dyDescent="0.3">
      <c r="A1207" s="24">
        <v>45358</v>
      </c>
      <c r="B1207" t="s">
        <v>374</v>
      </c>
      <c r="C1207" t="s">
        <v>53</v>
      </c>
      <c r="D1207">
        <v>2</v>
      </c>
      <c r="E1207" t="s">
        <v>54</v>
      </c>
      <c r="F1207" t="s">
        <v>55</v>
      </c>
      <c r="G1207" t="e">
        <f>- finalize Office Space Enhancement Survey result</f>
        <v>#NAME?</v>
      </c>
      <c r="H1207" t="s">
        <v>14</v>
      </c>
      <c r="I1207" s="26" t="s">
        <v>897</v>
      </c>
    </row>
    <row r="1208" spans="1:9" x14ac:dyDescent="0.3">
      <c r="A1208" s="24">
        <v>45358</v>
      </c>
      <c r="B1208" t="s">
        <v>374</v>
      </c>
      <c r="C1208" t="s">
        <v>53</v>
      </c>
      <c r="D1208">
        <v>2.5</v>
      </c>
      <c r="E1208" t="s">
        <v>54</v>
      </c>
      <c r="F1208" t="s">
        <v>55</v>
      </c>
      <c r="G1208" t="e">
        <f>- General Admin</f>
        <v>#NAME?</v>
      </c>
      <c r="H1208" t="s">
        <v>14</v>
      </c>
      <c r="I1208" s="26" t="s">
        <v>897</v>
      </c>
    </row>
    <row r="1209" spans="1:9" x14ac:dyDescent="0.3">
      <c r="A1209" s="24">
        <v>45358</v>
      </c>
      <c r="B1209" t="s">
        <v>374</v>
      </c>
      <c r="C1209" t="s">
        <v>58</v>
      </c>
      <c r="D1209">
        <v>0.5</v>
      </c>
      <c r="E1209" t="s">
        <v>54</v>
      </c>
      <c r="F1209" t="s">
        <v>55</v>
      </c>
      <c r="G1209" t="e">
        <f>- Exit interview with Jess</f>
        <v>#NAME?</v>
      </c>
      <c r="H1209" t="s">
        <v>14</v>
      </c>
      <c r="I1209" s="26" t="s">
        <v>897</v>
      </c>
    </row>
    <row r="1210" spans="1:9" x14ac:dyDescent="0.3">
      <c r="A1210" s="24">
        <v>45358</v>
      </c>
      <c r="B1210" t="s">
        <v>374</v>
      </c>
      <c r="C1210" t="s">
        <v>58</v>
      </c>
      <c r="D1210">
        <v>0.5</v>
      </c>
      <c r="E1210" t="s">
        <v>54</v>
      </c>
      <c r="F1210" t="s">
        <v>55</v>
      </c>
      <c r="G1210" t="e">
        <f>- Reference check for Karen Odion</f>
        <v>#NAME?</v>
      </c>
      <c r="H1210" t="s">
        <v>14</v>
      </c>
      <c r="I1210" s="26" t="s">
        <v>897</v>
      </c>
    </row>
    <row r="1211" spans="1:9" x14ac:dyDescent="0.3">
      <c r="A1211" s="24">
        <v>45358</v>
      </c>
      <c r="B1211" t="s">
        <v>374</v>
      </c>
      <c r="C1211" t="s">
        <v>58</v>
      </c>
      <c r="D1211">
        <v>2.5</v>
      </c>
      <c r="E1211" t="s">
        <v>54</v>
      </c>
      <c r="F1211" t="s">
        <v>55</v>
      </c>
      <c r="G1211" t="e">
        <f>- Management Meeting</f>
        <v>#NAME?</v>
      </c>
      <c r="H1211" t="s">
        <v>14</v>
      </c>
      <c r="I1211" s="26" t="s">
        <v>897</v>
      </c>
    </row>
    <row r="1212" spans="1:9" x14ac:dyDescent="0.3">
      <c r="A1212" s="24">
        <v>45359</v>
      </c>
      <c r="B1212" t="s">
        <v>28</v>
      </c>
      <c r="C1212" t="s">
        <v>29</v>
      </c>
      <c r="D1212">
        <v>0.05</v>
      </c>
      <c r="E1212" t="s">
        <v>44</v>
      </c>
      <c r="F1212" t="s">
        <v>31</v>
      </c>
      <c r="G1212" t="s">
        <v>1077</v>
      </c>
      <c r="H1212" t="s">
        <v>14</v>
      </c>
      <c r="I1212" s="26" t="s">
        <v>33</v>
      </c>
    </row>
    <row r="1213" spans="1:9" x14ac:dyDescent="0.3">
      <c r="A1213" s="24">
        <v>45359</v>
      </c>
      <c r="B1213" t="s">
        <v>28</v>
      </c>
      <c r="C1213" t="s">
        <v>29</v>
      </c>
      <c r="D1213">
        <v>0.05</v>
      </c>
      <c r="E1213" t="s">
        <v>35</v>
      </c>
      <c r="F1213" t="s">
        <v>31</v>
      </c>
      <c r="G1213" t="s">
        <v>1078</v>
      </c>
      <c r="H1213" t="s">
        <v>14</v>
      </c>
      <c r="I1213" s="26" t="s">
        <v>33</v>
      </c>
    </row>
    <row r="1214" spans="1:9" x14ac:dyDescent="0.3">
      <c r="A1214" s="24">
        <v>45359</v>
      </c>
      <c r="B1214" t="s">
        <v>28</v>
      </c>
      <c r="C1214" t="s">
        <v>29</v>
      </c>
      <c r="D1214">
        <v>7.0000000000000007E-2</v>
      </c>
      <c r="E1214" t="s">
        <v>39</v>
      </c>
      <c r="F1214" t="s">
        <v>31</v>
      </c>
      <c r="G1214" t="s">
        <v>579</v>
      </c>
      <c r="H1214" t="s">
        <v>14</v>
      </c>
      <c r="I1214" s="26" t="s">
        <v>33</v>
      </c>
    </row>
    <row r="1215" spans="1:9" x14ac:dyDescent="0.3">
      <c r="A1215" s="24">
        <v>45359</v>
      </c>
      <c r="B1215" t="s">
        <v>28</v>
      </c>
      <c r="C1215" t="s">
        <v>29</v>
      </c>
      <c r="D1215">
        <v>7.0000000000000007E-2</v>
      </c>
      <c r="E1215" t="s">
        <v>39</v>
      </c>
      <c r="F1215" t="s">
        <v>31</v>
      </c>
      <c r="G1215" t="s">
        <v>1079</v>
      </c>
      <c r="H1215" t="s">
        <v>14</v>
      </c>
      <c r="I1215" s="26" t="s">
        <v>33</v>
      </c>
    </row>
    <row r="1216" spans="1:9" x14ac:dyDescent="0.3">
      <c r="A1216" s="24">
        <v>45359</v>
      </c>
      <c r="B1216" t="s">
        <v>28</v>
      </c>
      <c r="C1216" t="s">
        <v>29</v>
      </c>
      <c r="D1216">
        <v>7.0000000000000007E-2</v>
      </c>
      <c r="E1216" t="s">
        <v>35</v>
      </c>
      <c r="F1216" t="s">
        <v>31</v>
      </c>
      <c r="G1216" t="s">
        <v>1080</v>
      </c>
      <c r="H1216" t="s">
        <v>14</v>
      </c>
      <c r="I1216" s="26" t="s">
        <v>33</v>
      </c>
    </row>
    <row r="1217" spans="1:9" x14ac:dyDescent="0.3">
      <c r="A1217" s="24">
        <v>45359</v>
      </c>
      <c r="B1217" t="s">
        <v>28</v>
      </c>
      <c r="C1217" t="s">
        <v>29</v>
      </c>
      <c r="D1217">
        <v>0.08</v>
      </c>
      <c r="E1217" t="s">
        <v>49</v>
      </c>
      <c r="F1217" t="s">
        <v>31</v>
      </c>
      <c r="G1217" t="s">
        <v>1081</v>
      </c>
      <c r="H1217" t="s">
        <v>14</v>
      </c>
      <c r="I1217" s="26" t="s">
        <v>33</v>
      </c>
    </row>
    <row r="1218" spans="1:9" x14ac:dyDescent="0.3">
      <c r="A1218" s="24">
        <v>45359</v>
      </c>
      <c r="B1218" t="s">
        <v>28</v>
      </c>
      <c r="C1218" t="s">
        <v>29</v>
      </c>
      <c r="D1218">
        <v>0.08</v>
      </c>
      <c r="E1218" t="s">
        <v>30</v>
      </c>
      <c r="F1218" t="s">
        <v>31</v>
      </c>
      <c r="G1218" t="s">
        <v>1082</v>
      </c>
      <c r="H1218" t="s">
        <v>14</v>
      </c>
      <c r="I1218" s="26" t="s">
        <v>33</v>
      </c>
    </row>
    <row r="1219" spans="1:9" x14ac:dyDescent="0.3">
      <c r="A1219" s="24">
        <v>45359</v>
      </c>
      <c r="B1219" t="s">
        <v>28</v>
      </c>
      <c r="C1219" t="s">
        <v>29</v>
      </c>
      <c r="D1219">
        <v>0.1</v>
      </c>
      <c r="E1219" t="s">
        <v>61</v>
      </c>
      <c r="F1219" t="s">
        <v>31</v>
      </c>
      <c r="G1219" t="s">
        <v>32</v>
      </c>
      <c r="H1219" t="s">
        <v>14</v>
      </c>
      <c r="I1219" s="26" t="s">
        <v>33</v>
      </c>
    </row>
    <row r="1220" spans="1:9" x14ac:dyDescent="0.3">
      <c r="A1220" s="24">
        <v>45359</v>
      </c>
      <c r="B1220" t="s">
        <v>28</v>
      </c>
      <c r="C1220" t="s">
        <v>29</v>
      </c>
      <c r="D1220">
        <v>0.1</v>
      </c>
      <c r="E1220" t="s">
        <v>35</v>
      </c>
      <c r="F1220" t="s">
        <v>31</v>
      </c>
      <c r="G1220" t="s">
        <v>1083</v>
      </c>
      <c r="H1220" t="s">
        <v>14</v>
      </c>
      <c r="I1220" s="26" t="s">
        <v>33</v>
      </c>
    </row>
    <row r="1221" spans="1:9" x14ac:dyDescent="0.3">
      <c r="A1221" s="24">
        <v>45359</v>
      </c>
      <c r="B1221" t="s">
        <v>28</v>
      </c>
      <c r="C1221" t="s">
        <v>29</v>
      </c>
      <c r="D1221">
        <v>0.12</v>
      </c>
      <c r="E1221" t="s">
        <v>30</v>
      </c>
      <c r="F1221" t="s">
        <v>31</v>
      </c>
      <c r="G1221" t="s">
        <v>34</v>
      </c>
      <c r="H1221" t="s">
        <v>14</v>
      </c>
      <c r="I1221" s="26" t="s">
        <v>33</v>
      </c>
    </row>
    <row r="1222" spans="1:9" x14ac:dyDescent="0.3">
      <c r="A1222" s="24">
        <v>45359</v>
      </c>
      <c r="B1222" t="s">
        <v>28</v>
      </c>
      <c r="C1222" t="s">
        <v>29</v>
      </c>
      <c r="D1222">
        <v>0.13</v>
      </c>
      <c r="E1222" t="s">
        <v>44</v>
      </c>
      <c r="F1222" t="s">
        <v>31</v>
      </c>
      <c r="G1222" t="s">
        <v>34</v>
      </c>
      <c r="H1222" t="s">
        <v>14</v>
      </c>
      <c r="I1222" s="26" t="s">
        <v>33</v>
      </c>
    </row>
    <row r="1223" spans="1:9" x14ac:dyDescent="0.3">
      <c r="A1223" s="24">
        <v>45359</v>
      </c>
      <c r="B1223" t="s">
        <v>28</v>
      </c>
      <c r="C1223" t="s">
        <v>29</v>
      </c>
      <c r="D1223">
        <v>0.13</v>
      </c>
      <c r="E1223" t="s">
        <v>30</v>
      </c>
      <c r="F1223" t="s">
        <v>31</v>
      </c>
      <c r="G1223" t="s">
        <v>577</v>
      </c>
      <c r="H1223" t="s">
        <v>14</v>
      </c>
      <c r="I1223" s="26" t="s">
        <v>33</v>
      </c>
    </row>
    <row r="1224" spans="1:9" x14ac:dyDescent="0.3">
      <c r="A1224" s="24">
        <v>45359</v>
      </c>
      <c r="B1224" t="s">
        <v>28</v>
      </c>
      <c r="C1224" t="s">
        <v>29</v>
      </c>
      <c r="D1224">
        <v>0.15</v>
      </c>
      <c r="E1224" t="s">
        <v>62</v>
      </c>
      <c r="F1224" t="s">
        <v>31</v>
      </c>
      <c r="G1224" t="s">
        <v>38</v>
      </c>
      <c r="H1224" t="s">
        <v>14</v>
      </c>
      <c r="I1224" s="26" t="s">
        <v>33</v>
      </c>
    </row>
    <row r="1225" spans="1:9" x14ac:dyDescent="0.3">
      <c r="A1225" s="24">
        <v>45359</v>
      </c>
      <c r="B1225" t="s">
        <v>28</v>
      </c>
      <c r="C1225" t="s">
        <v>29</v>
      </c>
      <c r="D1225">
        <v>0.18</v>
      </c>
      <c r="E1225" t="s">
        <v>49</v>
      </c>
      <c r="F1225" t="s">
        <v>31</v>
      </c>
      <c r="G1225" t="s">
        <v>579</v>
      </c>
      <c r="H1225" t="s">
        <v>14</v>
      </c>
      <c r="I1225" s="26" t="s">
        <v>33</v>
      </c>
    </row>
    <row r="1226" spans="1:9" x14ac:dyDescent="0.3">
      <c r="A1226" s="24">
        <v>45359</v>
      </c>
      <c r="B1226" t="s">
        <v>28</v>
      </c>
      <c r="C1226" t="s">
        <v>29</v>
      </c>
      <c r="D1226">
        <v>0.22</v>
      </c>
      <c r="E1226" t="s">
        <v>42</v>
      </c>
      <c r="F1226" t="s">
        <v>31</v>
      </c>
      <c r="G1226" t="s">
        <v>1079</v>
      </c>
      <c r="H1226" t="s">
        <v>14</v>
      </c>
      <c r="I1226" s="26" t="s">
        <v>33</v>
      </c>
    </row>
    <row r="1227" spans="1:9" x14ac:dyDescent="0.3">
      <c r="A1227" s="24">
        <v>45359</v>
      </c>
      <c r="B1227" t="s">
        <v>28</v>
      </c>
      <c r="C1227" t="s">
        <v>29</v>
      </c>
      <c r="D1227">
        <v>0.22</v>
      </c>
      <c r="E1227" t="s">
        <v>35</v>
      </c>
      <c r="F1227" t="s">
        <v>31</v>
      </c>
      <c r="G1227" t="s">
        <v>1084</v>
      </c>
      <c r="H1227" t="s">
        <v>14</v>
      </c>
      <c r="I1227" s="26" t="s">
        <v>33</v>
      </c>
    </row>
    <row r="1228" spans="1:9" x14ac:dyDescent="0.3">
      <c r="A1228" s="24">
        <v>45359</v>
      </c>
      <c r="B1228" t="s">
        <v>28</v>
      </c>
      <c r="C1228" t="s">
        <v>29</v>
      </c>
      <c r="D1228">
        <v>0.25</v>
      </c>
      <c r="E1228" t="s">
        <v>61</v>
      </c>
      <c r="F1228" t="s">
        <v>31</v>
      </c>
      <c r="G1228" t="s">
        <v>1085</v>
      </c>
      <c r="H1228" t="s">
        <v>14</v>
      </c>
      <c r="I1228" s="26" t="s">
        <v>33</v>
      </c>
    </row>
    <row r="1229" spans="1:9" x14ac:dyDescent="0.3">
      <c r="A1229" s="24">
        <v>45359</v>
      </c>
      <c r="B1229" t="s">
        <v>28</v>
      </c>
      <c r="C1229" t="s">
        <v>29</v>
      </c>
      <c r="D1229">
        <v>0.27</v>
      </c>
      <c r="E1229" t="s">
        <v>61</v>
      </c>
      <c r="F1229" t="s">
        <v>31</v>
      </c>
      <c r="G1229" t="s">
        <v>1086</v>
      </c>
      <c r="H1229" t="s">
        <v>14</v>
      </c>
      <c r="I1229" s="26" t="s">
        <v>33</v>
      </c>
    </row>
    <row r="1230" spans="1:9" x14ac:dyDescent="0.3">
      <c r="A1230" s="24">
        <v>45359</v>
      </c>
      <c r="B1230" t="s">
        <v>28</v>
      </c>
      <c r="C1230" t="s">
        <v>29</v>
      </c>
      <c r="D1230">
        <v>0.28000000000000003</v>
      </c>
      <c r="E1230" t="s">
        <v>45</v>
      </c>
      <c r="F1230" t="s">
        <v>31</v>
      </c>
      <c r="G1230" t="s">
        <v>38</v>
      </c>
      <c r="H1230" t="s">
        <v>14</v>
      </c>
      <c r="I1230" s="26" t="s">
        <v>33</v>
      </c>
    </row>
    <row r="1231" spans="1:9" x14ac:dyDescent="0.3">
      <c r="A1231" s="24">
        <v>45359</v>
      </c>
      <c r="B1231" t="s">
        <v>28</v>
      </c>
      <c r="C1231" t="s">
        <v>29</v>
      </c>
      <c r="D1231">
        <v>0.28000000000000003</v>
      </c>
      <c r="E1231" t="s">
        <v>42</v>
      </c>
      <c r="F1231" t="s">
        <v>31</v>
      </c>
      <c r="G1231" t="s">
        <v>43</v>
      </c>
      <c r="H1231" t="s">
        <v>14</v>
      </c>
      <c r="I1231" s="26" t="s">
        <v>33</v>
      </c>
    </row>
    <row r="1232" spans="1:9" x14ac:dyDescent="0.3">
      <c r="A1232" s="24">
        <v>45359</v>
      </c>
      <c r="B1232" t="s">
        <v>28</v>
      </c>
      <c r="C1232" t="s">
        <v>29</v>
      </c>
      <c r="D1232">
        <v>0.3</v>
      </c>
      <c r="E1232" t="s">
        <v>748</v>
      </c>
      <c r="F1232" t="s">
        <v>31</v>
      </c>
      <c r="G1232" t="s">
        <v>38</v>
      </c>
      <c r="H1232" t="s">
        <v>14</v>
      </c>
      <c r="I1232" s="26" t="s">
        <v>33</v>
      </c>
    </row>
    <row r="1233" spans="1:9" x14ac:dyDescent="0.3">
      <c r="A1233" s="24">
        <v>45359</v>
      </c>
      <c r="B1233" t="s">
        <v>28</v>
      </c>
      <c r="C1233" t="s">
        <v>29</v>
      </c>
      <c r="D1233">
        <v>0.35</v>
      </c>
      <c r="E1233" t="s">
        <v>44</v>
      </c>
      <c r="F1233" t="s">
        <v>31</v>
      </c>
      <c r="G1233" t="s">
        <v>1087</v>
      </c>
      <c r="H1233" t="s">
        <v>14</v>
      </c>
      <c r="I1233" s="26" t="s">
        <v>33</v>
      </c>
    </row>
    <row r="1234" spans="1:9" x14ac:dyDescent="0.3">
      <c r="A1234" s="24">
        <v>45359</v>
      </c>
      <c r="B1234" t="s">
        <v>28</v>
      </c>
      <c r="C1234" t="s">
        <v>29</v>
      </c>
      <c r="D1234">
        <v>0.37</v>
      </c>
      <c r="E1234" t="s">
        <v>1088</v>
      </c>
      <c r="F1234" t="s">
        <v>31</v>
      </c>
      <c r="G1234" t="s">
        <v>38</v>
      </c>
      <c r="H1234" t="s">
        <v>14</v>
      </c>
      <c r="I1234" s="26" t="s">
        <v>33</v>
      </c>
    </row>
    <row r="1235" spans="1:9" x14ac:dyDescent="0.3">
      <c r="A1235" s="24">
        <v>45359</v>
      </c>
      <c r="B1235" t="s">
        <v>28</v>
      </c>
      <c r="C1235" t="s">
        <v>29</v>
      </c>
      <c r="D1235">
        <v>0.45</v>
      </c>
      <c r="E1235" t="s">
        <v>30</v>
      </c>
      <c r="F1235" t="s">
        <v>31</v>
      </c>
      <c r="G1235" t="s">
        <v>38</v>
      </c>
      <c r="H1235" t="s">
        <v>14</v>
      </c>
      <c r="I1235" s="26" t="s">
        <v>33</v>
      </c>
    </row>
    <row r="1236" spans="1:9" x14ac:dyDescent="0.3">
      <c r="A1236" s="24">
        <v>45359</v>
      </c>
      <c r="B1236" t="s">
        <v>28</v>
      </c>
      <c r="C1236" t="s">
        <v>29</v>
      </c>
      <c r="D1236">
        <v>0.5</v>
      </c>
      <c r="E1236" t="s">
        <v>49</v>
      </c>
      <c r="F1236" t="s">
        <v>31</v>
      </c>
      <c r="G1236" t="s">
        <v>50</v>
      </c>
      <c r="H1236" t="s">
        <v>14</v>
      </c>
      <c r="I1236" s="26" t="s">
        <v>33</v>
      </c>
    </row>
    <row r="1237" spans="1:9" x14ac:dyDescent="0.3">
      <c r="A1237" s="24">
        <v>45359</v>
      </c>
      <c r="B1237" t="s">
        <v>28</v>
      </c>
      <c r="C1237" t="s">
        <v>29</v>
      </c>
      <c r="D1237">
        <v>0.82</v>
      </c>
      <c r="E1237" t="s">
        <v>61</v>
      </c>
      <c r="F1237" t="s">
        <v>31</v>
      </c>
      <c r="G1237" t="s">
        <v>1089</v>
      </c>
      <c r="H1237" t="s">
        <v>14</v>
      </c>
      <c r="I1237" s="26" t="s">
        <v>33</v>
      </c>
    </row>
    <row r="1238" spans="1:9" x14ac:dyDescent="0.3">
      <c r="A1238" s="24">
        <v>45359</v>
      </c>
      <c r="B1238" t="s">
        <v>28</v>
      </c>
      <c r="C1238" t="s">
        <v>29</v>
      </c>
      <c r="D1238">
        <v>1.02</v>
      </c>
      <c r="E1238" t="s">
        <v>48</v>
      </c>
      <c r="F1238" t="s">
        <v>31</v>
      </c>
      <c r="G1238" t="s">
        <v>38</v>
      </c>
      <c r="H1238" t="s">
        <v>14</v>
      </c>
      <c r="I1238" s="26" t="s">
        <v>33</v>
      </c>
    </row>
    <row r="1239" spans="1:9" x14ac:dyDescent="0.3">
      <c r="A1239" s="24">
        <v>45359</v>
      </c>
      <c r="B1239" t="s">
        <v>28</v>
      </c>
      <c r="C1239" t="s">
        <v>29</v>
      </c>
      <c r="D1239">
        <v>1.07</v>
      </c>
      <c r="E1239" t="s">
        <v>42</v>
      </c>
      <c r="F1239" t="s">
        <v>31</v>
      </c>
      <c r="G1239" t="s">
        <v>579</v>
      </c>
      <c r="H1239" t="s">
        <v>14</v>
      </c>
      <c r="I1239" s="26" t="s">
        <v>33</v>
      </c>
    </row>
    <row r="1240" spans="1:9" x14ac:dyDescent="0.3">
      <c r="A1240" s="24">
        <v>45359</v>
      </c>
      <c r="B1240" t="s">
        <v>28</v>
      </c>
      <c r="C1240" t="s">
        <v>225</v>
      </c>
      <c r="D1240">
        <v>0.05</v>
      </c>
      <c r="E1240" t="s">
        <v>44</v>
      </c>
      <c r="F1240" t="s">
        <v>31</v>
      </c>
      <c r="G1240" t="s">
        <v>1090</v>
      </c>
      <c r="H1240" t="s">
        <v>14</v>
      </c>
      <c r="I1240" s="26" t="s">
        <v>33</v>
      </c>
    </row>
    <row r="1241" spans="1:9" x14ac:dyDescent="0.3">
      <c r="A1241" s="24">
        <v>45359</v>
      </c>
      <c r="B1241" t="s">
        <v>28</v>
      </c>
      <c r="C1241" t="s">
        <v>225</v>
      </c>
      <c r="D1241">
        <v>7.0000000000000007E-2</v>
      </c>
      <c r="E1241" t="s">
        <v>48</v>
      </c>
      <c r="F1241" t="s">
        <v>31</v>
      </c>
      <c r="G1241" t="s">
        <v>1090</v>
      </c>
      <c r="H1241" t="s">
        <v>14</v>
      </c>
      <c r="I1241" s="26" t="s">
        <v>33</v>
      </c>
    </row>
    <row r="1242" spans="1:9" x14ac:dyDescent="0.3">
      <c r="A1242" s="24">
        <v>45359</v>
      </c>
      <c r="B1242" t="s">
        <v>28</v>
      </c>
      <c r="C1242" t="s">
        <v>60</v>
      </c>
      <c r="D1242">
        <v>0.03</v>
      </c>
      <c r="E1242" t="s">
        <v>62</v>
      </c>
      <c r="F1242" t="s">
        <v>31</v>
      </c>
      <c r="H1242" t="s">
        <v>14</v>
      </c>
      <c r="I1242" s="26" t="s">
        <v>33</v>
      </c>
    </row>
    <row r="1243" spans="1:9" x14ac:dyDescent="0.3">
      <c r="A1243" s="24">
        <v>45359</v>
      </c>
      <c r="B1243" t="s">
        <v>28</v>
      </c>
      <c r="C1243" t="s">
        <v>60</v>
      </c>
      <c r="D1243">
        <v>0.03</v>
      </c>
      <c r="E1243" t="s">
        <v>44</v>
      </c>
      <c r="F1243" t="s">
        <v>31</v>
      </c>
      <c r="G1243" t="s">
        <v>32</v>
      </c>
      <c r="H1243" t="s">
        <v>14</v>
      </c>
      <c r="I1243" s="26" t="s">
        <v>33</v>
      </c>
    </row>
    <row r="1244" spans="1:9" x14ac:dyDescent="0.3">
      <c r="A1244" s="24">
        <v>45359</v>
      </c>
      <c r="B1244" t="s">
        <v>28</v>
      </c>
      <c r="C1244" t="s">
        <v>60</v>
      </c>
      <c r="D1244">
        <v>0.05</v>
      </c>
      <c r="E1244" t="s">
        <v>61</v>
      </c>
      <c r="F1244" t="s">
        <v>31</v>
      </c>
      <c r="G1244" t="s">
        <v>32</v>
      </c>
      <c r="H1244" t="s">
        <v>14</v>
      </c>
      <c r="I1244" s="26" t="s">
        <v>33</v>
      </c>
    </row>
    <row r="1245" spans="1:9" x14ac:dyDescent="0.3">
      <c r="A1245" s="24">
        <v>45359</v>
      </c>
      <c r="B1245" t="s">
        <v>64</v>
      </c>
      <c r="C1245" t="s">
        <v>65</v>
      </c>
      <c r="D1245">
        <v>0.33</v>
      </c>
      <c r="E1245" t="s">
        <v>66</v>
      </c>
      <c r="F1245" t="s">
        <v>31</v>
      </c>
      <c r="G1245" t="s">
        <v>1091</v>
      </c>
      <c r="H1245" t="s">
        <v>14</v>
      </c>
      <c r="I1245" s="26" t="s">
        <v>33</v>
      </c>
    </row>
    <row r="1246" spans="1:9" x14ac:dyDescent="0.3">
      <c r="A1246" s="24">
        <v>45359</v>
      </c>
      <c r="B1246" t="s">
        <v>64</v>
      </c>
      <c r="C1246" t="s">
        <v>68</v>
      </c>
      <c r="D1246">
        <v>0.75</v>
      </c>
      <c r="E1246" t="s">
        <v>66</v>
      </c>
      <c r="F1246" t="s">
        <v>31</v>
      </c>
      <c r="G1246" t="s">
        <v>1092</v>
      </c>
      <c r="H1246" t="s">
        <v>14</v>
      </c>
      <c r="I1246" s="26" t="s">
        <v>33</v>
      </c>
    </row>
    <row r="1247" spans="1:9" x14ac:dyDescent="0.3">
      <c r="A1247" s="24">
        <v>45359</v>
      </c>
      <c r="B1247" t="s">
        <v>64</v>
      </c>
      <c r="C1247" t="s">
        <v>70</v>
      </c>
      <c r="D1247">
        <v>1.67</v>
      </c>
      <c r="E1247" t="s">
        <v>66</v>
      </c>
      <c r="F1247" t="s">
        <v>31</v>
      </c>
      <c r="G1247" t="s">
        <v>1093</v>
      </c>
      <c r="H1247" t="s">
        <v>14</v>
      </c>
      <c r="I1247" s="26" t="s">
        <v>33</v>
      </c>
    </row>
    <row r="1248" spans="1:9" x14ac:dyDescent="0.3">
      <c r="A1248" s="24">
        <v>45359</v>
      </c>
      <c r="B1248" t="s">
        <v>72</v>
      </c>
      <c r="C1248" t="s">
        <v>29</v>
      </c>
      <c r="D1248">
        <v>0.15</v>
      </c>
      <c r="E1248" t="s">
        <v>358</v>
      </c>
      <c r="F1248" t="s">
        <v>31</v>
      </c>
      <c r="G1248" t="s">
        <v>1094</v>
      </c>
      <c r="H1248" t="s">
        <v>14</v>
      </c>
      <c r="I1248" s="26" t="s">
        <v>33</v>
      </c>
    </row>
    <row r="1249" spans="1:9" x14ac:dyDescent="0.3">
      <c r="A1249" s="24">
        <v>45359</v>
      </c>
      <c r="B1249" t="s">
        <v>72</v>
      </c>
      <c r="C1249" t="s">
        <v>29</v>
      </c>
      <c r="D1249">
        <v>0.15</v>
      </c>
      <c r="E1249" t="s">
        <v>358</v>
      </c>
      <c r="F1249" t="s">
        <v>31</v>
      </c>
      <c r="G1249" t="s">
        <v>1095</v>
      </c>
      <c r="H1249" t="s">
        <v>14</v>
      </c>
      <c r="I1249" s="26" t="s">
        <v>33</v>
      </c>
    </row>
    <row r="1250" spans="1:9" x14ac:dyDescent="0.3">
      <c r="A1250" s="24">
        <v>45359</v>
      </c>
      <c r="B1250" t="s">
        <v>72</v>
      </c>
      <c r="C1250" t="s">
        <v>29</v>
      </c>
      <c r="D1250">
        <v>0.45</v>
      </c>
      <c r="E1250" t="s">
        <v>358</v>
      </c>
      <c r="F1250" t="s">
        <v>31</v>
      </c>
      <c r="G1250" t="s">
        <v>1096</v>
      </c>
      <c r="H1250" t="s">
        <v>14</v>
      </c>
      <c r="I1250" s="26" t="s">
        <v>33</v>
      </c>
    </row>
    <row r="1251" spans="1:9" x14ac:dyDescent="0.3">
      <c r="A1251" s="24">
        <v>45359</v>
      </c>
      <c r="B1251" t="s">
        <v>72</v>
      </c>
      <c r="C1251" t="s">
        <v>29</v>
      </c>
      <c r="D1251">
        <v>0.95</v>
      </c>
      <c r="E1251" t="s">
        <v>156</v>
      </c>
      <c r="F1251" t="s">
        <v>31</v>
      </c>
      <c r="H1251" t="s">
        <v>14</v>
      </c>
      <c r="I1251" s="26" t="s">
        <v>33</v>
      </c>
    </row>
    <row r="1252" spans="1:9" x14ac:dyDescent="0.3">
      <c r="A1252" s="24">
        <v>45359</v>
      </c>
      <c r="B1252" t="s">
        <v>72</v>
      </c>
      <c r="C1252" t="s">
        <v>29</v>
      </c>
      <c r="D1252">
        <v>1.25</v>
      </c>
      <c r="E1252" t="s">
        <v>271</v>
      </c>
      <c r="F1252" t="s">
        <v>31</v>
      </c>
      <c r="H1252" t="s">
        <v>14</v>
      </c>
      <c r="I1252" s="26" t="s">
        <v>33</v>
      </c>
    </row>
    <row r="1253" spans="1:9" x14ac:dyDescent="0.3">
      <c r="A1253" s="24">
        <v>45359</v>
      </c>
      <c r="B1253" t="s">
        <v>72</v>
      </c>
      <c r="C1253" t="s">
        <v>29</v>
      </c>
      <c r="D1253">
        <v>1.48</v>
      </c>
      <c r="E1253" t="s">
        <v>358</v>
      </c>
      <c r="F1253" t="s">
        <v>31</v>
      </c>
      <c r="H1253" t="s">
        <v>14</v>
      </c>
      <c r="I1253" s="26" t="s">
        <v>33</v>
      </c>
    </row>
    <row r="1254" spans="1:9" x14ac:dyDescent="0.3">
      <c r="A1254" s="24">
        <v>45359</v>
      </c>
      <c r="B1254" t="s">
        <v>72</v>
      </c>
      <c r="C1254" t="s">
        <v>53</v>
      </c>
      <c r="D1254">
        <v>0.18</v>
      </c>
      <c r="E1254" t="s">
        <v>54</v>
      </c>
      <c r="F1254" t="s">
        <v>55</v>
      </c>
      <c r="G1254" t="s">
        <v>1097</v>
      </c>
      <c r="H1254" t="s">
        <v>14</v>
      </c>
      <c r="I1254" s="26" t="s">
        <v>33</v>
      </c>
    </row>
    <row r="1255" spans="1:9" x14ac:dyDescent="0.3">
      <c r="A1255" s="24">
        <v>45359</v>
      </c>
      <c r="B1255" t="s">
        <v>72</v>
      </c>
      <c r="C1255" t="s">
        <v>53</v>
      </c>
      <c r="D1255">
        <v>0.3</v>
      </c>
      <c r="E1255" t="s">
        <v>54</v>
      </c>
      <c r="F1255" t="s">
        <v>55</v>
      </c>
      <c r="G1255" t="s">
        <v>1098</v>
      </c>
      <c r="H1255" t="s">
        <v>14</v>
      </c>
      <c r="I1255" s="26" t="s">
        <v>33</v>
      </c>
    </row>
    <row r="1256" spans="1:9" x14ac:dyDescent="0.3">
      <c r="A1256" s="24">
        <v>45359</v>
      </c>
      <c r="B1256" t="s">
        <v>72</v>
      </c>
      <c r="C1256" t="s">
        <v>53</v>
      </c>
      <c r="D1256">
        <v>0.33</v>
      </c>
      <c r="E1256" t="s">
        <v>54</v>
      </c>
      <c r="F1256" t="s">
        <v>55</v>
      </c>
      <c r="G1256" t="s">
        <v>1099</v>
      </c>
      <c r="H1256" t="s">
        <v>14</v>
      </c>
      <c r="I1256" s="26" t="s">
        <v>33</v>
      </c>
    </row>
    <row r="1257" spans="1:9" x14ac:dyDescent="0.3">
      <c r="A1257" s="24">
        <v>45359</v>
      </c>
      <c r="B1257" t="s">
        <v>72</v>
      </c>
      <c r="C1257" t="s">
        <v>53</v>
      </c>
      <c r="D1257">
        <v>0.4</v>
      </c>
      <c r="E1257" t="s">
        <v>54</v>
      </c>
      <c r="F1257" t="s">
        <v>55</v>
      </c>
      <c r="G1257" t="s">
        <v>1100</v>
      </c>
      <c r="H1257" t="s">
        <v>14</v>
      </c>
      <c r="I1257" s="26" t="s">
        <v>33</v>
      </c>
    </row>
    <row r="1258" spans="1:9" x14ac:dyDescent="0.3">
      <c r="A1258" s="24">
        <v>45359</v>
      </c>
      <c r="B1258" t="s">
        <v>72</v>
      </c>
      <c r="C1258" t="s">
        <v>53</v>
      </c>
      <c r="D1258">
        <v>0.93</v>
      </c>
      <c r="E1258" t="s">
        <v>54</v>
      </c>
      <c r="F1258" t="s">
        <v>55</v>
      </c>
      <c r="H1258" t="s">
        <v>14</v>
      </c>
      <c r="I1258" s="26" t="s">
        <v>33</v>
      </c>
    </row>
    <row r="1259" spans="1:9" x14ac:dyDescent="0.3">
      <c r="A1259" s="24">
        <v>45359</v>
      </c>
      <c r="B1259" t="s">
        <v>72</v>
      </c>
      <c r="C1259" t="s">
        <v>53</v>
      </c>
      <c r="D1259">
        <v>1.45</v>
      </c>
      <c r="E1259" t="s">
        <v>54</v>
      </c>
      <c r="F1259" t="s">
        <v>55</v>
      </c>
      <c r="G1259" t="s">
        <v>1101</v>
      </c>
      <c r="H1259" t="s">
        <v>14</v>
      </c>
      <c r="I1259" s="26" t="s">
        <v>33</v>
      </c>
    </row>
    <row r="1260" spans="1:9" x14ac:dyDescent="0.3">
      <c r="A1260" s="24">
        <v>45359</v>
      </c>
      <c r="B1260" t="s">
        <v>75</v>
      </c>
      <c r="C1260" t="s">
        <v>73</v>
      </c>
      <c r="D1260">
        <v>4</v>
      </c>
      <c r="E1260" t="s">
        <v>54</v>
      </c>
      <c r="F1260" t="s">
        <v>55</v>
      </c>
      <c r="G1260" t="s">
        <v>1102</v>
      </c>
      <c r="H1260" t="s">
        <v>14</v>
      </c>
      <c r="I1260" s="26" t="s">
        <v>33</v>
      </c>
    </row>
    <row r="1261" spans="1:9" x14ac:dyDescent="0.3">
      <c r="A1261" s="24">
        <v>45359</v>
      </c>
      <c r="B1261" t="s">
        <v>75</v>
      </c>
      <c r="C1261" t="s">
        <v>77</v>
      </c>
      <c r="D1261">
        <v>5</v>
      </c>
      <c r="E1261" t="s">
        <v>54</v>
      </c>
      <c r="F1261" t="s">
        <v>55</v>
      </c>
      <c r="G1261" t="s">
        <v>1103</v>
      </c>
      <c r="H1261" t="s">
        <v>14</v>
      </c>
      <c r="I1261" s="26" t="s">
        <v>33</v>
      </c>
    </row>
    <row r="1262" spans="1:9" x14ac:dyDescent="0.3">
      <c r="A1262" s="24">
        <v>45359</v>
      </c>
      <c r="B1262" t="s">
        <v>79</v>
      </c>
      <c r="C1262" t="s">
        <v>77</v>
      </c>
      <c r="D1262">
        <v>8</v>
      </c>
      <c r="E1262" t="s">
        <v>54</v>
      </c>
      <c r="F1262" t="s">
        <v>55</v>
      </c>
      <c r="G1262" t="s">
        <v>1104</v>
      </c>
      <c r="H1262" t="s">
        <v>14</v>
      </c>
      <c r="I1262" s="26" t="s">
        <v>33</v>
      </c>
    </row>
    <row r="1263" spans="1:9" x14ac:dyDescent="0.3">
      <c r="A1263" s="24">
        <v>45359</v>
      </c>
      <c r="B1263" t="s">
        <v>80</v>
      </c>
      <c r="C1263" t="s">
        <v>29</v>
      </c>
      <c r="D1263">
        <v>0.75</v>
      </c>
      <c r="E1263" t="s">
        <v>81</v>
      </c>
      <c r="F1263" t="s">
        <v>31</v>
      </c>
      <c r="G1263" t="s">
        <v>1105</v>
      </c>
      <c r="H1263" t="s">
        <v>14</v>
      </c>
      <c r="I1263" s="26" t="s">
        <v>33</v>
      </c>
    </row>
    <row r="1264" spans="1:9" x14ac:dyDescent="0.3">
      <c r="A1264" s="24">
        <v>45359</v>
      </c>
      <c r="B1264" t="s">
        <v>80</v>
      </c>
      <c r="C1264" t="s">
        <v>29</v>
      </c>
      <c r="D1264">
        <v>1.62</v>
      </c>
      <c r="E1264" t="s">
        <v>81</v>
      </c>
      <c r="F1264" t="s">
        <v>31</v>
      </c>
      <c r="G1264" t="s">
        <v>1106</v>
      </c>
      <c r="H1264" t="s">
        <v>14</v>
      </c>
      <c r="I1264" s="26" t="s">
        <v>33</v>
      </c>
    </row>
    <row r="1265" spans="1:9" x14ac:dyDescent="0.3">
      <c r="A1265" s="24">
        <v>45359</v>
      </c>
      <c r="B1265" t="s">
        <v>80</v>
      </c>
      <c r="C1265" t="s">
        <v>29</v>
      </c>
      <c r="D1265">
        <v>1.67</v>
      </c>
      <c r="E1265" t="s">
        <v>81</v>
      </c>
      <c r="F1265" t="s">
        <v>31</v>
      </c>
      <c r="G1265" t="s">
        <v>83</v>
      </c>
      <c r="H1265" t="s">
        <v>14</v>
      </c>
      <c r="I1265" s="26" t="s">
        <v>33</v>
      </c>
    </row>
    <row r="1266" spans="1:9" x14ac:dyDescent="0.3">
      <c r="A1266" s="24">
        <v>45359</v>
      </c>
      <c r="B1266" t="s">
        <v>80</v>
      </c>
      <c r="C1266" t="s">
        <v>29</v>
      </c>
      <c r="D1266">
        <v>4.22</v>
      </c>
      <c r="E1266" t="s">
        <v>81</v>
      </c>
      <c r="F1266" t="s">
        <v>31</v>
      </c>
      <c r="G1266" t="s">
        <v>84</v>
      </c>
      <c r="H1266" t="s">
        <v>14</v>
      </c>
      <c r="I1266" s="26" t="s">
        <v>33</v>
      </c>
    </row>
    <row r="1267" spans="1:9" x14ac:dyDescent="0.3">
      <c r="A1267" s="24">
        <v>45359</v>
      </c>
      <c r="B1267" t="s">
        <v>88</v>
      </c>
      <c r="C1267" t="s">
        <v>89</v>
      </c>
      <c r="D1267">
        <v>9</v>
      </c>
      <c r="E1267" t="s">
        <v>54</v>
      </c>
      <c r="F1267" t="s">
        <v>55</v>
      </c>
      <c r="G1267" t="s">
        <v>1107</v>
      </c>
      <c r="H1267" t="s">
        <v>14</v>
      </c>
      <c r="I1267" s="26" t="s">
        <v>33</v>
      </c>
    </row>
    <row r="1268" spans="1:9" x14ac:dyDescent="0.3">
      <c r="A1268" s="24">
        <v>45359</v>
      </c>
      <c r="B1268" t="s">
        <v>97</v>
      </c>
      <c r="C1268" t="s">
        <v>89</v>
      </c>
      <c r="D1268">
        <v>6.5</v>
      </c>
      <c r="E1268" t="s">
        <v>54</v>
      </c>
      <c r="F1268" t="s">
        <v>55</v>
      </c>
      <c r="G1268" t="s">
        <v>1108</v>
      </c>
      <c r="H1268" t="s">
        <v>14</v>
      </c>
      <c r="I1268" s="26" t="s">
        <v>33</v>
      </c>
    </row>
    <row r="1269" spans="1:9" x14ac:dyDescent="0.3">
      <c r="A1269" s="24">
        <v>45359</v>
      </c>
      <c r="B1269" t="s">
        <v>99</v>
      </c>
      <c r="C1269" t="s">
        <v>601</v>
      </c>
      <c r="D1269">
        <v>9.1999999999999993</v>
      </c>
      <c r="E1269" t="s">
        <v>54</v>
      </c>
      <c r="F1269" t="s">
        <v>55</v>
      </c>
      <c r="G1269" t="s">
        <v>1109</v>
      </c>
      <c r="H1269" t="s">
        <v>14</v>
      </c>
      <c r="I1269" s="26" t="s">
        <v>33</v>
      </c>
    </row>
    <row r="1270" spans="1:9" x14ac:dyDescent="0.3">
      <c r="A1270" s="24">
        <v>45359</v>
      </c>
      <c r="B1270" t="s">
        <v>101</v>
      </c>
      <c r="C1270" t="s">
        <v>29</v>
      </c>
      <c r="D1270">
        <v>0.5</v>
      </c>
      <c r="E1270" t="s">
        <v>229</v>
      </c>
      <c r="F1270" t="s">
        <v>55</v>
      </c>
      <c r="G1270" t="s">
        <v>1110</v>
      </c>
      <c r="H1270" t="s">
        <v>14</v>
      </c>
      <c r="I1270" s="26" t="s">
        <v>33</v>
      </c>
    </row>
    <row r="1271" spans="1:9" x14ac:dyDescent="0.3">
      <c r="A1271" s="24">
        <v>45359</v>
      </c>
      <c r="B1271" t="s">
        <v>101</v>
      </c>
      <c r="C1271" t="s">
        <v>29</v>
      </c>
      <c r="D1271">
        <v>0.5</v>
      </c>
      <c r="E1271" t="s">
        <v>195</v>
      </c>
      <c r="F1271" t="s">
        <v>31</v>
      </c>
      <c r="G1271" t="s">
        <v>1111</v>
      </c>
      <c r="H1271" t="s">
        <v>14</v>
      </c>
      <c r="I1271" s="26" t="s">
        <v>33</v>
      </c>
    </row>
    <row r="1272" spans="1:9" x14ac:dyDescent="0.3">
      <c r="A1272" s="24">
        <v>45359</v>
      </c>
      <c r="B1272" t="s">
        <v>101</v>
      </c>
      <c r="C1272" t="s">
        <v>29</v>
      </c>
      <c r="D1272">
        <v>0.57999999999999996</v>
      </c>
      <c r="E1272" t="s">
        <v>214</v>
      </c>
      <c r="F1272" t="s">
        <v>55</v>
      </c>
      <c r="G1272" t="s">
        <v>1112</v>
      </c>
      <c r="H1272" t="s">
        <v>14</v>
      </c>
      <c r="I1272" s="26" t="s">
        <v>33</v>
      </c>
    </row>
    <row r="1273" spans="1:9" x14ac:dyDescent="0.3">
      <c r="A1273" s="24">
        <v>45359</v>
      </c>
      <c r="B1273" t="s">
        <v>101</v>
      </c>
      <c r="C1273" t="s">
        <v>29</v>
      </c>
      <c r="D1273">
        <v>0.83</v>
      </c>
      <c r="E1273" t="s">
        <v>227</v>
      </c>
      <c r="F1273" t="s">
        <v>31</v>
      </c>
      <c r="G1273" t="s">
        <v>400</v>
      </c>
      <c r="H1273" t="s">
        <v>14</v>
      </c>
      <c r="I1273" s="26" t="s">
        <v>33</v>
      </c>
    </row>
    <row r="1274" spans="1:9" x14ac:dyDescent="0.3">
      <c r="A1274" s="24">
        <v>45359</v>
      </c>
      <c r="B1274" t="s">
        <v>101</v>
      </c>
      <c r="C1274" t="s">
        <v>29</v>
      </c>
      <c r="D1274">
        <v>1.25</v>
      </c>
      <c r="E1274" t="s">
        <v>214</v>
      </c>
      <c r="F1274" t="s">
        <v>31</v>
      </c>
      <c r="G1274" t="s">
        <v>863</v>
      </c>
      <c r="H1274" t="s">
        <v>14</v>
      </c>
      <c r="I1274" s="26" t="s">
        <v>33</v>
      </c>
    </row>
    <row r="1275" spans="1:9" x14ac:dyDescent="0.3">
      <c r="A1275" s="24">
        <v>45359</v>
      </c>
      <c r="B1275" t="s">
        <v>101</v>
      </c>
      <c r="C1275" t="s">
        <v>29</v>
      </c>
      <c r="D1275">
        <v>1.67</v>
      </c>
      <c r="E1275" t="s">
        <v>105</v>
      </c>
      <c r="F1275" t="s">
        <v>31</v>
      </c>
      <c r="G1275" t="s">
        <v>1113</v>
      </c>
      <c r="H1275" t="s">
        <v>14</v>
      </c>
      <c r="I1275" s="26" t="s">
        <v>33</v>
      </c>
    </row>
    <row r="1276" spans="1:9" x14ac:dyDescent="0.3">
      <c r="A1276" s="24">
        <v>45359</v>
      </c>
      <c r="B1276" t="s">
        <v>101</v>
      </c>
      <c r="C1276" t="s">
        <v>29</v>
      </c>
      <c r="D1276">
        <v>2.17</v>
      </c>
      <c r="E1276" t="s">
        <v>108</v>
      </c>
      <c r="F1276" t="s">
        <v>31</v>
      </c>
      <c r="G1276" t="s">
        <v>1114</v>
      </c>
      <c r="H1276" t="s">
        <v>14</v>
      </c>
      <c r="I1276" s="26" t="s">
        <v>33</v>
      </c>
    </row>
    <row r="1277" spans="1:9" x14ac:dyDescent="0.3">
      <c r="A1277" s="24">
        <v>45359</v>
      </c>
      <c r="B1277" t="s">
        <v>101</v>
      </c>
      <c r="C1277" t="s">
        <v>53</v>
      </c>
      <c r="D1277">
        <v>0.5</v>
      </c>
      <c r="E1277" t="s">
        <v>54</v>
      </c>
      <c r="F1277" t="s">
        <v>55</v>
      </c>
      <c r="G1277" t="s">
        <v>110</v>
      </c>
      <c r="H1277" t="s">
        <v>14</v>
      </c>
      <c r="I1277" s="26" t="s">
        <v>33</v>
      </c>
    </row>
    <row r="1278" spans="1:9" x14ac:dyDescent="0.3">
      <c r="A1278" s="24">
        <v>45359</v>
      </c>
      <c r="B1278" t="s">
        <v>113</v>
      </c>
      <c r="C1278" t="s">
        <v>29</v>
      </c>
      <c r="D1278">
        <v>0.33</v>
      </c>
      <c r="E1278" t="s">
        <v>114</v>
      </c>
      <c r="F1278" t="s">
        <v>31</v>
      </c>
      <c r="G1278" t="s">
        <v>115</v>
      </c>
      <c r="H1278" t="s">
        <v>14</v>
      </c>
      <c r="I1278" s="26" t="s">
        <v>33</v>
      </c>
    </row>
    <row r="1279" spans="1:9" x14ac:dyDescent="0.3">
      <c r="A1279" s="24">
        <v>45359</v>
      </c>
      <c r="B1279" t="s">
        <v>113</v>
      </c>
      <c r="C1279" t="s">
        <v>29</v>
      </c>
      <c r="D1279">
        <v>0.35</v>
      </c>
      <c r="E1279" t="s">
        <v>127</v>
      </c>
      <c r="F1279" t="s">
        <v>31</v>
      </c>
      <c r="G1279" t="s">
        <v>115</v>
      </c>
      <c r="H1279" t="s">
        <v>14</v>
      </c>
      <c r="I1279" s="26" t="s">
        <v>33</v>
      </c>
    </row>
    <row r="1280" spans="1:9" x14ac:dyDescent="0.3">
      <c r="A1280" s="24">
        <v>45359</v>
      </c>
      <c r="B1280" t="s">
        <v>113</v>
      </c>
      <c r="C1280" t="s">
        <v>29</v>
      </c>
      <c r="D1280">
        <v>0.52</v>
      </c>
      <c r="E1280" t="s">
        <v>195</v>
      </c>
      <c r="F1280" t="s">
        <v>31</v>
      </c>
      <c r="G1280" t="s">
        <v>1115</v>
      </c>
      <c r="H1280" t="s">
        <v>14</v>
      </c>
      <c r="I1280" s="26" t="s">
        <v>33</v>
      </c>
    </row>
    <row r="1281" spans="1:9" x14ac:dyDescent="0.3">
      <c r="A1281" s="24">
        <v>45359</v>
      </c>
      <c r="B1281" t="s">
        <v>113</v>
      </c>
      <c r="C1281" t="s">
        <v>29</v>
      </c>
      <c r="D1281">
        <v>0.63</v>
      </c>
      <c r="E1281" t="s">
        <v>127</v>
      </c>
      <c r="F1281" t="s">
        <v>31</v>
      </c>
      <c r="G1281" t="s">
        <v>1116</v>
      </c>
      <c r="H1281" t="s">
        <v>14</v>
      </c>
      <c r="I1281" s="26" t="s">
        <v>33</v>
      </c>
    </row>
    <row r="1282" spans="1:9" x14ac:dyDescent="0.3">
      <c r="A1282" s="24">
        <v>45359</v>
      </c>
      <c r="B1282" t="s">
        <v>113</v>
      </c>
      <c r="C1282" t="s">
        <v>428</v>
      </c>
      <c r="D1282">
        <v>0.37</v>
      </c>
      <c r="E1282" t="s">
        <v>143</v>
      </c>
      <c r="F1282" t="s">
        <v>31</v>
      </c>
      <c r="G1282" t="s">
        <v>1117</v>
      </c>
      <c r="H1282" t="s">
        <v>14</v>
      </c>
      <c r="I1282" s="26" t="s">
        <v>33</v>
      </c>
    </row>
    <row r="1283" spans="1:9" x14ac:dyDescent="0.3">
      <c r="A1283" s="24">
        <v>45359</v>
      </c>
      <c r="B1283" t="s">
        <v>113</v>
      </c>
      <c r="C1283" t="s">
        <v>53</v>
      </c>
      <c r="D1283">
        <v>0.5</v>
      </c>
      <c r="E1283" t="s">
        <v>54</v>
      </c>
      <c r="F1283" t="s">
        <v>55</v>
      </c>
      <c r="G1283" t="s">
        <v>110</v>
      </c>
      <c r="H1283" t="s">
        <v>14</v>
      </c>
      <c r="I1283" s="26" t="s">
        <v>33</v>
      </c>
    </row>
    <row r="1284" spans="1:9" x14ac:dyDescent="0.3">
      <c r="A1284" s="24">
        <v>45359</v>
      </c>
      <c r="B1284" t="s">
        <v>113</v>
      </c>
      <c r="C1284" t="s">
        <v>53</v>
      </c>
      <c r="D1284">
        <v>0.56999999999999995</v>
      </c>
      <c r="E1284" t="s">
        <v>54</v>
      </c>
      <c r="F1284" t="s">
        <v>55</v>
      </c>
      <c r="G1284" t="s">
        <v>1118</v>
      </c>
      <c r="H1284" t="s">
        <v>14</v>
      </c>
      <c r="I1284" s="26" t="s">
        <v>33</v>
      </c>
    </row>
    <row r="1285" spans="1:9" x14ac:dyDescent="0.3">
      <c r="A1285" s="24">
        <v>45359</v>
      </c>
      <c r="B1285" t="s">
        <v>113</v>
      </c>
      <c r="C1285" t="s">
        <v>53</v>
      </c>
      <c r="D1285">
        <v>0.62</v>
      </c>
      <c r="E1285" t="s">
        <v>54</v>
      </c>
      <c r="F1285" t="s">
        <v>55</v>
      </c>
      <c r="G1285" t="s">
        <v>1119</v>
      </c>
      <c r="H1285" t="s">
        <v>14</v>
      </c>
      <c r="I1285" s="26" t="s">
        <v>33</v>
      </c>
    </row>
    <row r="1286" spans="1:9" x14ac:dyDescent="0.3">
      <c r="A1286" s="24">
        <v>45359</v>
      </c>
      <c r="B1286" t="s">
        <v>113</v>
      </c>
      <c r="C1286" t="s">
        <v>53</v>
      </c>
      <c r="D1286">
        <v>0.87</v>
      </c>
      <c r="E1286" t="s">
        <v>54</v>
      </c>
      <c r="F1286" t="s">
        <v>55</v>
      </c>
      <c r="G1286" t="s">
        <v>1120</v>
      </c>
      <c r="H1286" t="s">
        <v>14</v>
      </c>
      <c r="I1286" s="26" t="s">
        <v>33</v>
      </c>
    </row>
    <row r="1287" spans="1:9" x14ac:dyDescent="0.3">
      <c r="A1287" s="24">
        <v>45359</v>
      </c>
      <c r="B1287" t="s">
        <v>113</v>
      </c>
      <c r="C1287" t="s">
        <v>148</v>
      </c>
      <c r="D1287">
        <v>0.17</v>
      </c>
      <c r="E1287" t="s">
        <v>54</v>
      </c>
      <c r="F1287" t="s">
        <v>55</v>
      </c>
      <c r="G1287" t="s">
        <v>1121</v>
      </c>
      <c r="H1287" t="s">
        <v>14</v>
      </c>
      <c r="I1287" s="26" t="s">
        <v>33</v>
      </c>
    </row>
    <row r="1288" spans="1:9" x14ac:dyDescent="0.3">
      <c r="A1288" s="24">
        <v>45359</v>
      </c>
      <c r="B1288" t="s">
        <v>113</v>
      </c>
      <c r="C1288" t="s">
        <v>148</v>
      </c>
      <c r="D1288">
        <v>1.27</v>
      </c>
      <c r="E1288" t="s">
        <v>54</v>
      </c>
      <c r="F1288" t="s">
        <v>55</v>
      </c>
      <c r="G1288" t="s">
        <v>1122</v>
      </c>
      <c r="H1288" t="s">
        <v>14</v>
      </c>
      <c r="I1288" s="26" t="s">
        <v>33</v>
      </c>
    </row>
    <row r="1289" spans="1:9" x14ac:dyDescent="0.3">
      <c r="A1289" s="24">
        <v>45359</v>
      </c>
      <c r="B1289" t="s">
        <v>113</v>
      </c>
      <c r="C1289" t="s">
        <v>148</v>
      </c>
      <c r="D1289">
        <v>1.82</v>
      </c>
      <c r="E1289" t="s">
        <v>54</v>
      </c>
      <c r="F1289" t="s">
        <v>55</v>
      </c>
      <c r="G1289" t="s">
        <v>1123</v>
      </c>
      <c r="H1289" t="s">
        <v>14</v>
      </c>
      <c r="I1289" s="26" t="s">
        <v>33</v>
      </c>
    </row>
    <row r="1290" spans="1:9" x14ac:dyDescent="0.3">
      <c r="A1290" s="24">
        <v>45359</v>
      </c>
      <c r="B1290" t="s">
        <v>132</v>
      </c>
      <c r="C1290" t="s">
        <v>29</v>
      </c>
      <c r="D1290">
        <v>0.33</v>
      </c>
      <c r="E1290" t="s">
        <v>81</v>
      </c>
      <c r="F1290" t="s">
        <v>31</v>
      </c>
      <c r="G1290" t="e">
        <f>- Received raw invoices.</f>
        <v>#NAME?</v>
      </c>
      <c r="H1290" t="s">
        <v>14</v>
      </c>
      <c r="I1290" s="26" t="s">
        <v>33</v>
      </c>
    </row>
    <row r="1291" spans="1:9" x14ac:dyDescent="0.3">
      <c r="A1291" s="24">
        <v>45359</v>
      </c>
      <c r="B1291" t="s">
        <v>132</v>
      </c>
      <c r="C1291" t="s">
        <v>53</v>
      </c>
      <c r="D1291">
        <v>1.02</v>
      </c>
      <c r="E1291" t="s">
        <v>54</v>
      </c>
      <c r="F1291" t="s">
        <v>55</v>
      </c>
      <c r="G1291" t="e">
        <f>- Travel Agencies for company outing</f>
        <v>#NAME?</v>
      </c>
      <c r="H1291" t="s">
        <v>14</v>
      </c>
      <c r="I1291" s="26" t="s">
        <v>33</v>
      </c>
    </row>
    <row r="1292" spans="1:9" x14ac:dyDescent="0.3">
      <c r="A1292" s="24">
        <v>45359</v>
      </c>
      <c r="B1292" t="s">
        <v>132</v>
      </c>
      <c r="C1292" t="s">
        <v>53</v>
      </c>
      <c r="D1292">
        <v>7.95</v>
      </c>
      <c r="E1292" t="s">
        <v>54</v>
      </c>
      <c r="F1292" t="s">
        <v>55</v>
      </c>
      <c r="G1292" t="e">
        <f>- ATO Communications email to clients - ASIC - email to Travel Agencies for company outing. - Zoho list Update for the portal.</f>
        <v>#NAME?</v>
      </c>
      <c r="H1292" t="s">
        <v>14</v>
      </c>
      <c r="I1292" s="26" t="s">
        <v>33</v>
      </c>
    </row>
    <row r="1293" spans="1:9" x14ac:dyDescent="0.3">
      <c r="A1293" s="24">
        <v>45359</v>
      </c>
      <c r="B1293" t="s">
        <v>134</v>
      </c>
      <c r="C1293" t="s">
        <v>29</v>
      </c>
      <c r="D1293">
        <v>0.35</v>
      </c>
      <c r="E1293" t="s">
        <v>135</v>
      </c>
      <c r="F1293" t="s">
        <v>55</v>
      </c>
      <c r="G1293" t="s">
        <v>1124</v>
      </c>
      <c r="H1293" t="s">
        <v>14</v>
      </c>
      <c r="I1293" s="26" t="s">
        <v>33</v>
      </c>
    </row>
    <row r="1294" spans="1:9" x14ac:dyDescent="0.3">
      <c r="A1294" s="24">
        <v>45359</v>
      </c>
      <c r="B1294" t="s">
        <v>134</v>
      </c>
      <c r="C1294" t="s">
        <v>29</v>
      </c>
      <c r="D1294">
        <v>0.53</v>
      </c>
      <c r="E1294" t="s">
        <v>139</v>
      </c>
      <c r="F1294" t="s">
        <v>31</v>
      </c>
      <c r="G1294" t="s">
        <v>863</v>
      </c>
      <c r="H1294" t="s">
        <v>14</v>
      </c>
      <c r="I1294" s="26" t="s">
        <v>33</v>
      </c>
    </row>
    <row r="1295" spans="1:9" x14ac:dyDescent="0.3">
      <c r="A1295" s="24">
        <v>45359</v>
      </c>
      <c r="B1295" t="s">
        <v>134</v>
      </c>
      <c r="C1295" t="s">
        <v>29</v>
      </c>
      <c r="D1295">
        <v>0.78</v>
      </c>
      <c r="E1295" t="s">
        <v>139</v>
      </c>
      <c r="F1295" t="s">
        <v>31</v>
      </c>
      <c r="G1295" t="s">
        <v>1125</v>
      </c>
      <c r="H1295" t="s">
        <v>14</v>
      </c>
      <c r="I1295" s="26" t="s">
        <v>33</v>
      </c>
    </row>
    <row r="1296" spans="1:9" x14ac:dyDescent="0.3">
      <c r="A1296" s="24">
        <v>45359</v>
      </c>
      <c r="B1296" t="s">
        <v>134</v>
      </c>
      <c r="C1296" t="s">
        <v>29</v>
      </c>
      <c r="D1296">
        <v>0.83</v>
      </c>
      <c r="E1296" t="s">
        <v>139</v>
      </c>
      <c r="F1296" t="s">
        <v>31</v>
      </c>
      <c r="G1296" t="s">
        <v>1126</v>
      </c>
      <c r="H1296" t="s">
        <v>14</v>
      </c>
      <c r="I1296" s="26" t="s">
        <v>33</v>
      </c>
    </row>
    <row r="1297" spans="1:9" x14ac:dyDescent="0.3">
      <c r="A1297" s="24">
        <v>45359</v>
      </c>
      <c r="B1297" t="s">
        <v>134</v>
      </c>
      <c r="C1297" t="s">
        <v>29</v>
      </c>
      <c r="D1297">
        <v>1.7</v>
      </c>
      <c r="E1297" t="s">
        <v>135</v>
      </c>
      <c r="F1297" t="s">
        <v>31</v>
      </c>
      <c r="G1297" t="s">
        <v>1127</v>
      </c>
      <c r="H1297" t="s">
        <v>14</v>
      </c>
      <c r="I1297" s="26" t="s">
        <v>33</v>
      </c>
    </row>
    <row r="1298" spans="1:9" x14ac:dyDescent="0.3">
      <c r="A1298" s="24">
        <v>45359</v>
      </c>
      <c r="B1298" t="s">
        <v>134</v>
      </c>
      <c r="C1298" t="s">
        <v>142</v>
      </c>
      <c r="D1298">
        <v>0.22</v>
      </c>
      <c r="E1298" t="s">
        <v>143</v>
      </c>
      <c r="F1298" t="s">
        <v>31</v>
      </c>
      <c r="G1298" t="s">
        <v>1128</v>
      </c>
      <c r="H1298" t="s">
        <v>14</v>
      </c>
      <c r="I1298" s="26" t="s">
        <v>33</v>
      </c>
    </row>
    <row r="1299" spans="1:9" x14ac:dyDescent="0.3">
      <c r="A1299" s="24">
        <v>45359</v>
      </c>
      <c r="B1299" t="s">
        <v>134</v>
      </c>
      <c r="C1299" t="s">
        <v>142</v>
      </c>
      <c r="D1299">
        <v>1.3</v>
      </c>
      <c r="E1299" t="s">
        <v>143</v>
      </c>
      <c r="F1299" t="s">
        <v>31</v>
      </c>
      <c r="G1299" t="s">
        <v>1129</v>
      </c>
      <c r="H1299" t="s">
        <v>14</v>
      </c>
      <c r="I1299" s="26" t="s">
        <v>33</v>
      </c>
    </row>
    <row r="1300" spans="1:9" x14ac:dyDescent="0.3">
      <c r="A1300" s="24">
        <v>45359</v>
      </c>
      <c r="B1300" t="s">
        <v>134</v>
      </c>
      <c r="C1300" t="s">
        <v>142</v>
      </c>
      <c r="D1300">
        <v>1.45</v>
      </c>
      <c r="E1300" t="s">
        <v>143</v>
      </c>
      <c r="F1300" t="s">
        <v>31</v>
      </c>
      <c r="G1300" t="s">
        <v>1130</v>
      </c>
      <c r="H1300" t="s">
        <v>14</v>
      </c>
      <c r="I1300" s="26" t="s">
        <v>33</v>
      </c>
    </row>
    <row r="1301" spans="1:9" x14ac:dyDescent="0.3">
      <c r="A1301" s="24">
        <v>45359</v>
      </c>
      <c r="B1301" t="s">
        <v>134</v>
      </c>
      <c r="C1301" t="s">
        <v>53</v>
      </c>
      <c r="D1301">
        <v>0.33</v>
      </c>
      <c r="E1301" t="s">
        <v>54</v>
      </c>
      <c r="F1301" t="s">
        <v>55</v>
      </c>
      <c r="G1301" t="s">
        <v>1131</v>
      </c>
      <c r="H1301" t="s">
        <v>14</v>
      </c>
      <c r="I1301" s="26" t="s">
        <v>33</v>
      </c>
    </row>
    <row r="1302" spans="1:9" x14ac:dyDescent="0.3">
      <c r="A1302" s="24">
        <v>45359</v>
      </c>
      <c r="B1302" t="s">
        <v>134</v>
      </c>
      <c r="C1302" t="s">
        <v>53</v>
      </c>
      <c r="D1302">
        <v>0.5</v>
      </c>
      <c r="E1302" t="s">
        <v>54</v>
      </c>
      <c r="F1302" t="s">
        <v>55</v>
      </c>
      <c r="G1302" t="s">
        <v>110</v>
      </c>
      <c r="H1302" t="s">
        <v>14</v>
      </c>
      <c r="I1302" s="26" t="s">
        <v>33</v>
      </c>
    </row>
    <row r="1303" spans="1:9" x14ac:dyDescent="0.3">
      <c r="A1303" s="24">
        <v>45359</v>
      </c>
      <c r="B1303" t="s">
        <v>150</v>
      </c>
      <c r="C1303" t="s">
        <v>29</v>
      </c>
      <c r="D1303">
        <v>0.13</v>
      </c>
      <c r="E1303" t="s">
        <v>437</v>
      </c>
      <c r="F1303" t="s">
        <v>31</v>
      </c>
      <c r="G1303" t="s">
        <v>1132</v>
      </c>
      <c r="H1303" t="s">
        <v>14</v>
      </c>
      <c r="I1303" s="26" t="s">
        <v>33</v>
      </c>
    </row>
    <row r="1304" spans="1:9" x14ac:dyDescent="0.3">
      <c r="A1304" s="24">
        <v>45359</v>
      </c>
      <c r="B1304" t="s">
        <v>150</v>
      </c>
      <c r="C1304" t="s">
        <v>29</v>
      </c>
      <c r="D1304">
        <v>0.2</v>
      </c>
      <c r="E1304" t="s">
        <v>483</v>
      </c>
      <c r="F1304" t="s">
        <v>31</v>
      </c>
      <c r="G1304" t="s">
        <v>1133</v>
      </c>
      <c r="H1304" t="s">
        <v>14</v>
      </c>
      <c r="I1304" s="26" t="s">
        <v>33</v>
      </c>
    </row>
    <row r="1305" spans="1:9" x14ac:dyDescent="0.3">
      <c r="A1305" s="24">
        <v>45359</v>
      </c>
      <c r="B1305" t="s">
        <v>150</v>
      </c>
      <c r="C1305" t="s">
        <v>29</v>
      </c>
      <c r="D1305">
        <v>0.48</v>
      </c>
      <c r="E1305" t="s">
        <v>114</v>
      </c>
      <c r="F1305" t="s">
        <v>55</v>
      </c>
      <c r="G1305" t="s">
        <v>1134</v>
      </c>
      <c r="H1305" t="s">
        <v>14</v>
      </c>
      <c r="I1305" s="26" t="s">
        <v>33</v>
      </c>
    </row>
    <row r="1306" spans="1:9" x14ac:dyDescent="0.3">
      <c r="A1306" s="24">
        <v>45359</v>
      </c>
      <c r="B1306" t="s">
        <v>150</v>
      </c>
      <c r="C1306" t="s">
        <v>29</v>
      </c>
      <c r="D1306">
        <v>2.25</v>
      </c>
      <c r="E1306" t="s">
        <v>437</v>
      </c>
      <c r="F1306" t="s">
        <v>31</v>
      </c>
      <c r="G1306" t="s">
        <v>1135</v>
      </c>
      <c r="H1306" t="s">
        <v>14</v>
      </c>
      <c r="I1306" s="26" t="s">
        <v>33</v>
      </c>
    </row>
    <row r="1307" spans="1:9" x14ac:dyDescent="0.3">
      <c r="A1307" s="24">
        <v>45359</v>
      </c>
      <c r="B1307" t="s">
        <v>150</v>
      </c>
      <c r="C1307" t="s">
        <v>53</v>
      </c>
      <c r="D1307">
        <v>0.78</v>
      </c>
      <c r="E1307" t="s">
        <v>54</v>
      </c>
      <c r="F1307" t="s">
        <v>55</v>
      </c>
      <c r="G1307" t="s">
        <v>1136</v>
      </c>
      <c r="H1307" t="s">
        <v>14</v>
      </c>
      <c r="I1307" s="26" t="s">
        <v>33</v>
      </c>
    </row>
    <row r="1308" spans="1:9" x14ac:dyDescent="0.3">
      <c r="A1308" s="24">
        <v>45359</v>
      </c>
      <c r="B1308" t="s">
        <v>150</v>
      </c>
      <c r="C1308" t="s">
        <v>159</v>
      </c>
      <c r="D1308">
        <v>1</v>
      </c>
      <c r="E1308" t="s">
        <v>437</v>
      </c>
      <c r="F1308" t="s">
        <v>31</v>
      </c>
      <c r="G1308" t="s">
        <v>1137</v>
      </c>
      <c r="H1308" t="s">
        <v>14</v>
      </c>
      <c r="I1308" s="26" t="s">
        <v>33</v>
      </c>
    </row>
    <row r="1309" spans="1:9" x14ac:dyDescent="0.3">
      <c r="A1309" s="24">
        <v>45359</v>
      </c>
      <c r="B1309" t="s">
        <v>150</v>
      </c>
      <c r="C1309" t="s">
        <v>159</v>
      </c>
      <c r="D1309">
        <v>2.12</v>
      </c>
      <c r="E1309" t="s">
        <v>437</v>
      </c>
      <c r="F1309" t="s">
        <v>31</v>
      </c>
      <c r="G1309" t="s">
        <v>940</v>
      </c>
      <c r="H1309" t="s">
        <v>14</v>
      </c>
      <c r="I1309" s="26" t="s">
        <v>33</v>
      </c>
    </row>
    <row r="1310" spans="1:9" x14ac:dyDescent="0.3">
      <c r="A1310" s="24">
        <v>45359</v>
      </c>
      <c r="B1310" t="s">
        <v>150</v>
      </c>
      <c r="C1310" t="s">
        <v>60</v>
      </c>
      <c r="D1310">
        <v>1.68</v>
      </c>
      <c r="E1310" t="s">
        <v>162</v>
      </c>
      <c r="F1310" t="s">
        <v>31</v>
      </c>
      <c r="G1310" t="s">
        <v>1138</v>
      </c>
      <c r="H1310" t="s">
        <v>14</v>
      </c>
      <c r="I1310" s="26" t="s">
        <v>33</v>
      </c>
    </row>
    <row r="1311" spans="1:9" x14ac:dyDescent="0.3">
      <c r="A1311" s="24">
        <v>45359</v>
      </c>
      <c r="B1311" t="s">
        <v>164</v>
      </c>
      <c r="C1311" t="s">
        <v>29</v>
      </c>
      <c r="D1311">
        <v>0.72</v>
      </c>
      <c r="E1311" t="s">
        <v>229</v>
      </c>
      <c r="F1311" t="s">
        <v>31</v>
      </c>
      <c r="G1311" t="s">
        <v>1139</v>
      </c>
      <c r="H1311" t="s">
        <v>14</v>
      </c>
      <c r="I1311" s="26" t="s">
        <v>33</v>
      </c>
    </row>
    <row r="1312" spans="1:9" x14ac:dyDescent="0.3">
      <c r="A1312" s="24">
        <v>45359</v>
      </c>
      <c r="B1312" t="s">
        <v>164</v>
      </c>
      <c r="C1312" t="s">
        <v>29</v>
      </c>
      <c r="D1312">
        <v>2.37</v>
      </c>
      <c r="E1312" t="s">
        <v>229</v>
      </c>
      <c r="F1312" t="s">
        <v>31</v>
      </c>
      <c r="H1312" t="s">
        <v>14</v>
      </c>
      <c r="I1312" s="26" t="s">
        <v>33</v>
      </c>
    </row>
    <row r="1313" spans="1:9" x14ac:dyDescent="0.3">
      <c r="A1313" s="24">
        <v>45359</v>
      </c>
      <c r="B1313" t="s">
        <v>164</v>
      </c>
      <c r="C1313" t="s">
        <v>85</v>
      </c>
      <c r="D1313">
        <v>0.45</v>
      </c>
      <c r="E1313" t="s">
        <v>356</v>
      </c>
      <c r="F1313" t="s">
        <v>31</v>
      </c>
      <c r="G1313" t="s">
        <v>1140</v>
      </c>
      <c r="H1313" t="s">
        <v>14</v>
      </c>
      <c r="I1313" s="26" t="s">
        <v>33</v>
      </c>
    </row>
    <row r="1314" spans="1:9" x14ac:dyDescent="0.3">
      <c r="A1314" s="24">
        <v>45359</v>
      </c>
      <c r="B1314" t="s">
        <v>164</v>
      </c>
      <c r="C1314" t="s">
        <v>53</v>
      </c>
      <c r="D1314">
        <v>0.18</v>
      </c>
      <c r="E1314" t="s">
        <v>54</v>
      </c>
      <c r="F1314" t="s">
        <v>55</v>
      </c>
      <c r="G1314" t="s">
        <v>1141</v>
      </c>
      <c r="H1314" t="s">
        <v>14</v>
      </c>
      <c r="I1314" s="26" t="s">
        <v>33</v>
      </c>
    </row>
    <row r="1315" spans="1:9" x14ac:dyDescent="0.3">
      <c r="A1315" s="24">
        <v>45359</v>
      </c>
      <c r="B1315" t="s">
        <v>164</v>
      </c>
      <c r="C1315" t="s">
        <v>159</v>
      </c>
      <c r="D1315">
        <v>0.43</v>
      </c>
      <c r="E1315" t="s">
        <v>170</v>
      </c>
      <c r="F1315" t="s">
        <v>55</v>
      </c>
      <c r="G1315" t="s">
        <v>1142</v>
      </c>
      <c r="H1315" t="s">
        <v>14</v>
      </c>
      <c r="I1315" s="26" t="s">
        <v>33</v>
      </c>
    </row>
    <row r="1316" spans="1:9" x14ac:dyDescent="0.3">
      <c r="A1316" s="24">
        <v>45359</v>
      </c>
      <c r="B1316" t="s">
        <v>164</v>
      </c>
      <c r="C1316" t="s">
        <v>159</v>
      </c>
      <c r="D1316">
        <v>0.87</v>
      </c>
      <c r="E1316" t="s">
        <v>170</v>
      </c>
      <c r="F1316" t="s">
        <v>55</v>
      </c>
      <c r="G1316" t="s">
        <v>1143</v>
      </c>
      <c r="H1316" t="s">
        <v>14</v>
      </c>
      <c r="I1316" s="26" t="s">
        <v>33</v>
      </c>
    </row>
    <row r="1317" spans="1:9" x14ac:dyDescent="0.3">
      <c r="A1317" s="24">
        <v>45359</v>
      </c>
      <c r="B1317" t="s">
        <v>164</v>
      </c>
      <c r="C1317" t="s">
        <v>90</v>
      </c>
      <c r="D1317">
        <v>1.05</v>
      </c>
      <c r="E1317" t="s">
        <v>229</v>
      </c>
      <c r="F1317" t="s">
        <v>31</v>
      </c>
      <c r="G1317" t="s">
        <v>1144</v>
      </c>
      <c r="H1317" t="s">
        <v>14</v>
      </c>
      <c r="I1317" s="26" t="s">
        <v>33</v>
      </c>
    </row>
    <row r="1318" spans="1:9" x14ac:dyDescent="0.3">
      <c r="A1318" s="24">
        <v>45359</v>
      </c>
      <c r="B1318" t="s">
        <v>164</v>
      </c>
      <c r="C1318" t="s">
        <v>60</v>
      </c>
      <c r="D1318">
        <v>0.8</v>
      </c>
      <c r="E1318" t="s">
        <v>356</v>
      </c>
      <c r="F1318" t="s">
        <v>31</v>
      </c>
      <c r="G1318" t="s">
        <v>1145</v>
      </c>
      <c r="H1318" t="s">
        <v>14</v>
      </c>
      <c r="I1318" s="26" t="s">
        <v>33</v>
      </c>
    </row>
    <row r="1319" spans="1:9" x14ac:dyDescent="0.3">
      <c r="A1319" s="24">
        <v>45359</v>
      </c>
      <c r="B1319" t="s">
        <v>164</v>
      </c>
      <c r="C1319" t="s">
        <v>60</v>
      </c>
      <c r="D1319">
        <v>1.1299999999999999</v>
      </c>
      <c r="E1319" t="s">
        <v>356</v>
      </c>
      <c r="F1319" t="s">
        <v>31</v>
      </c>
      <c r="G1319" t="s">
        <v>1146</v>
      </c>
      <c r="H1319" t="s">
        <v>14</v>
      </c>
      <c r="I1319" s="26" t="s">
        <v>33</v>
      </c>
    </row>
    <row r="1320" spans="1:9" x14ac:dyDescent="0.3">
      <c r="A1320" s="24">
        <v>45359</v>
      </c>
      <c r="B1320" t="s">
        <v>169</v>
      </c>
      <c r="C1320" t="s">
        <v>29</v>
      </c>
      <c r="D1320">
        <v>7.57</v>
      </c>
      <c r="E1320" t="s">
        <v>170</v>
      </c>
      <c r="F1320" t="s">
        <v>31</v>
      </c>
      <c r="H1320" t="s">
        <v>14</v>
      </c>
      <c r="I1320" s="26" t="s">
        <v>33</v>
      </c>
    </row>
    <row r="1321" spans="1:9" x14ac:dyDescent="0.3">
      <c r="A1321" s="24">
        <v>45359</v>
      </c>
      <c r="B1321" t="s">
        <v>169</v>
      </c>
      <c r="C1321" t="s">
        <v>225</v>
      </c>
      <c r="D1321">
        <v>0.22</v>
      </c>
      <c r="E1321" t="s">
        <v>444</v>
      </c>
      <c r="F1321" t="s">
        <v>31</v>
      </c>
      <c r="H1321" t="s">
        <v>14</v>
      </c>
      <c r="I1321" s="26" t="s">
        <v>33</v>
      </c>
    </row>
    <row r="1322" spans="1:9" x14ac:dyDescent="0.3">
      <c r="A1322" s="24">
        <v>45359</v>
      </c>
      <c r="B1322" t="s">
        <v>169</v>
      </c>
      <c r="C1322" t="s">
        <v>60</v>
      </c>
      <c r="D1322">
        <v>0.2</v>
      </c>
      <c r="E1322" t="s">
        <v>445</v>
      </c>
      <c r="F1322" t="s">
        <v>31</v>
      </c>
      <c r="H1322" t="s">
        <v>14</v>
      </c>
      <c r="I1322" s="26" t="s">
        <v>33</v>
      </c>
    </row>
    <row r="1323" spans="1:9" x14ac:dyDescent="0.3">
      <c r="A1323" s="24">
        <v>45359</v>
      </c>
      <c r="B1323" t="s">
        <v>175</v>
      </c>
      <c r="C1323" t="s">
        <v>29</v>
      </c>
      <c r="D1323">
        <v>0.5</v>
      </c>
      <c r="E1323" t="s">
        <v>185</v>
      </c>
      <c r="F1323" t="s">
        <v>31</v>
      </c>
      <c r="G1323" t="s">
        <v>1147</v>
      </c>
      <c r="H1323" t="s">
        <v>14</v>
      </c>
      <c r="I1323" s="26" t="s">
        <v>33</v>
      </c>
    </row>
    <row r="1324" spans="1:9" x14ac:dyDescent="0.3">
      <c r="A1324" s="24">
        <v>45359</v>
      </c>
      <c r="B1324" t="s">
        <v>175</v>
      </c>
      <c r="C1324" t="s">
        <v>29</v>
      </c>
      <c r="D1324">
        <v>1</v>
      </c>
      <c r="E1324" t="s">
        <v>177</v>
      </c>
      <c r="F1324" t="s">
        <v>31</v>
      </c>
      <c r="H1324" t="s">
        <v>14</v>
      </c>
      <c r="I1324" s="26" t="s">
        <v>33</v>
      </c>
    </row>
    <row r="1325" spans="1:9" x14ac:dyDescent="0.3">
      <c r="A1325" s="24">
        <v>45359</v>
      </c>
      <c r="B1325" t="s">
        <v>175</v>
      </c>
      <c r="C1325" t="s">
        <v>29</v>
      </c>
      <c r="D1325">
        <v>1.1499999999999999</v>
      </c>
      <c r="E1325" t="s">
        <v>127</v>
      </c>
      <c r="F1325" t="s">
        <v>31</v>
      </c>
      <c r="H1325" t="s">
        <v>14</v>
      </c>
      <c r="I1325" s="26" t="s">
        <v>33</v>
      </c>
    </row>
    <row r="1326" spans="1:9" x14ac:dyDescent="0.3">
      <c r="A1326" s="24">
        <v>45359</v>
      </c>
      <c r="B1326" t="s">
        <v>175</v>
      </c>
      <c r="C1326" t="s">
        <v>29</v>
      </c>
      <c r="D1326">
        <v>1.1499999999999999</v>
      </c>
      <c r="E1326" t="s">
        <v>127</v>
      </c>
      <c r="F1326" t="s">
        <v>31</v>
      </c>
      <c r="G1326" t="s">
        <v>1148</v>
      </c>
      <c r="H1326" t="s">
        <v>14</v>
      </c>
      <c r="I1326" s="26" t="s">
        <v>33</v>
      </c>
    </row>
    <row r="1327" spans="1:9" x14ac:dyDescent="0.3">
      <c r="A1327" s="24">
        <v>45359</v>
      </c>
      <c r="B1327" t="s">
        <v>175</v>
      </c>
      <c r="C1327" t="s">
        <v>29</v>
      </c>
      <c r="D1327">
        <v>2.5299999999999998</v>
      </c>
      <c r="E1327" t="s">
        <v>182</v>
      </c>
      <c r="F1327" t="s">
        <v>31</v>
      </c>
      <c r="H1327" t="s">
        <v>14</v>
      </c>
      <c r="I1327" s="26" t="s">
        <v>33</v>
      </c>
    </row>
    <row r="1328" spans="1:9" x14ac:dyDescent="0.3">
      <c r="A1328" s="24">
        <v>45359</v>
      </c>
      <c r="B1328" t="s">
        <v>175</v>
      </c>
      <c r="C1328" t="s">
        <v>148</v>
      </c>
      <c r="D1328">
        <v>0.25</v>
      </c>
      <c r="E1328" t="s">
        <v>54</v>
      </c>
      <c r="F1328" t="s">
        <v>55</v>
      </c>
      <c r="G1328" t="s">
        <v>1149</v>
      </c>
      <c r="H1328" t="s">
        <v>14</v>
      </c>
      <c r="I1328" s="26" t="s">
        <v>33</v>
      </c>
    </row>
    <row r="1329" spans="1:9" x14ac:dyDescent="0.3">
      <c r="A1329" s="24">
        <v>45359</v>
      </c>
      <c r="B1329" t="s">
        <v>175</v>
      </c>
      <c r="C1329" t="s">
        <v>148</v>
      </c>
      <c r="D1329">
        <v>0.5</v>
      </c>
      <c r="E1329" t="s">
        <v>54</v>
      </c>
      <c r="F1329" t="s">
        <v>55</v>
      </c>
      <c r="G1329" t="s">
        <v>1150</v>
      </c>
      <c r="H1329" t="s">
        <v>14</v>
      </c>
      <c r="I1329" s="26" t="s">
        <v>33</v>
      </c>
    </row>
    <row r="1330" spans="1:9" x14ac:dyDescent="0.3">
      <c r="A1330" s="24">
        <v>45359</v>
      </c>
      <c r="B1330" t="s">
        <v>175</v>
      </c>
      <c r="C1330" t="s">
        <v>148</v>
      </c>
      <c r="D1330">
        <v>0.95</v>
      </c>
      <c r="E1330" t="s">
        <v>54</v>
      </c>
      <c r="F1330" t="s">
        <v>55</v>
      </c>
      <c r="G1330" t="s">
        <v>1151</v>
      </c>
      <c r="H1330" t="s">
        <v>14</v>
      </c>
      <c r="I1330" s="26" t="s">
        <v>33</v>
      </c>
    </row>
    <row r="1331" spans="1:9" x14ac:dyDescent="0.3">
      <c r="A1331" s="24">
        <v>45359</v>
      </c>
      <c r="B1331" t="s">
        <v>188</v>
      </c>
      <c r="C1331" t="s">
        <v>454</v>
      </c>
      <c r="D1331">
        <v>8</v>
      </c>
      <c r="E1331" t="s">
        <v>54</v>
      </c>
      <c r="F1331" t="s">
        <v>55</v>
      </c>
      <c r="G1331" t="s">
        <v>189</v>
      </c>
      <c r="H1331" t="s">
        <v>14</v>
      </c>
      <c r="I1331" s="26" t="s">
        <v>33</v>
      </c>
    </row>
    <row r="1332" spans="1:9" x14ac:dyDescent="0.3">
      <c r="A1332" s="24">
        <v>45359</v>
      </c>
      <c r="B1332" t="s">
        <v>190</v>
      </c>
      <c r="C1332" t="s">
        <v>89</v>
      </c>
      <c r="D1332">
        <v>6</v>
      </c>
      <c r="E1332" t="s">
        <v>54</v>
      </c>
      <c r="F1332" t="s">
        <v>55</v>
      </c>
      <c r="H1332" t="s">
        <v>14</v>
      </c>
      <c r="I1332" s="26" t="s">
        <v>33</v>
      </c>
    </row>
    <row r="1333" spans="1:9" x14ac:dyDescent="0.3">
      <c r="A1333" s="24">
        <v>45359</v>
      </c>
      <c r="B1333" t="s">
        <v>190</v>
      </c>
      <c r="C1333" t="s">
        <v>950</v>
      </c>
      <c r="D1333">
        <v>2</v>
      </c>
      <c r="E1333" t="s">
        <v>54</v>
      </c>
      <c r="F1333" t="s">
        <v>55</v>
      </c>
      <c r="H1333" t="s">
        <v>14</v>
      </c>
      <c r="I1333" s="26" t="s">
        <v>33</v>
      </c>
    </row>
    <row r="1334" spans="1:9" x14ac:dyDescent="0.3">
      <c r="A1334" s="24">
        <v>45359</v>
      </c>
      <c r="B1334" t="s">
        <v>191</v>
      </c>
      <c r="C1334" t="s">
        <v>89</v>
      </c>
      <c r="D1334">
        <v>8</v>
      </c>
      <c r="E1334" t="s">
        <v>54</v>
      </c>
      <c r="F1334" t="s">
        <v>55</v>
      </c>
      <c r="G1334" t="s">
        <v>1152</v>
      </c>
      <c r="H1334" t="s">
        <v>14</v>
      </c>
      <c r="I1334" s="26" t="s">
        <v>33</v>
      </c>
    </row>
    <row r="1335" spans="1:9" x14ac:dyDescent="0.3">
      <c r="A1335" s="24">
        <v>45359</v>
      </c>
      <c r="B1335" t="s">
        <v>193</v>
      </c>
      <c r="C1335" t="s">
        <v>29</v>
      </c>
      <c r="D1335">
        <v>7.0000000000000007E-2</v>
      </c>
      <c r="E1335" t="s">
        <v>104</v>
      </c>
      <c r="F1335" t="s">
        <v>31</v>
      </c>
      <c r="G1335" t="s">
        <v>1153</v>
      </c>
      <c r="H1335" t="s">
        <v>14</v>
      </c>
      <c r="I1335" s="26" t="s">
        <v>33</v>
      </c>
    </row>
    <row r="1336" spans="1:9" x14ac:dyDescent="0.3">
      <c r="A1336" s="24">
        <v>45359</v>
      </c>
      <c r="B1336" t="s">
        <v>193</v>
      </c>
      <c r="C1336" t="s">
        <v>29</v>
      </c>
      <c r="D1336">
        <v>0.25</v>
      </c>
      <c r="E1336" t="s">
        <v>102</v>
      </c>
      <c r="F1336" t="s">
        <v>31</v>
      </c>
      <c r="G1336" t="s">
        <v>1154</v>
      </c>
      <c r="H1336" t="s">
        <v>14</v>
      </c>
      <c r="I1336" s="26" t="s">
        <v>33</v>
      </c>
    </row>
    <row r="1337" spans="1:9" x14ac:dyDescent="0.3">
      <c r="A1337" s="24">
        <v>45359</v>
      </c>
      <c r="B1337" t="s">
        <v>193</v>
      </c>
      <c r="C1337" t="s">
        <v>29</v>
      </c>
      <c r="D1337">
        <v>0.63</v>
      </c>
      <c r="E1337" t="s">
        <v>195</v>
      </c>
      <c r="F1337" t="s">
        <v>31</v>
      </c>
      <c r="G1337" t="s">
        <v>1155</v>
      </c>
      <c r="H1337" t="s">
        <v>14</v>
      </c>
      <c r="I1337" s="26" t="s">
        <v>33</v>
      </c>
    </row>
    <row r="1338" spans="1:9" x14ac:dyDescent="0.3">
      <c r="A1338" s="24">
        <v>45359</v>
      </c>
      <c r="B1338" t="s">
        <v>193</v>
      </c>
      <c r="C1338" t="s">
        <v>29</v>
      </c>
      <c r="D1338">
        <v>1.72</v>
      </c>
      <c r="E1338" t="s">
        <v>229</v>
      </c>
      <c r="F1338" t="s">
        <v>31</v>
      </c>
      <c r="G1338" t="s">
        <v>1156</v>
      </c>
      <c r="H1338" t="s">
        <v>14</v>
      </c>
      <c r="I1338" s="26" t="s">
        <v>33</v>
      </c>
    </row>
    <row r="1339" spans="1:9" x14ac:dyDescent="0.3">
      <c r="A1339" s="24">
        <v>45359</v>
      </c>
      <c r="B1339" t="s">
        <v>193</v>
      </c>
      <c r="C1339" t="s">
        <v>197</v>
      </c>
      <c r="D1339">
        <v>0.23</v>
      </c>
      <c r="E1339" t="s">
        <v>54</v>
      </c>
      <c r="F1339" t="s">
        <v>55</v>
      </c>
      <c r="G1339" t="s">
        <v>1157</v>
      </c>
      <c r="H1339" t="s">
        <v>14</v>
      </c>
      <c r="I1339" s="26" t="s">
        <v>33</v>
      </c>
    </row>
    <row r="1340" spans="1:9" x14ac:dyDescent="0.3">
      <c r="A1340" s="24">
        <v>45359</v>
      </c>
      <c r="B1340" t="s">
        <v>193</v>
      </c>
      <c r="C1340" t="s">
        <v>197</v>
      </c>
      <c r="D1340">
        <v>0.28000000000000003</v>
      </c>
      <c r="E1340" t="s">
        <v>54</v>
      </c>
      <c r="F1340" t="s">
        <v>55</v>
      </c>
      <c r="G1340" t="s">
        <v>1158</v>
      </c>
      <c r="H1340" t="s">
        <v>14</v>
      </c>
      <c r="I1340" s="26" t="s">
        <v>33</v>
      </c>
    </row>
    <row r="1341" spans="1:9" x14ac:dyDescent="0.3">
      <c r="A1341" s="24">
        <v>45359</v>
      </c>
      <c r="B1341" t="s">
        <v>193</v>
      </c>
      <c r="C1341" t="s">
        <v>197</v>
      </c>
      <c r="D1341">
        <v>0.32</v>
      </c>
      <c r="E1341" t="s">
        <v>54</v>
      </c>
      <c r="F1341" t="s">
        <v>55</v>
      </c>
      <c r="G1341" t="s">
        <v>1159</v>
      </c>
      <c r="H1341" t="s">
        <v>14</v>
      </c>
      <c r="I1341" s="26" t="s">
        <v>33</v>
      </c>
    </row>
    <row r="1342" spans="1:9" x14ac:dyDescent="0.3">
      <c r="A1342" s="24">
        <v>45359</v>
      </c>
      <c r="B1342" t="s">
        <v>193</v>
      </c>
      <c r="C1342" t="s">
        <v>197</v>
      </c>
      <c r="D1342">
        <v>0.92</v>
      </c>
      <c r="E1342" t="s">
        <v>54</v>
      </c>
      <c r="F1342" t="s">
        <v>55</v>
      </c>
      <c r="G1342" t="s">
        <v>1160</v>
      </c>
      <c r="H1342" t="s">
        <v>14</v>
      </c>
      <c r="I1342" s="26" t="s">
        <v>33</v>
      </c>
    </row>
    <row r="1343" spans="1:9" x14ac:dyDescent="0.3">
      <c r="A1343" s="24">
        <v>45359</v>
      </c>
      <c r="B1343" t="s">
        <v>193</v>
      </c>
      <c r="C1343" t="s">
        <v>202</v>
      </c>
      <c r="D1343">
        <v>7.0000000000000007E-2</v>
      </c>
      <c r="E1343" t="s">
        <v>205</v>
      </c>
      <c r="F1343" t="s">
        <v>31</v>
      </c>
      <c r="G1343" t="s">
        <v>1161</v>
      </c>
      <c r="H1343" t="s">
        <v>14</v>
      </c>
      <c r="I1343" s="26" t="s">
        <v>33</v>
      </c>
    </row>
    <row r="1344" spans="1:9" x14ac:dyDescent="0.3">
      <c r="A1344" s="24">
        <v>45359</v>
      </c>
      <c r="B1344" t="s">
        <v>193</v>
      </c>
      <c r="C1344" t="s">
        <v>202</v>
      </c>
      <c r="D1344">
        <v>0.25</v>
      </c>
      <c r="E1344" t="s">
        <v>229</v>
      </c>
      <c r="F1344" t="s">
        <v>31</v>
      </c>
      <c r="G1344" t="s">
        <v>1162</v>
      </c>
      <c r="H1344" t="s">
        <v>14</v>
      </c>
      <c r="I1344" s="26" t="s">
        <v>33</v>
      </c>
    </row>
    <row r="1345" spans="1:9" x14ac:dyDescent="0.3">
      <c r="A1345" s="24">
        <v>45359</v>
      </c>
      <c r="B1345" t="s">
        <v>193</v>
      </c>
      <c r="C1345" t="s">
        <v>202</v>
      </c>
      <c r="D1345">
        <v>0.25</v>
      </c>
      <c r="E1345" t="s">
        <v>162</v>
      </c>
      <c r="F1345" t="s">
        <v>31</v>
      </c>
      <c r="G1345" t="s">
        <v>1163</v>
      </c>
      <c r="H1345" t="s">
        <v>14</v>
      </c>
      <c r="I1345" s="26" t="s">
        <v>33</v>
      </c>
    </row>
    <row r="1346" spans="1:9" x14ac:dyDescent="0.3">
      <c r="A1346" s="24">
        <v>45359</v>
      </c>
      <c r="B1346" t="s">
        <v>193</v>
      </c>
      <c r="C1346" t="s">
        <v>85</v>
      </c>
      <c r="D1346">
        <v>0.17</v>
      </c>
      <c r="E1346" t="s">
        <v>96</v>
      </c>
      <c r="F1346" t="s">
        <v>55</v>
      </c>
      <c r="G1346" t="s">
        <v>1164</v>
      </c>
      <c r="H1346" t="s">
        <v>14</v>
      </c>
      <c r="I1346" s="26" t="s">
        <v>33</v>
      </c>
    </row>
    <row r="1347" spans="1:9" x14ac:dyDescent="0.3">
      <c r="A1347" s="24">
        <v>45359</v>
      </c>
      <c r="B1347" t="s">
        <v>193</v>
      </c>
      <c r="C1347" t="s">
        <v>85</v>
      </c>
      <c r="D1347">
        <v>0.42</v>
      </c>
      <c r="E1347" t="s">
        <v>104</v>
      </c>
      <c r="F1347" t="s">
        <v>31</v>
      </c>
      <c r="G1347" t="s">
        <v>1165</v>
      </c>
      <c r="H1347" t="s">
        <v>14</v>
      </c>
      <c r="I1347" s="26" t="s">
        <v>33</v>
      </c>
    </row>
    <row r="1348" spans="1:9" x14ac:dyDescent="0.3">
      <c r="A1348" s="24">
        <v>45359</v>
      </c>
      <c r="B1348" t="s">
        <v>193</v>
      </c>
      <c r="C1348" t="s">
        <v>53</v>
      </c>
      <c r="D1348">
        <v>0.57999999999999996</v>
      </c>
      <c r="E1348" t="s">
        <v>54</v>
      </c>
      <c r="F1348" t="s">
        <v>55</v>
      </c>
      <c r="G1348" t="s">
        <v>1166</v>
      </c>
      <c r="H1348" t="s">
        <v>14</v>
      </c>
      <c r="I1348" s="26" t="s">
        <v>33</v>
      </c>
    </row>
    <row r="1349" spans="1:9" x14ac:dyDescent="0.3">
      <c r="A1349" s="24">
        <v>45359</v>
      </c>
      <c r="B1349" t="s">
        <v>193</v>
      </c>
      <c r="C1349" t="s">
        <v>225</v>
      </c>
      <c r="D1349">
        <v>0.18</v>
      </c>
      <c r="E1349" t="s">
        <v>953</v>
      </c>
      <c r="F1349" t="s">
        <v>31</v>
      </c>
      <c r="G1349" t="s">
        <v>1167</v>
      </c>
      <c r="H1349" t="s">
        <v>14</v>
      </c>
      <c r="I1349" s="26" t="s">
        <v>33</v>
      </c>
    </row>
    <row r="1350" spans="1:9" x14ac:dyDescent="0.3">
      <c r="A1350" s="24">
        <v>45359</v>
      </c>
      <c r="B1350" t="s">
        <v>193</v>
      </c>
      <c r="C1350" t="s">
        <v>60</v>
      </c>
      <c r="D1350">
        <v>0.12</v>
      </c>
      <c r="E1350" t="s">
        <v>162</v>
      </c>
      <c r="F1350" t="s">
        <v>31</v>
      </c>
      <c r="G1350" t="s">
        <v>243</v>
      </c>
      <c r="H1350" t="s">
        <v>14</v>
      </c>
      <c r="I1350" s="26" t="s">
        <v>33</v>
      </c>
    </row>
    <row r="1351" spans="1:9" x14ac:dyDescent="0.3">
      <c r="A1351" s="24">
        <v>45359</v>
      </c>
      <c r="B1351" t="s">
        <v>212</v>
      </c>
      <c r="C1351" t="s">
        <v>85</v>
      </c>
      <c r="D1351">
        <v>0.1</v>
      </c>
      <c r="E1351" t="s">
        <v>156</v>
      </c>
      <c r="F1351" t="s">
        <v>31</v>
      </c>
      <c r="G1351" t="s">
        <v>973</v>
      </c>
      <c r="H1351" t="s">
        <v>14</v>
      </c>
      <c r="I1351" s="26" t="s">
        <v>33</v>
      </c>
    </row>
    <row r="1352" spans="1:9" x14ac:dyDescent="0.3">
      <c r="A1352" s="24">
        <v>45359</v>
      </c>
      <c r="B1352" t="s">
        <v>212</v>
      </c>
      <c r="C1352" t="s">
        <v>53</v>
      </c>
      <c r="D1352">
        <v>0.25</v>
      </c>
      <c r="E1352" t="s">
        <v>54</v>
      </c>
      <c r="F1352" t="s">
        <v>55</v>
      </c>
      <c r="G1352" t="s">
        <v>221</v>
      </c>
      <c r="H1352" t="s">
        <v>14</v>
      </c>
      <c r="I1352" s="26" t="s">
        <v>33</v>
      </c>
    </row>
    <row r="1353" spans="1:9" x14ac:dyDescent="0.3">
      <c r="A1353" s="24">
        <v>45359</v>
      </c>
      <c r="B1353" t="s">
        <v>212</v>
      </c>
      <c r="C1353" t="s">
        <v>53</v>
      </c>
      <c r="D1353">
        <v>0.25</v>
      </c>
      <c r="E1353" t="s">
        <v>54</v>
      </c>
      <c r="F1353" t="s">
        <v>55</v>
      </c>
      <c r="G1353" t="s">
        <v>222</v>
      </c>
      <c r="H1353" t="s">
        <v>14</v>
      </c>
      <c r="I1353" s="26" t="s">
        <v>33</v>
      </c>
    </row>
    <row r="1354" spans="1:9" x14ac:dyDescent="0.3">
      <c r="A1354" s="24">
        <v>45359</v>
      </c>
      <c r="B1354" t="s">
        <v>212</v>
      </c>
      <c r="C1354" t="s">
        <v>53</v>
      </c>
      <c r="D1354">
        <v>0.93</v>
      </c>
      <c r="E1354" t="s">
        <v>54</v>
      </c>
      <c r="F1354" t="s">
        <v>55</v>
      </c>
      <c r="G1354" t="s">
        <v>1168</v>
      </c>
      <c r="H1354" t="s">
        <v>14</v>
      </c>
      <c r="I1354" s="26" t="s">
        <v>33</v>
      </c>
    </row>
    <row r="1355" spans="1:9" x14ac:dyDescent="0.3">
      <c r="A1355" s="24">
        <v>45359</v>
      </c>
      <c r="B1355" t="s">
        <v>212</v>
      </c>
      <c r="C1355" t="s">
        <v>53</v>
      </c>
      <c r="D1355">
        <v>2.2799999999999998</v>
      </c>
      <c r="E1355" t="s">
        <v>54</v>
      </c>
      <c r="F1355" t="s">
        <v>55</v>
      </c>
      <c r="G1355" t="s">
        <v>1169</v>
      </c>
      <c r="H1355" t="s">
        <v>14</v>
      </c>
      <c r="I1355" s="26" t="s">
        <v>33</v>
      </c>
    </row>
    <row r="1356" spans="1:9" x14ac:dyDescent="0.3">
      <c r="A1356" s="24">
        <v>45359</v>
      </c>
      <c r="B1356" t="s">
        <v>212</v>
      </c>
      <c r="C1356" t="s">
        <v>225</v>
      </c>
      <c r="D1356">
        <v>0.05</v>
      </c>
      <c r="E1356" t="s">
        <v>91</v>
      </c>
      <c r="F1356" t="s">
        <v>31</v>
      </c>
      <c r="H1356" t="s">
        <v>14</v>
      </c>
      <c r="I1356" s="26" t="s">
        <v>33</v>
      </c>
    </row>
    <row r="1357" spans="1:9" x14ac:dyDescent="0.3">
      <c r="A1357" s="24">
        <v>45359</v>
      </c>
      <c r="B1357" t="s">
        <v>212</v>
      </c>
      <c r="C1357" t="s">
        <v>225</v>
      </c>
      <c r="D1357">
        <v>0.05</v>
      </c>
      <c r="E1357" t="s">
        <v>1170</v>
      </c>
      <c r="F1357" t="s">
        <v>31</v>
      </c>
      <c r="H1357" t="s">
        <v>14</v>
      </c>
      <c r="I1357" s="26" t="s">
        <v>33</v>
      </c>
    </row>
    <row r="1358" spans="1:9" x14ac:dyDescent="0.3">
      <c r="A1358" s="24">
        <v>45359</v>
      </c>
      <c r="B1358" t="s">
        <v>212</v>
      </c>
      <c r="C1358" t="s">
        <v>225</v>
      </c>
      <c r="D1358">
        <v>0.05</v>
      </c>
      <c r="E1358" t="s">
        <v>40</v>
      </c>
      <c r="F1358" t="s">
        <v>31</v>
      </c>
      <c r="H1358" t="s">
        <v>14</v>
      </c>
      <c r="I1358" s="26" t="s">
        <v>33</v>
      </c>
    </row>
    <row r="1359" spans="1:9" x14ac:dyDescent="0.3">
      <c r="A1359" s="24">
        <v>45359</v>
      </c>
      <c r="B1359" t="s">
        <v>212</v>
      </c>
      <c r="C1359" t="s">
        <v>225</v>
      </c>
      <c r="D1359">
        <v>0.05</v>
      </c>
      <c r="E1359" t="s">
        <v>437</v>
      </c>
      <c r="F1359" t="s">
        <v>31</v>
      </c>
      <c r="H1359" t="s">
        <v>14</v>
      </c>
      <c r="I1359" s="26" t="s">
        <v>33</v>
      </c>
    </row>
    <row r="1360" spans="1:9" x14ac:dyDescent="0.3">
      <c r="A1360" s="24">
        <v>45359</v>
      </c>
      <c r="B1360" t="s">
        <v>212</v>
      </c>
      <c r="C1360" t="s">
        <v>225</v>
      </c>
      <c r="D1360">
        <v>0.05</v>
      </c>
      <c r="E1360" t="s">
        <v>139</v>
      </c>
      <c r="F1360" t="s">
        <v>31</v>
      </c>
      <c r="H1360" t="s">
        <v>14</v>
      </c>
      <c r="I1360" s="26" t="s">
        <v>33</v>
      </c>
    </row>
    <row r="1361" spans="1:9" x14ac:dyDescent="0.3">
      <c r="A1361" s="24">
        <v>45359</v>
      </c>
      <c r="B1361" t="s">
        <v>212</v>
      </c>
      <c r="C1361" t="s">
        <v>225</v>
      </c>
      <c r="D1361">
        <v>0.05</v>
      </c>
      <c r="E1361" t="s">
        <v>139</v>
      </c>
      <c r="F1361" t="s">
        <v>31</v>
      </c>
      <c r="G1361" t="s">
        <v>228</v>
      </c>
      <c r="H1361" t="s">
        <v>14</v>
      </c>
      <c r="I1361" s="26" t="s">
        <v>33</v>
      </c>
    </row>
    <row r="1362" spans="1:9" x14ac:dyDescent="0.3">
      <c r="A1362" s="24">
        <v>45359</v>
      </c>
      <c r="B1362" t="s">
        <v>212</v>
      </c>
      <c r="C1362" t="s">
        <v>225</v>
      </c>
      <c r="D1362">
        <v>0.05</v>
      </c>
      <c r="E1362" t="s">
        <v>1171</v>
      </c>
      <c r="F1362" t="s">
        <v>31</v>
      </c>
      <c r="H1362" t="s">
        <v>14</v>
      </c>
      <c r="I1362" s="26" t="s">
        <v>33</v>
      </c>
    </row>
    <row r="1363" spans="1:9" x14ac:dyDescent="0.3">
      <c r="A1363" s="24">
        <v>45359</v>
      </c>
      <c r="B1363" t="s">
        <v>212</v>
      </c>
      <c r="C1363" t="s">
        <v>225</v>
      </c>
      <c r="D1363">
        <v>7.0000000000000007E-2</v>
      </c>
      <c r="E1363" t="s">
        <v>40</v>
      </c>
      <c r="F1363" t="s">
        <v>31</v>
      </c>
      <c r="G1363" t="s">
        <v>228</v>
      </c>
      <c r="H1363" t="s">
        <v>14</v>
      </c>
      <c r="I1363" s="26" t="s">
        <v>33</v>
      </c>
    </row>
    <row r="1364" spans="1:9" x14ac:dyDescent="0.3">
      <c r="A1364" s="24">
        <v>45359</v>
      </c>
      <c r="B1364" t="s">
        <v>212</v>
      </c>
      <c r="C1364" t="s">
        <v>225</v>
      </c>
      <c r="D1364">
        <v>0.08</v>
      </c>
      <c r="E1364" t="s">
        <v>91</v>
      </c>
      <c r="F1364" t="s">
        <v>31</v>
      </c>
      <c r="G1364" t="s">
        <v>228</v>
      </c>
      <c r="H1364" t="s">
        <v>14</v>
      </c>
      <c r="I1364" s="26" t="s">
        <v>33</v>
      </c>
    </row>
    <row r="1365" spans="1:9" x14ac:dyDescent="0.3">
      <c r="A1365" s="24">
        <v>45359</v>
      </c>
      <c r="B1365" t="s">
        <v>212</v>
      </c>
      <c r="C1365" t="s">
        <v>225</v>
      </c>
      <c r="D1365">
        <v>0.08</v>
      </c>
      <c r="E1365" t="s">
        <v>1170</v>
      </c>
      <c r="F1365" t="s">
        <v>31</v>
      </c>
      <c r="G1365" t="s">
        <v>228</v>
      </c>
      <c r="H1365" t="s">
        <v>14</v>
      </c>
      <c r="I1365" s="26" t="s">
        <v>33</v>
      </c>
    </row>
    <row r="1366" spans="1:9" x14ac:dyDescent="0.3">
      <c r="A1366" s="24">
        <v>45359</v>
      </c>
      <c r="B1366" t="s">
        <v>212</v>
      </c>
      <c r="C1366" t="s">
        <v>225</v>
      </c>
      <c r="D1366">
        <v>0.1</v>
      </c>
      <c r="E1366" t="s">
        <v>437</v>
      </c>
      <c r="F1366" t="s">
        <v>31</v>
      </c>
      <c r="G1366" t="s">
        <v>228</v>
      </c>
      <c r="H1366" t="s">
        <v>14</v>
      </c>
      <c r="I1366" s="26" t="s">
        <v>33</v>
      </c>
    </row>
    <row r="1367" spans="1:9" x14ac:dyDescent="0.3">
      <c r="A1367" s="24">
        <v>45359</v>
      </c>
      <c r="B1367" t="s">
        <v>212</v>
      </c>
      <c r="C1367" t="s">
        <v>225</v>
      </c>
      <c r="D1367">
        <v>0.12</v>
      </c>
      <c r="E1367" t="s">
        <v>176</v>
      </c>
      <c r="F1367" t="s">
        <v>31</v>
      </c>
      <c r="G1367" t="s">
        <v>228</v>
      </c>
      <c r="H1367" t="s">
        <v>14</v>
      </c>
      <c r="I1367" s="26" t="s">
        <v>33</v>
      </c>
    </row>
    <row r="1368" spans="1:9" x14ac:dyDescent="0.3">
      <c r="A1368" s="24">
        <v>45359</v>
      </c>
      <c r="B1368" t="s">
        <v>212</v>
      </c>
      <c r="C1368" t="s">
        <v>225</v>
      </c>
      <c r="D1368">
        <v>0.12</v>
      </c>
      <c r="E1368" t="s">
        <v>334</v>
      </c>
      <c r="F1368" t="s">
        <v>31</v>
      </c>
      <c r="G1368" t="s">
        <v>228</v>
      </c>
      <c r="H1368" t="s">
        <v>14</v>
      </c>
      <c r="I1368" s="26" t="s">
        <v>33</v>
      </c>
    </row>
    <row r="1369" spans="1:9" x14ac:dyDescent="0.3">
      <c r="A1369" s="24">
        <v>45359</v>
      </c>
      <c r="B1369" t="s">
        <v>212</v>
      </c>
      <c r="C1369" t="s">
        <v>225</v>
      </c>
      <c r="D1369">
        <v>0.12</v>
      </c>
      <c r="E1369" t="s">
        <v>1171</v>
      </c>
      <c r="F1369" t="s">
        <v>31</v>
      </c>
      <c r="G1369" t="s">
        <v>1172</v>
      </c>
      <c r="H1369" t="s">
        <v>14</v>
      </c>
      <c r="I1369" s="26" t="s">
        <v>33</v>
      </c>
    </row>
    <row r="1370" spans="1:9" x14ac:dyDescent="0.3">
      <c r="A1370" s="24">
        <v>45359</v>
      </c>
      <c r="B1370" t="s">
        <v>212</v>
      </c>
      <c r="C1370" t="s">
        <v>225</v>
      </c>
      <c r="D1370">
        <v>0.13</v>
      </c>
      <c r="E1370" t="s">
        <v>127</v>
      </c>
      <c r="F1370" t="s">
        <v>31</v>
      </c>
      <c r="G1370" t="s">
        <v>228</v>
      </c>
      <c r="H1370" t="s">
        <v>14</v>
      </c>
      <c r="I1370" s="26" t="s">
        <v>33</v>
      </c>
    </row>
    <row r="1371" spans="1:9" x14ac:dyDescent="0.3">
      <c r="A1371" s="24">
        <v>45359</v>
      </c>
      <c r="B1371" t="s">
        <v>212</v>
      </c>
      <c r="C1371" t="s">
        <v>225</v>
      </c>
      <c r="D1371">
        <v>0.15</v>
      </c>
      <c r="E1371" t="s">
        <v>108</v>
      </c>
      <c r="F1371" t="s">
        <v>31</v>
      </c>
      <c r="G1371" t="s">
        <v>228</v>
      </c>
      <c r="H1371" t="s">
        <v>14</v>
      </c>
      <c r="I1371" s="26" t="s">
        <v>33</v>
      </c>
    </row>
    <row r="1372" spans="1:9" x14ac:dyDescent="0.3">
      <c r="A1372" s="24">
        <v>45359</v>
      </c>
      <c r="B1372" t="s">
        <v>212</v>
      </c>
      <c r="C1372" t="s">
        <v>225</v>
      </c>
      <c r="D1372">
        <v>0.15</v>
      </c>
      <c r="E1372" t="s">
        <v>444</v>
      </c>
      <c r="F1372" t="s">
        <v>31</v>
      </c>
      <c r="G1372" t="s">
        <v>228</v>
      </c>
      <c r="H1372" t="s">
        <v>14</v>
      </c>
      <c r="I1372" s="26" t="s">
        <v>33</v>
      </c>
    </row>
    <row r="1373" spans="1:9" x14ac:dyDescent="0.3">
      <c r="A1373" s="24">
        <v>45359</v>
      </c>
      <c r="B1373" t="s">
        <v>212</v>
      </c>
      <c r="C1373" t="s">
        <v>267</v>
      </c>
      <c r="D1373">
        <v>0.27</v>
      </c>
      <c r="E1373" t="s">
        <v>54</v>
      </c>
      <c r="F1373" t="s">
        <v>55</v>
      </c>
      <c r="G1373" t="s">
        <v>1173</v>
      </c>
      <c r="H1373" t="s">
        <v>14</v>
      </c>
      <c r="I1373" s="26" t="s">
        <v>33</v>
      </c>
    </row>
    <row r="1374" spans="1:9" x14ac:dyDescent="0.3">
      <c r="A1374" s="24">
        <v>45359</v>
      </c>
      <c r="B1374" t="s">
        <v>212</v>
      </c>
      <c r="C1374" t="s">
        <v>148</v>
      </c>
      <c r="D1374">
        <v>0.23</v>
      </c>
      <c r="E1374" t="s">
        <v>54</v>
      </c>
      <c r="F1374" t="s">
        <v>55</v>
      </c>
      <c r="G1374" t="s">
        <v>1174</v>
      </c>
      <c r="H1374" t="s">
        <v>14</v>
      </c>
      <c r="I1374" s="26" t="s">
        <v>33</v>
      </c>
    </row>
    <row r="1375" spans="1:9" x14ac:dyDescent="0.3">
      <c r="A1375" s="24">
        <v>45359</v>
      </c>
      <c r="B1375" t="s">
        <v>212</v>
      </c>
      <c r="C1375" t="s">
        <v>148</v>
      </c>
      <c r="D1375">
        <v>0.6</v>
      </c>
      <c r="E1375" t="s">
        <v>54</v>
      </c>
      <c r="F1375" t="s">
        <v>55</v>
      </c>
      <c r="G1375" t="s">
        <v>1175</v>
      </c>
      <c r="H1375" t="s">
        <v>14</v>
      </c>
      <c r="I1375" s="26" t="s">
        <v>33</v>
      </c>
    </row>
    <row r="1376" spans="1:9" x14ac:dyDescent="0.3">
      <c r="A1376" s="24">
        <v>45359</v>
      </c>
      <c r="B1376" t="s">
        <v>212</v>
      </c>
      <c r="C1376" t="s">
        <v>148</v>
      </c>
      <c r="D1376">
        <v>1.63</v>
      </c>
      <c r="E1376" t="s">
        <v>54</v>
      </c>
      <c r="F1376" t="s">
        <v>55</v>
      </c>
      <c r="G1376" t="s">
        <v>1176</v>
      </c>
      <c r="H1376" t="s">
        <v>14</v>
      </c>
      <c r="I1376" s="26" t="s">
        <v>33</v>
      </c>
    </row>
    <row r="1377" spans="1:9" x14ac:dyDescent="0.3">
      <c r="A1377" s="24">
        <v>45359</v>
      </c>
      <c r="B1377" t="s">
        <v>240</v>
      </c>
      <c r="C1377" t="s">
        <v>29</v>
      </c>
      <c r="D1377">
        <v>0.53</v>
      </c>
      <c r="E1377" t="s">
        <v>217</v>
      </c>
      <c r="F1377" t="s">
        <v>31</v>
      </c>
      <c r="H1377" t="s">
        <v>14</v>
      </c>
      <c r="I1377" s="26" t="s">
        <v>33</v>
      </c>
    </row>
    <row r="1378" spans="1:9" x14ac:dyDescent="0.3">
      <c r="A1378" s="24">
        <v>45359</v>
      </c>
      <c r="B1378" t="s">
        <v>240</v>
      </c>
      <c r="C1378" t="s">
        <v>29</v>
      </c>
      <c r="D1378">
        <v>7.48</v>
      </c>
      <c r="E1378" t="s">
        <v>81</v>
      </c>
      <c r="F1378" t="s">
        <v>31</v>
      </c>
      <c r="H1378" t="s">
        <v>14</v>
      </c>
      <c r="I1378" s="26" t="s">
        <v>33</v>
      </c>
    </row>
    <row r="1379" spans="1:9" x14ac:dyDescent="0.3">
      <c r="A1379" s="24">
        <v>45359</v>
      </c>
      <c r="B1379" t="s">
        <v>240</v>
      </c>
      <c r="C1379" t="s">
        <v>53</v>
      </c>
      <c r="D1379">
        <v>0.08</v>
      </c>
      <c r="E1379" t="s">
        <v>54</v>
      </c>
      <c r="F1379" t="s">
        <v>55</v>
      </c>
      <c r="G1379" t="s">
        <v>1177</v>
      </c>
      <c r="H1379" t="s">
        <v>14</v>
      </c>
      <c r="I1379" s="26" t="s">
        <v>33</v>
      </c>
    </row>
    <row r="1380" spans="1:9" x14ac:dyDescent="0.3">
      <c r="A1380" s="24">
        <v>45359</v>
      </c>
      <c r="B1380" t="s">
        <v>249</v>
      </c>
      <c r="C1380" t="s">
        <v>250</v>
      </c>
      <c r="D1380">
        <v>1</v>
      </c>
      <c r="E1380" t="s">
        <v>81</v>
      </c>
      <c r="F1380" t="s">
        <v>55</v>
      </c>
      <c r="G1380" t="s">
        <v>251</v>
      </c>
      <c r="H1380" t="s">
        <v>14</v>
      </c>
      <c r="I1380" s="26" t="s">
        <v>33</v>
      </c>
    </row>
    <row r="1381" spans="1:9" x14ac:dyDescent="0.3">
      <c r="A1381" s="24">
        <v>45359</v>
      </c>
      <c r="B1381" t="s">
        <v>249</v>
      </c>
      <c r="C1381" t="s">
        <v>252</v>
      </c>
      <c r="D1381">
        <v>1</v>
      </c>
      <c r="E1381" t="s">
        <v>54</v>
      </c>
      <c r="F1381" t="s">
        <v>31</v>
      </c>
      <c r="H1381" t="s">
        <v>14</v>
      </c>
      <c r="I1381" s="26" t="s">
        <v>33</v>
      </c>
    </row>
    <row r="1382" spans="1:9" x14ac:dyDescent="0.3">
      <c r="A1382" s="24">
        <v>45359</v>
      </c>
      <c r="B1382" t="s">
        <v>249</v>
      </c>
      <c r="C1382" t="s">
        <v>252</v>
      </c>
      <c r="D1382">
        <v>3</v>
      </c>
      <c r="E1382" t="s">
        <v>81</v>
      </c>
      <c r="F1382" t="s">
        <v>31</v>
      </c>
      <c r="H1382" t="s">
        <v>14</v>
      </c>
      <c r="I1382" s="26" t="s">
        <v>33</v>
      </c>
    </row>
    <row r="1383" spans="1:9" x14ac:dyDescent="0.3">
      <c r="A1383" s="24">
        <v>45359</v>
      </c>
      <c r="B1383" t="s">
        <v>249</v>
      </c>
      <c r="C1383" t="s">
        <v>53</v>
      </c>
      <c r="D1383">
        <v>0.5</v>
      </c>
      <c r="E1383" t="s">
        <v>54</v>
      </c>
      <c r="F1383" t="s">
        <v>55</v>
      </c>
      <c r="G1383" t="s">
        <v>110</v>
      </c>
      <c r="H1383" t="s">
        <v>14</v>
      </c>
      <c r="I1383" s="26" t="s">
        <v>33</v>
      </c>
    </row>
    <row r="1384" spans="1:9" x14ac:dyDescent="0.3">
      <c r="A1384" s="24">
        <v>45359</v>
      </c>
      <c r="B1384" t="s">
        <v>249</v>
      </c>
      <c r="C1384" t="s">
        <v>53</v>
      </c>
      <c r="D1384">
        <v>2.5</v>
      </c>
      <c r="E1384" t="s">
        <v>54</v>
      </c>
      <c r="F1384" t="s">
        <v>55</v>
      </c>
      <c r="G1384" t="s">
        <v>1178</v>
      </c>
      <c r="H1384" t="s">
        <v>14</v>
      </c>
      <c r="I1384" s="26" t="s">
        <v>33</v>
      </c>
    </row>
    <row r="1385" spans="1:9" x14ac:dyDescent="0.3">
      <c r="A1385" s="24">
        <v>45359</v>
      </c>
      <c r="B1385" t="s">
        <v>256</v>
      </c>
      <c r="C1385" t="s">
        <v>159</v>
      </c>
      <c r="D1385">
        <v>3.93</v>
      </c>
      <c r="E1385" t="s">
        <v>54</v>
      </c>
      <c r="F1385" t="s">
        <v>55</v>
      </c>
      <c r="G1385" t="s">
        <v>504</v>
      </c>
      <c r="H1385" t="s">
        <v>14</v>
      </c>
      <c r="I1385" s="26" t="s">
        <v>33</v>
      </c>
    </row>
    <row r="1386" spans="1:9" x14ac:dyDescent="0.3">
      <c r="A1386" s="24">
        <v>45359</v>
      </c>
      <c r="B1386" t="s">
        <v>256</v>
      </c>
      <c r="C1386" t="s">
        <v>159</v>
      </c>
      <c r="D1386">
        <v>5.23</v>
      </c>
      <c r="E1386" t="s">
        <v>54</v>
      </c>
      <c r="F1386" t="s">
        <v>55</v>
      </c>
      <c r="G1386" t="s">
        <v>1179</v>
      </c>
      <c r="H1386" t="s">
        <v>14</v>
      </c>
      <c r="I1386" s="26" t="s">
        <v>33</v>
      </c>
    </row>
    <row r="1387" spans="1:9" x14ac:dyDescent="0.3">
      <c r="A1387" s="24">
        <v>45359</v>
      </c>
      <c r="B1387" t="s">
        <v>262</v>
      </c>
      <c r="C1387" t="s">
        <v>29</v>
      </c>
      <c r="D1387">
        <v>0.3</v>
      </c>
      <c r="E1387" t="s">
        <v>1180</v>
      </c>
      <c r="F1387" t="s">
        <v>31</v>
      </c>
      <c r="G1387" t="s">
        <v>1181</v>
      </c>
      <c r="H1387" t="s">
        <v>14</v>
      </c>
      <c r="I1387" s="26" t="s">
        <v>33</v>
      </c>
    </row>
    <row r="1388" spans="1:9" x14ac:dyDescent="0.3">
      <c r="A1388" s="24">
        <v>45359</v>
      </c>
      <c r="B1388" t="s">
        <v>262</v>
      </c>
      <c r="C1388" t="s">
        <v>29</v>
      </c>
      <c r="D1388">
        <v>1.68</v>
      </c>
      <c r="E1388" t="s">
        <v>263</v>
      </c>
      <c r="F1388" t="s">
        <v>31</v>
      </c>
      <c r="G1388" t="s">
        <v>1182</v>
      </c>
      <c r="H1388" t="s">
        <v>14</v>
      </c>
      <c r="I1388" s="26" t="s">
        <v>33</v>
      </c>
    </row>
    <row r="1389" spans="1:9" x14ac:dyDescent="0.3">
      <c r="A1389" s="24">
        <v>45359</v>
      </c>
      <c r="B1389" t="s">
        <v>262</v>
      </c>
      <c r="C1389" t="s">
        <v>29</v>
      </c>
      <c r="D1389">
        <v>6.03</v>
      </c>
      <c r="E1389" t="s">
        <v>263</v>
      </c>
      <c r="F1389" t="s">
        <v>31</v>
      </c>
      <c r="G1389" t="s">
        <v>1183</v>
      </c>
      <c r="H1389" t="s">
        <v>14</v>
      </c>
      <c r="I1389" s="26" t="s">
        <v>33</v>
      </c>
    </row>
    <row r="1390" spans="1:9" x14ac:dyDescent="0.3">
      <c r="A1390" s="24">
        <v>45359</v>
      </c>
      <c r="B1390" t="s">
        <v>266</v>
      </c>
      <c r="C1390" t="s">
        <v>73</v>
      </c>
      <c r="D1390">
        <v>8</v>
      </c>
      <c r="E1390" t="s">
        <v>54</v>
      </c>
      <c r="F1390" t="s">
        <v>55</v>
      </c>
      <c r="G1390" t="s">
        <v>1184</v>
      </c>
      <c r="H1390" t="s">
        <v>14</v>
      </c>
      <c r="I1390" s="26" t="s">
        <v>33</v>
      </c>
    </row>
    <row r="1391" spans="1:9" x14ac:dyDescent="0.3">
      <c r="A1391" s="24">
        <v>45359</v>
      </c>
      <c r="B1391" t="s">
        <v>269</v>
      </c>
      <c r="C1391" t="s">
        <v>29</v>
      </c>
      <c r="D1391">
        <v>0.62</v>
      </c>
      <c r="E1391" t="s">
        <v>460</v>
      </c>
      <c r="F1391" t="s">
        <v>31</v>
      </c>
      <c r="G1391" t="s">
        <v>1185</v>
      </c>
      <c r="H1391" t="s">
        <v>14</v>
      </c>
      <c r="I1391" s="26" t="s">
        <v>33</v>
      </c>
    </row>
    <row r="1392" spans="1:9" x14ac:dyDescent="0.3">
      <c r="A1392" s="24">
        <v>45359</v>
      </c>
      <c r="B1392" t="s">
        <v>269</v>
      </c>
      <c r="C1392" t="s">
        <v>29</v>
      </c>
      <c r="D1392">
        <v>2.13</v>
      </c>
      <c r="E1392" t="s">
        <v>271</v>
      </c>
      <c r="F1392" t="s">
        <v>31</v>
      </c>
      <c r="G1392" t="s">
        <v>1186</v>
      </c>
      <c r="H1392" t="s">
        <v>14</v>
      </c>
      <c r="I1392" s="26" t="s">
        <v>33</v>
      </c>
    </row>
    <row r="1393" spans="1:9" x14ac:dyDescent="0.3">
      <c r="A1393" s="24">
        <v>45359</v>
      </c>
      <c r="B1393" t="s">
        <v>269</v>
      </c>
      <c r="C1393" t="s">
        <v>29</v>
      </c>
      <c r="D1393">
        <v>5.28</v>
      </c>
      <c r="E1393" t="s">
        <v>116</v>
      </c>
      <c r="F1393" t="s">
        <v>31</v>
      </c>
      <c r="G1393" t="s">
        <v>1187</v>
      </c>
      <c r="H1393" t="s">
        <v>14</v>
      </c>
      <c r="I1393" s="26" t="s">
        <v>33</v>
      </c>
    </row>
    <row r="1394" spans="1:9" x14ac:dyDescent="0.3">
      <c r="A1394" s="24">
        <v>45359</v>
      </c>
      <c r="B1394" t="s">
        <v>278</v>
      </c>
      <c r="C1394" t="s">
        <v>442</v>
      </c>
      <c r="D1394">
        <v>8</v>
      </c>
      <c r="E1394" t="s">
        <v>54</v>
      </c>
      <c r="F1394" t="s">
        <v>55</v>
      </c>
      <c r="G1394" t="s">
        <v>1188</v>
      </c>
      <c r="H1394" t="s">
        <v>14</v>
      </c>
      <c r="I1394" s="26" t="s">
        <v>33</v>
      </c>
    </row>
    <row r="1395" spans="1:9" x14ac:dyDescent="0.3">
      <c r="A1395" s="24">
        <v>45359</v>
      </c>
      <c r="B1395" t="s">
        <v>286</v>
      </c>
      <c r="C1395" t="s">
        <v>287</v>
      </c>
      <c r="D1395">
        <v>10</v>
      </c>
      <c r="E1395" t="s">
        <v>54</v>
      </c>
      <c r="F1395" t="s">
        <v>55</v>
      </c>
      <c r="G1395" t="s">
        <v>1189</v>
      </c>
      <c r="H1395" t="s">
        <v>14</v>
      </c>
      <c r="I1395" s="26" t="s">
        <v>33</v>
      </c>
    </row>
    <row r="1396" spans="1:9" x14ac:dyDescent="0.3">
      <c r="A1396" s="24">
        <v>45359</v>
      </c>
      <c r="B1396" t="s">
        <v>289</v>
      </c>
      <c r="C1396" t="s">
        <v>29</v>
      </c>
      <c r="D1396">
        <v>0.25</v>
      </c>
      <c r="E1396" t="s">
        <v>524</v>
      </c>
      <c r="F1396" t="s">
        <v>31</v>
      </c>
      <c r="H1396" t="s">
        <v>14</v>
      </c>
      <c r="I1396" s="26" t="s">
        <v>33</v>
      </c>
    </row>
    <row r="1397" spans="1:9" x14ac:dyDescent="0.3">
      <c r="A1397" s="24">
        <v>45359</v>
      </c>
      <c r="B1397" t="s">
        <v>289</v>
      </c>
      <c r="C1397" t="s">
        <v>29</v>
      </c>
      <c r="D1397">
        <v>0.5</v>
      </c>
      <c r="E1397" t="s">
        <v>291</v>
      </c>
      <c r="F1397" t="s">
        <v>31</v>
      </c>
      <c r="H1397" t="s">
        <v>14</v>
      </c>
      <c r="I1397" s="26" t="s">
        <v>33</v>
      </c>
    </row>
    <row r="1398" spans="1:9" x14ac:dyDescent="0.3">
      <c r="A1398" s="24">
        <v>45359</v>
      </c>
      <c r="B1398" t="s">
        <v>289</v>
      </c>
      <c r="C1398" t="s">
        <v>29</v>
      </c>
      <c r="D1398">
        <v>0.5</v>
      </c>
      <c r="E1398" t="s">
        <v>226</v>
      </c>
      <c r="F1398" t="s">
        <v>31</v>
      </c>
      <c r="H1398" t="s">
        <v>14</v>
      </c>
      <c r="I1398" s="26" t="s">
        <v>33</v>
      </c>
    </row>
    <row r="1399" spans="1:9" x14ac:dyDescent="0.3">
      <c r="A1399" s="24">
        <v>45359</v>
      </c>
      <c r="B1399" t="s">
        <v>289</v>
      </c>
      <c r="C1399" t="s">
        <v>29</v>
      </c>
      <c r="D1399">
        <v>0.5</v>
      </c>
      <c r="E1399" t="s">
        <v>290</v>
      </c>
      <c r="F1399" t="s">
        <v>31</v>
      </c>
      <c r="H1399" t="s">
        <v>14</v>
      </c>
      <c r="I1399" s="26" t="s">
        <v>33</v>
      </c>
    </row>
    <row r="1400" spans="1:9" x14ac:dyDescent="0.3">
      <c r="A1400" s="24">
        <v>45359</v>
      </c>
      <c r="B1400" t="s">
        <v>289</v>
      </c>
      <c r="C1400" t="s">
        <v>29</v>
      </c>
      <c r="D1400">
        <v>2</v>
      </c>
      <c r="E1400" t="s">
        <v>49</v>
      </c>
      <c r="F1400" t="s">
        <v>31</v>
      </c>
      <c r="H1400" t="s">
        <v>14</v>
      </c>
      <c r="I1400" s="26" t="s">
        <v>33</v>
      </c>
    </row>
    <row r="1401" spans="1:9" x14ac:dyDescent="0.3">
      <c r="A1401" s="24">
        <v>45359</v>
      </c>
      <c r="B1401" t="s">
        <v>289</v>
      </c>
      <c r="C1401" t="s">
        <v>53</v>
      </c>
      <c r="D1401">
        <v>0.25</v>
      </c>
      <c r="E1401" t="s">
        <v>54</v>
      </c>
      <c r="F1401" t="s">
        <v>55</v>
      </c>
      <c r="H1401" t="s">
        <v>14</v>
      </c>
      <c r="I1401" s="26" t="s">
        <v>33</v>
      </c>
    </row>
    <row r="1402" spans="1:9" x14ac:dyDescent="0.3">
      <c r="A1402" s="24">
        <v>45359</v>
      </c>
      <c r="B1402" t="s">
        <v>289</v>
      </c>
      <c r="C1402" t="s">
        <v>60</v>
      </c>
      <c r="D1402">
        <v>1</v>
      </c>
      <c r="E1402" t="s">
        <v>1021</v>
      </c>
      <c r="F1402" t="s">
        <v>31</v>
      </c>
      <c r="H1402" t="s">
        <v>14</v>
      </c>
      <c r="I1402" s="26" t="s">
        <v>33</v>
      </c>
    </row>
    <row r="1403" spans="1:9" x14ac:dyDescent="0.3">
      <c r="A1403" s="24">
        <v>45359</v>
      </c>
      <c r="B1403" t="s">
        <v>294</v>
      </c>
      <c r="C1403" t="s">
        <v>202</v>
      </c>
      <c r="D1403">
        <v>0.15</v>
      </c>
      <c r="E1403" t="s">
        <v>295</v>
      </c>
      <c r="F1403" t="s">
        <v>55</v>
      </c>
      <c r="G1403" t="s">
        <v>1190</v>
      </c>
      <c r="H1403" t="s">
        <v>14</v>
      </c>
      <c r="I1403" s="26" t="s">
        <v>33</v>
      </c>
    </row>
    <row r="1404" spans="1:9" x14ac:dyDescent="0.3">
      <c r="A1404" s="24">
        <v>45359</v>
      </c>
      <c r="B1404" t="s">
        <v>294</v>
      </c>
      <c r="C1404" t="s">
        <v>202</v>
      </c>
      <c r="D1404">
        <v>0.28000000000000003</v>
      </c>
      <c r="E1404" t="s">
        <v>1022</v>
      </c>
      <c r="F1404" t="s">
        <v>31</v>
      </c>
      <c r="G1404" t="s">
        <v>489</v>
      </c>
      <c r="H1404" t="s">
        <v>14</v>
      </c>
      <c r="I1404" s="26" t="s">
        <v>33</v>
      </c>
    </row>
    <row r="1405" spans="1:9" x14ac:dyDescent="0.3">
      <c r="A1405" s="24">
        <v>45359</v>
      </c>
      <c r="B1405" t="s">
        <v>294</v>
      </c>
      <c r="C1405" t="s">
        <v>202</v>
      </c>
      <c r="D1405">
        <v>4.13</v>
      </c>
      <c r="E1405" t="s">
        <v>30</v>
      </c>
      <c r="F1405" t="s">
        <v>55</v>
      </c>
      <c r="G1405" t="s">
        <v>297</v>
      </c>
      <c r="H1405" t="s">
        <v>14</v>
      </c>
      <c r="I1405" s="26" t="s">
        <v>33</v>
      </c>
    </row>
    <row r="1406" spans="1:9" x14ac:dyDescent="0.3">
      <c r="A1406" s="24">
        <v>45359</v>
      </c>
      <c r="B1406" t="s">
        <v>294</v>
      </c>
      <c r="C1406" t="s">
        <v>53</v>
      </c>
      <c r="D1406">
        <v>0.8</v>
      </c>
      <c r="E1406" t="s">
        <v>54</v>
      </c>
      <c r="F1406" t="s">
        <v>55</v>
      </c>
      <c r="G1406" t="s">
        <v>300</v>
      </c>
      <c r="H1406" t="s">
        <v>14</v>
      </c>
      <c r="I1406" s="26" t="s">
        <v>33</v>
      </c>
    </row>
    <row r="1407" spans="1:9" x14ac:dyDescent="0.3">
      <c r="A1407" s="24">
        <v>45359</v>
      </c>
      <c r="B1407" t="s">
        <v>301</v>
      </c>
      <c r="C1407" t="s">
        <v>29</v>
      </c>
      <c r="D1407">
        <v>0.08</v>
      </c>
      <c r="E1407" t="s">
        <v>156</v>
      </c>
      <c r="F1407" t="s">
        <v>31</v>
      </c>
      <c r="G1407" t="s">
        <v>1191</v>
      </c>
      <c r="H1407" t="s">
        <v>14</v>
      </c>
      <c r="I1407" s="26" t="s">
        <v>33</v>
      </c>
    </row>
    <row r="1408" spans="1:9" x14ac:dyDescent="0.3">
      <c r="A1408" s="24">
        <v>45359</v>
      </c>
      <c r="B1408" t="s">
        <v>301</v>
      </c>
      <c r="C1408" t="s">
        <v>29</v>
      </c>
      <c r="D1408">
        <v>0.22</v>
      </c>
      <c r="E1408" t="s">
        <v>156</v>
      </c>
      <c r="F1408" t="s">
        <v>55</v>
      </c>
      <c r="G1408" t="s">
        <v>1192</v>
      </c>
      <c r="H1408" t="s">
        <v>14</v>
      </c>
      <c r="I1408" s="26" t="s">
        <v>33</v>
      </c>
    </row>
    <row r="1409" spans="1:9" x14ac:dyDescent="0.3">
      <c r="A1409" s="24">
        <v>45359</v>
      </c>
      <c r="B1409" t="s">
        <v>301</v>
      </c>
      <c r="C1409" t="s">
        <v>29</v>
      </c>
      <c r="D1409">
        <v>0.3</v>
      </c>
      <c r="E1409" t="s">
        <v>304</v>
      </c>
      <c r="F1409" t="s">
        <v>31</v>
      </c>
      <c r="G1409" t="s">
        <v>1193</v>
      </c>
      <c r="H1409" t="s">
        <v>14</v>
      </c>
      <c r="I1409" s="26" t="s">
        <v>33</v>
      </c>
    </row>
    <row r="1410" spans="1:9" x14ac:dyDescent="0.3">
      <c r="A1410" s="24">
        <v>45359</v>
      </c>
      <c r="B1410" t="s">
        <v>301</v>
      </c>
      <c r="C1410" t="s">
        <v>29</v>
      </c>
      <c r="D1410">
        <v>0.4</v>
      </c>
      <c r="E1410" t="s">
        <v>304</v>
      </c>
      <c r="F1410" t="s">
        <v>31</v>
      </c>
      <c r="G1410" t="s">
        <v>243</v>
      </c>
      <c r="H1410" t="s">
        <v>14</v>
      </c>
      <c r="I1410" s="26" t="s">
        <v>33</v>
      </c>
    </row>
    <row r="1411" spans="1:9" x14ac:dyDescent="0.3">
      <c r="A1411" s="24">
        <v>45359</v>
      </c>
      <c r="B1411" t="s">
        <v>301</v>
      </c>
      <c r="C1411" t="s">
        <v>29</v>
      </c>
      <c r="D1411">
        <v>0.92</v>
      </c>
      <c r="E1411" t="s">
        <v>156</v>
      </c>
      <c r="F1411" t="s">
        <v>31</v>
      </c>
      <c r="G1411" t="s">
        <v>1194</v>
      </c>
      <c r="H1411" t="s">
        <v>14</v>
      </c>
      <c r="I1411" s="26" t="s">
        <v>33</v>
      </c>
    </row>
    <row r="1412" spans="1:9" x14ac:dyDescent="0.3">
      <c r="A1412" s="24">
        <v>45359</v>
      </c>
      <c r="B1412" t="s">
        <v>301</v>
      </c>
      <c r="C1412" t="s">
        <v>29</v>
      </c>
      <c r="D1412">
        <v>1.38</v>
      </c>
      <c r="E1412" t="s">
        <v>156</v>
      </c>
      <c r="F1412" t="s">
        <v>31</v>
      </c>
      <c r="H1412" t="s">
        <v>14</v>
      </c>
      <c r="I1412" s="26" t="s">
        <v>33</v>
      </c>
    </row>
    <row r="1413" spans="1:9" x14ac:dyDescent="0.3">
      <c r="A1413" s="24">
        <v>45359</v>
      </c>
      <c r="B1413" t="s">
        <v>301</v>
      </c>
      <c r="C1413" t="s">
        <v>29</v>
      </c>
      <c r="D1413">
        <v>2.93</v>
      </c>
      <c r="E1413" t="s">
        <v>304</v>
      </c>
      <c r="F1413" t="s">
        <v>31</v>
      </c>
      <c r="G1413" t="s">
        <v>1195</v>
      </c>
      <c r="H1413" t="s">
        <v>14</v>
      </c>
      <c r="I1413" s="26" t="s">
        <v>33</v>
      </c>
    </row>
    <row r="1414" spans="1:9" x14ac:dyDescent="0.3">
      <c r="A1414" s="24">
        <v>45359</v>
      </c>
      <c r="B1414" t="s">
        <v>301</v>
      </c>
      <c r="C1414" t="s">
        <v>53</v>
      </c>
      <c r="D1414">
        <v>0.35</v>
      </c>
      <c r="E1414" t="s">
        <v>54</v>
      </c>
      <c r="F1414" t="s">
        <v>55</v>
      </c>
      <c r="G1414" t="s">
        <v>1196</v>
      </c>
      <c r="H1414" t="s">
        <v>14</v>
      </c>
      <c r="I1414" s="26" t="s">
        <v>33</v>
      </c>
    </row>
    <row r="1415" spans="1:9" x14ac:dyDescent="0.3">
      <c r="A1415" s="24">
        <v>45359</v>
      </c>
      <c r="B1415" t="s">
        <v>301</v>
      </c>
      <c r="C1415" t="s">
        <v>53</v>
      </c>
      <c r="D1415">
        <v>0.38</v>
      </c>
      <c r="E1415" t="s">
        <v>54</v>
      </c>
      <c r="F1415" t="s">
        <v>55</v>
      </c>
      <c r="G1415" t="s">
        <v>1197</v>
      </c>
      <c r="H1415" t="s">
        <v>14</v>
      </c>
      <c r="I1415" s="26" t="s">
        <v>33</v>
      </c>
    </row>
    <row r="1416" spans="1:9" x14ac:dyDescent="0.3">
      <c r="A1416" s="24">
        <v>45359</v>
      </c>
      <c r="B1416" t="s">
        <v>301</v>
      </c>
      <c r="C1416" t="s">
        <v>53</v>
      </c>
      <c r="D1416">
        <v>0.62</v>
      </c>
      <c r="E1416" t="s">
        <v>54</v>
      </c>
      <c r="F1416" t="s">
        <v>55</v>
      </c>
      <c r="G1416" t="s">
        <v>1198</v>
      </c>
      <c r="H1416" t="s">
        <v>14</v>
      </c>
      <c r="I1416" s="26" t="s">
        <v>33</v>
      </c>
    </row>
    <row r="1417" spans="1:9" x14ac:dyDescent="0.3">
      <c r="A1417" s="24">
        <v>45359</v>
      </c>
      <c r="B1417" t="s">
        <v>301</v>
      </c>
      <c r="C1417" t="s">
        <v>60</v>
      </c>
      <c r="D1417">
        <v>0.42</v>
      </c>
      <c r="E1417" t="s">
        <v>304</v>
      </c>
      <c r="F1417" t="s">
        <v>55</v>
      </c>
      <c r="G1417" t="s">
        <v>1199</v>
      </c>
      <c r="H1417" t="s">
        <v>14</v>
      </c>
      <c r="I1417" s="26" t="s">
        <v>33</v>
      </c>
    </row>
    <row r="1418" spans="1:9" x14ac:dyDescent="0.3">
      <c r="A1418" s="24">
        <v>45359</v>
      </c>
      <c r="B1418" t="s">
        <v>313</v>
      </c>
      <c r="C1418" t="s">
        <v>53</v>
      </c>
      <c r="D1418">
        <v>0.25</v>
      </c>
      <c r="E1418" t="s">
        <v>54</v>
      </c>
      <c r="F1418" t="s">
        <v>55</v>
      </c>
      <c r="G1418" t="s">
        <v>316</v>
      </c>
      <c r="H1418" t="s">
        <v>14</v>
      </c>
      <c r="I1418" s="26" t="s">
        <v>33</v>
      </c>
    </row>
    <row r="1419" spans="1:9" x14ac:dyDescent="0.3">
      <c r="A1419" s="24">
        <v>45359</v>
      </c>
      <c r="B1419" t="s">
        <v>313</v>
      </c>
      <c r="C1419" t="s">
        <v>159</v>
      </c>
      <c r="D1419">
        <v>8.83</v>
      </c>
      <c r="E1419" t="s">
        <v>170</v>
      </c>
      <c r="F1419" t="s">
        <v>31</v>
      </c>
      <c r="H1419" t="s">
        <v>14</v>
      </c>
      <c r="I1419" s="26" t="s">
        <v>33</v>
      </c>
    </row>
    <row r="1420" spans="1:9" x14ac:dyDescent="0.3">
      <c r="A1420" s="24">
        <v>45359</v>
      </c>
      <c r="B1420" t="s">
        <v>313</v>
      </c>
      <c r="C1420" t="s">
        <v>60</v>
      </c>
      <c r="D1420">
        <v>1.63</v>
      </c>
      <c r="E1420" t="s">
        <v>170</v>
      </c>
      <c r="F1420" t="s">
        <v>31</v>
      </c>
      <c r="H1420" t="s">
        <v>14</v>
      </c>
      <c r="I1420" s="26" t="s">
        <v>33</v>
      </c>
    </row>
    <row r="1421" spans="1:9" x14ac:dyDescent="0.3">
      <c r="A1421" s="24">
        <v>45359</v>
      </c>
      <c r="B1421" t="s">
        <v>318</v>
      </c>
      <c r="C1421" t="s">
        <v>58</v>
      </c>
      <c r="D1421">
        <v>3.13</v>
      </c>
      <c r="E1421" t="s">
        <v>54</v>
      </c>
      <c r="F1421" t="s">
        <v>55</v>
      </c>
      <c r="G1421" t="s">
        <v>1200</v>
      </c>
      <c r="H1421" t="s">
        <v>14</v>
      </c>
      <c r="I1421" s="26" t="s">
        <v>33</v>
      </c>
    </row>
    <row r="1422" spans="1:9" x14ac:dyDescent="0.3">
      <c r="A1422" s="24">
        <v>45359</v>
      </c>
      <c r="B1422" t="s">
        <v>318</v>
      </c>
      <c r="C1422" t="s">
        <v>58</v>
      </c>
      <c r="D1422">
        <v>7.33</v>
      </c>
      <c r="E1422" t="s">
        <v>54</v>
      </c>
      <c r="F1422" t="s">
        <v>55</v>
      </c>
      <c r="G1422" t="s">
        <v>1201</v>
      </c>
      <c r="H1422" t="s">
        <v>14</v>
      </c>
      <c r="I1422" s="26" t="s">
        <v>33</v>
      </c>
    </row>
    <row r="1423" spans="1:9" x14ac:dyDescent="0.3">
      <c r="A1423" s="24">
        <v>45359</v>
      </c>
      <c r="B1423" t="s">
        <v>324</v>
      </c>
      <c r="C1423" t="s">
        <v>29</v>
      </c>
      <c r="D1423">
        <v>8.27</v>
      </c>
      <c r="E1423" t="s">
        <v>81</v>
      </c>
      <c r="F1423" t="s">
        <v>31</v>
      </c>
      <c r="H1423" t="s">
        <v>14</v>
      </c>
      <c r="I1423" s="26" t="s">
        <v>33</v>
      </c>
    </row>
    <row r="1424" spans="1:9" x14ac:dyDescent="0.3">
      <c r="A1424" s="24">
        <v>45359</v>
      </c>
      <c r="B1424" t="s">
        <v>324</v>
      </c>
      <c r="C1424" t="s">
        <v>85</v>
      </c>
      <c r="D1424">
        <v>0.68</v>
      </c>
      <c r="E1424" t="s">
        <v>81</v>
      </c>
      <c r="F1424" t="s">
        <v>31</v>
      </c>
      <c r="H1424" t="s">
        <v>14</v>
      </c>
      <c r="I1424" s="26" t="s">
        <v>33</v>
      </c>
    </row>
    <row r="1425" spans="1:9" x14ac:dyDescent="0.3">
      <c r="A1425" s="24">
        <v>45359</v>
      </c>
      <c r="B1425" t="s">
        <v>328</v>
      </c>
      <c r="C1425" t="s">
        <v>29</v>
      </c>
      <c r="D1425">
        <v>0.23</v>
      </c>
      <c r="E1425" t="s">
        <v>263</v>
      </c>
      <c r="F1425" t="s">
        <v>31</v>
      </c>
      <c r="G1425" t="s">
        <v>1202</v>
      </c>
      <c r="H1425" t="s">
        <v>14</v>
      </c>
      <c r="I1425" s="26" t="s">
        <v>33</v>
      </c>
    </row>
    <row r="1426" spans="1:9" x14ac:dyDescent="0.3">
      <c r="A1426" s="24">
        <v>45359</v>
      </c>
      <c r="B1426" t="s">
        <v>328</v>
      </c>
      <c r="C1426" t="s">
        <v>29</v>
      </c>
      <c r="D1426">
        <v>0.3</v>
      </c>
      <c r="E1426" t="s">
        <v>263</v>
      </c>
      <c r="F1426" t="s">
        <v>31</v>
      </c>
      <c r="G1426" t="s">
        <v>1203</v>
      </c>
      <c r="H1426" t="s">
        <v>14</v>
      </c>
      <c r="I1426" s="26" t="s">
        <v>33</v>
      </c>
    </row>
    <row r="1427" spans="1:9" x14ac:dyDescent="0.3">
      <c r="A1427" s="24">
        <v>45359</v>
      </c>
      <c r="B1427" t="s">
        <v>328</v>
      </c>
      <c r="C1427" t="s">
        <v>29</v>
      </c>
      <c r="D1427">
        <v>0.87</v>
      </c>
      <c r="E1427" t="s">
        <v>135</v>
      </c>
      <c r="F1427" t="s">
        <v>31</v>
      </c>
      <c r="G1427" t="s">
        <v>862</v>
      </c>
      <c r="H1427" t="s">
        <v>14</v>
      </c>
      <c r="I1427" s="26" t="s">
        <v>33</v>
      </c>
    </row>
    <row r="1428" spans="1:9" x14ac:dyDescent="0.3">
      <c r="A1428" s="24">
        <v>45359</v>
      </c>
      <c r="B1428" t="s">
        <v>328</v>
      </c>
      <c r="C1428" t="s">
        <v>29</v>
      </c>
      <c r="D1428">
        <v>1.45</v>
      </c>
      <c r="E1428" t="s">
        <v>423</v>
      </c>
      <c r="F1428" t="s">
        <v>31</v>
      </c>
      <c r="G1428" t="s">
        <v>1204</v>
      </c>
      <c r="H1428" t="s">
        <v>14</v>
      </c>
      <c r="I1428" s="26" t="s">
        <v>33</v>
      </c>
    </row>
    <row r="1429" spans="1:9" x14ac:dyDescent="0.3">
      <c r="A1429" s="24">
        <v>45359</v>
      </c>
      <c r="B1429" t="s">
        <v>328</v>
      </c>
      <c r="C1429" t="s">
        <v>29</v>
      </c>
      <c r="D1429">
        <v>1.48</v>
      </c>
      <c r="E1429" t="s">
        <v>423</v>
      </c>
      <c r="F1429" t="s">
        <v>31</v>
      </c>
      <c r="G1429" t="s">
        <v>1205</v>
      </c>
      <c r="H1429" t="s">
        <v>14</v>
      </c>
      <c r="I1429" s="26" t="s">
        <v>33</v>
      </c>
    </row>
    <row r="1430" spans="1:9" x14ac:dyDescent="0.3">
      <c r="A1430" s="24">
        <v>45359</v>
      </c>
      <c r="B1430" t="s">
        <v>328</v>
      </c>
      <c r="C1430" t="s">
        <v>29</v>
      </c>
      <c r="D1430">
        <v>2.0699999999999998</v>
      </c>
      <c r="E1430" t="s">
        <v>423</v>
      </c>
      <c r="F1430" t="s">
        <v>31</v>
      </c>
      <c r="G1430" t="s">
        <v>1206</v>
      </c>
      <c r="H1430" t="s">
        <v>14</v>
      </c>
      <c r="I1430" s="26" t="s">
        <v>33</v>
      </c>
    </row>
    <row r="1431" spans="1:9" x14ac:dyDescent="0.3">
      <c r="A1431" s="24">
        <v>45359</v>
      </c>
      <c r="B1431" t="s">
        <v>328</v>
      </c>
      <c r="C1431" t="s">
        <v>53</v>
      </c>
      <c r="D1431">
        <v>0.5</v>
      </c>
      <c r="E1431" t="s">
        <v>54</v>
      </c>
      <c r="F1431" t="s">
        <v>55</v>
      </c>
      <c r="G1431" t="s">
        <v>253</v>
      </c>
      <c r="H1431" t="s">
        <v>14</v>
      </c>
      <c r="I1431" s="26" t="s">
        <v>33</v>
      </c>
    </row>
    <row r="1432" spans="1:9" x14ac:dyDescent="0.3">
      <c r="A1432" s="24">
        <v>45359</v>
      </c>
      <c r="B1432" t="s">
        <v>328</v>
      </c>
      <c r="C1432" t="s">
        <v>53</v>
      </c>
      <c r="D1432">
        <v>0.6</v>
      </c>
      <c r="E1432" t="s">
        <v>54</v>
      </c>
      <c r="F1432" t="s">
        <v>55</v>
      </c>
      <c r="G1432" t="s">
        <v>1207</v>
      </c>
      <c r="H1432" t="s">
        <v>14</v>
      </c>
      <c r="I1432" s="26" t="s">
        <v>33</v>
      </c>
    </row>
    <row r="1433" spans="1:9" x14ac:dyDescent="0.3">
      <c r="A1433" s="24">
        <v>45359</v>
      </c>
      <c r="B1433" t="s">
        <v>328</v>
      </c>
      <c r="C1433" t="s">
        <v>60</v>
      </c>
      <c r="D1433">
        <v>0.05</v>
      </c>
      <c r="E1433" t="s">
        <v>179</v>
      </c>
      <c r="F1433" t="s">
        <v>31</v>
      </c>
      <c r="G1433" t="s">
        <v>1208</v>
      </c>
      <c r="H1433" t="s">
        <v>14</v>
      </c>
      <c r="I1433" s="26" t="s">
        <v>33</v>
      </c>
    </row>
    <row r="1434" spans="1:9" x14ac:dyDescent="0.3">
      <c r="A1434" s="24">
        <v>45359</v>
      </c>
      <c r="B1434" t="s">
        <v>328</v>
      </c>
      <c r="C1434" t="s">
        <v>60</v>
      </c>
      <c r="D1434">
        <v>0.6</v>
      </c>
      <c r="E1434" t="s">
        <v>162</v>
      </c>
      <c r="F1434" t="s">
        <v>31</v>
      </c>
      <c r="G1434" t="s">
        <v>1209</v>
      </c>
      <c r="H1434" t="s">
        <v>14</v>
      </c>
      <c r="I1434" s="26" t="s">
        <v>33</v>
      </c>
    </row>
    <row r="1435" spans="1:9" x14ac:dyDescent="0.3">
      <c r="A1435" s="24">
        <v>45359</v>
      </c>
      <c r="B1435" t="s">
        <v>331</v>
      </c>
      <c r="C1435" t="s">
        <v>29</v>
      </c>
      <c r="D1435">
        <v>0.38</v>
      </c>
      <c r="E1435" t="s">
        <v>176</v>
      </c>
      <c r="F1435" t="s">
        <v>31</v>
      </c>
      <c r="G1435" t="s">
        <v>719</v>
      </c>
      <c r="H1435" t="s">
        <v>14</v>
      </c>
      <c r="I1435" s="26" t="s">
        <v>33</v>
      </c>
    </row>
    <row r="1436" spans="1:9" x14ac:dyDescent="0.3">
      <c r="A1436" s="24">
        <v>45359</v>
      </c>
      <c r="B1436" t="s">
        <v>331</v>
      </c>
      <c r="C1436" t="s">
        <v>29</v>
      </c>
      <c r="D1436">
        <v>0.67</v>
      </c>
      <c r="E1436" t="s">
        <v>176</v>
      </c>
      <c r="F1436" t="s">
        <v>31</v>
      </c>
      <c r="G1436" t="s">
        <v>1210</v>
      </c>
      <c r="H1436" t="s">
        <v>14</v>
      </c>
      <c r="I1436" s="26" t="s">
        <v>33</v>
      </c>
    </row>
    <row r="1437" spans="1:9" x14ac:dyDescent="0.3">
      <c r="A1437" s="24">
        <v>45359</v>
      </c>
      <c r="B1437" t="s">
        <v>331</v>
      </c>
      <c r="C1437" t="s">
        <v>29</v>
      </c>
      <c r="D1437">
        <v>1.42</v>
      </c>
      <c r="E1437" t="s">
        <v>91</v>
      </c>
      <c r="F1437" t="s">
        <v>31</v>
      </c>
      <c r="G1437" t="s">
        <v>1211</v>
      </c>
      <c r="H1437" t="s">
        <v>14</v>
      </c>
      <c r="I1437" s="26" t="s">
        <v>33</v>
      </c>
    </row>
    <row r="1438" spans="1:9" x14ac:dyDescent="0.3">
      <c r="A1438" s="24">
        <v>45359</v>
      </c>
      <c r="B1438" t="s">
        <v>331</v>
      </c>
      <c r="C1438" t="s">
        <v>29</v>
      </c>
      <c r="D1438">
        <v>1.92</v>
      </c>
      <c r="E1438" t="s">
        <v>91</v>
      </c>
      <c r="F1438" t="s">
        <v>31</v>
      </c>
      <c r="H1438" t="s">
        <v>14</v>
      </c>
      <c r="I1438" s="26" t="s">
        <v>33</v>
      </c>
    </row>
    <row r="1439" spans="1:9" x14ac:dyDescent="0.3">
      <c r="A1439" s="24">
        <v>45359</v>
      </c>
      <c r="B1439" t="s">
        <v>331</v>
      </c>
      <c r="C1439" t="s">
        <v>29</v>
      </c>
      <c r="D1439">
        <v>2.93</v>
      </c>
      <c r="E1439" t="s">
        <v>91</v>
      </c>
      <c r="F1439" t="s">
        <v>31</v>
      </c>
      <c r="G1439" t="s">
        <v>1212</v>
      </c>
      <c r="H1439" t="s">
        <v>14</v>
      </c>
      <c r="I1439" s="26" t="s">
        <v>33</v>
      </c>
    </row>
    <row r="1440" spans="1:9" x14ac:dyDescent="0.3">
      <c r="A1440" s="24">
        <v>45359</v>
      </c>
      <c r="B1440" t="s">
        <v>331</v>
      </c>
      <c r="C1440" t="s">
        <v>53</v>
      </c>
      <c r="D1440">
        <v>0.5</v>
      </c>
      <c r="E1440" t="s">
        <v>54</v>
      </c>
      <c r="F1440" t="s">
        <v>55</v>
      </c>
      <c r="G1440" t="s">
        <v>332</v>
      </c>
      <c r="H1440" t="s">
        <v>14</v>
      </c>
      <c r="I1440" s="26" t="s">
        <v>33</v>
      </c>
    </row>
    <row r="1441" spans="1:9" x14ac:dyDescent="0.3">
      <c r="A1441" s="24">
        <v>45359</v>
      </c>
      <c r="B1441" t="s">
        <v>331</v>
      </c>
      <c r="C1441" t="s">
        <v>225</v>
      </c>
      <c r="D1441">
        <v>0.1</v>
      </c>
      <c r="E1441" t="s">
        <v>1170</v>
      </c>
      <c r="F1441" t="s">
        <v>31</v>
      </c>
      <c r="G1441" t="s">
        <v>1213</v>
      </c>
      <c r="H1441" t="s">
        <v>14</v>
      </c>
      <c r="I1441" s="26" t="s">
        <v>33</v>
      </c>
    </row>
    <row r="1442" spans="1:9" x14ac:dyDescent="0.3">
      <c r="A1442" s="24">
        <v>45359</v>
      </c>
      <c r="B1442" t="s">
        <v>331</v>
      </c>
      <c r="C1442" t="s">
        <v>225</v>
      </c>
      <c r="D1442">
        <v>0.23</v>
      </c>
      <c r="E1442" t="s">
        <v>1171</v>
      </c>
      <c r="F1442" t="s">
        <v>31</v>
      </c>
      <c r="G1442" t="s">
        <v>1214</v>
      </c>
      <c r="H1442" t="s">
        <v>14</v>
      </c>
      <c r="I1442" s="26" t="s">
        <v>33</v>
      </c>
    </row>
    <row r="1443" spans="1:9" x14ac:dyDescent="0.3">
      <c r="A1443" s="24">
        <v>45359</v>
      </c>
      <c r="B1443" t="s">
        <v>340</v>
      </c>
      <c r="C1443" t="s">
        <v>202</v>
      </c>
      <c r="D1443">
        <v>0.17</v>
      </c>
      <c r="E1443" t="s">
        <v>156</v>
      </c>
      <c r="F1443" t="s">
        <v>31</v>
      </c>
      <c r="G1443" t="s">
        <v>1215</v>
      </c>
      <c r="H1443" t="s">
        <v>14</v>
      </c>
      <c r="I1443" s="26" t="s">
        <v>33</v>
      </c>
    </row>
    <row r="1444" spans="1:9" x14ac:dyDescent="0.3">
      <c r="A1444" s="24">
        <v>45359</v>
      </c>
      <c r="B1444" t="s">
        <v>340</v>
      </c>
      <c r="C1444" t="s">
        <v>202</v>
      </c>
      <c r="D1444">
        <v>7.5</v>
      </c>
      <c r="E1444" t="s">
        <v>1216</v>
      </c>
      <c r="F1444" t="s">
        <v>31</v>
      </c>
      <c r="G1444" t="s">
        <v>1217</v>
      </c>
      <c r="H1444" t="s">
        <v>14</v>
      </c>
      <c r="I1444" s="26" t="s">
        <v>33</v>
      </c>
    </row>
    <row r="1445" spans="1:9" x14ac:dyDescent="0.3">
      <c r="A1445" s="24">
        <v>45359</v>
      </c>
      <c r="B1445" t="s">
        <v>351</v>
      </c>
      <c r="C1445" t="s">
        <v>250</v>
      </c>
      <c r="D1445">
        <v>2.63</v>
      </c>
      <c r="E1445" t="s">
        <v>81</v>
      </c>
      <c r="F1445" t="s">
        <v>55</v>
      </c>
      <c r="G1445" t="s">
        <v>1218</v>
      </c>
      <c r="H1445" t="s">
        <v>14</v>
      </c>
      <c r="I1445" s="26" t="s">
        <v>33</v>
      </c>
    </row>
    <row r="1446" spans="1:9" x14ac:dyDescent="0.3">
      <c r="A1446" s="24">
        <v>45359</v>
      </c>
      <c r="B1446" t="s">
        <v>351</v>
      </c>
      <c r="C1446" t="s">
        <v>29</v>
      </c>
      <c r="D1446">
        <v>1.85</v>
      </c>
      <c r="E1446" t="s">
        <v>81</v>
      </c>
      <c r="F1446" t="s">
        <v>55</v>
      </c>
      <c r="G1446" t="s">
        <v>1219</v>
      </c>
      <c r="H1446" t="s">
        <v>14</v>
      </c>
      <c r="I1446" s="26" t="s">
        <v>33</v>
      </c>
    </row>
    <row r="1447" spans="1:9" x14ac:dyDescent="0.3">
      <c r="A1447" s="24">
        <v>45359</v>
      </c>
      <c r="B1447" t="s">
        <v>351</v>
      </c>
      <c r="C1447" t="s">
        <v>159</v>
      </c>
      <c r="D1447">
        <v>0.53</v>
      </c>
      <c r="E1447" t="s">
        <v>81</v>
      </c>
      <c r="F1447" t="s">
        <v>31</v>
      </c>
      <c r="G1447" t="s">
        <v>1220</v>
      </c>
      <c r="H1447" t="s">
        <v>14</v>
      </c>
      <c r="I1447" s="26" t="s">
        <v>33</v>
      </c>
    </row>
    <row r="1448" spans="1:9" x14ac:dyDescent="0.3">
      <c r="A1448" s="24">
        <v>45359</v>
      </c>
      <c r="B1448" t="s">
        <v>351</v>
      </c>
      <c r="C1448" t="s">
        <v>159</v>
      </c>
      <c r="D1448">
        <v>3.07</v>
      </c>
      <c r="E1448" t="s">
        <v>81</v>
      </c>
      <c r="F1448" t="s">
        <v>31</v>
      </c>
      <c r="G1448" t="s">
        <v>1221</v>
      </c>
      <c r="H1448" t="s">
        <v>14</v>
      </c>
      <c r="I1448" s="26" t="s">
        <v>33</v>
      </c>
    </row>
    <row r="1449" spans="1:9" x14ac:dyDescent="0.3">
      <c r="A1449" s="24">
        <v>45359</v>
      </c>
      <c r="B1449" t="s">
        <v>355</v>
      </c>
      <c r="C1449" t="s">
        <v>29</v>
      </c>
      <c r="D1449">
        <v>0.5</v>
      </c>
      <c r="E1449" t="s">
        <v>91</v>
      </c>
      <c r="F1449" t="s">
        <v>31</v>
      </c>
      <c r="G1449" t="s">
        <v>1222</v>
      </c>
      <c r="H1449" t="s">
        <v>14</v>
      </c>
      <c r="I1449" s="26" t="s">
        <v>33</v>
      </c>
    </row>
    <row r="1450" spans="1:9" x14ac:dyDescent="0.3">
      <c r="A1450" s="24">
        <v>45359</v>
      </c>
      <c r="B1450" t="s">
        <v>355</v>
      </c>
      <c r="C1450" t="s">
        <v>53</v>
      </c>
      <c r="D1450">
        <v>0.4</v>
      </c>
      <c r="E1450" t="s">
        <v>54</v>
      </c>
      <c r="F1450" t="s">
        <v>55</v>
      </c>
      <c r="G1450" t="s">
        <v>1223</v>
      </c>
      <c r="H1450" t="s">
        <v>14</v>
      </c>
      <c r="I1450" s="26" t="s">
        <v>33</v>
      </c>
    </row>
    <row r="1451" spans="1:9" x14ac:dyDescent="0.3">
      <c r="A1451" s="24">
        <v>45359</v>
      </c>
      <c r="B1451" t="s">
        <v>355</v>
      </c>
      <c r="C1451" t="s">
        <v>1073</v>
      </c>
      <c r="D1451">
        <v>0.6</v>
      </c>
      <c r="E1451" t="s">
        <v>1074</v>
      </c>
      <c r="F1451" t="s">
        <v>31</v>
      </c>
      <c r="G1451" t="s">
        <v>1224</v>
      </c>
      <c r="H1451" t="s">
        <v>14</v>
      </c>
      <c r="I1451" s="26" t="s">
        <v>33</v>
      </c>
    </row>
    <row r="1452" spans="1:9" x14ac:dyDescent="0.3">
      <c r="A1452" s="24">
        <v>45359</v>
      </c>
      <c r="B1452" t="s">
        <v>355</v>
      </c>
      <c r="C1452" t="s">
        <v>159</v>
      </c>
      <c r="D1452">
        <v>3</v>
      </c>
      <c r="E1452" t="s">
        <v>91</v>
      </c>
      <c r="F1452" t="s">
        <v>31</v>
      </c>
      <c r="G1452" t="s">
        <v>1225</v>
      </c>
      <c r="H1452" t="s">
        <v>14</v>
      </c>
      <c r="I1452" s="26" t="s">
        <v>33</v>
      </c>
    </row>
    <row r="1453" spans="1:9" x14ac:dyDescent="0.3">
      <c r="A1453" s="24">
        <v>45359</v>
      </c>
      <c r="B1453" t="s">
        <v>374</v>
      </c>
      <c r="C1453" t="s">
        <v>53</v>
      </c>
      <c r="D1453">
        <v>8</v>
      </c>
      <c r="E1453" t="s">
        <v>54</v>
      </c>
      <c r="F1453" t="s">
        <v>55</v>
      </c>
      <c r="G1453" t="e">
        <f>- respond to queries related to Sprout, APE and other - send email request to Compass - send email re removal of night diff - coordinate JO to payroll Specialist - quick call with Jobstreet - Update Monthly HR report</f>
        <v>#NAME?</v>
      </c>
      <c r="H1453" t="s">
        <v>14</v>
      </c>
      <c r="I1453" s="26" t="s">
        <v>33</v>
      </c>
    </row>
    <row r="1454" spans="1:9" x14ac:dyDescent="0.3">
      <c r="A1454" s="24">
        <v>45362</v>
      </c>
      <c r="B1454" t="s">
        <v>28</v>
      </c>
      <c r="C1454" t="s">
        <v>29</v>
      </c>
      <c r="D1454">
        <v>0.03</v>
      </c>
      <c r="E1454" t="s">
        <v>44</v>
      </c>
      <c r="F1454" t="s">
        <v>31</v>
      </c>
      <c r="G1454" t="s">
        <v>38</v>
      </c>
      <c r="H1454" t="s">
        <v>15</v>
      </c>
      <c r="I1454" s="26" t="s">
        <v>378</v>
      </c>
    </row>
    <row r="1455" spans="1:9" x14ac:dyDescent="0.3">
      <c r="A1455" s="24">
        <v>45362</v>
      </c>
      <c r="B1455" t="s">
        <v>28</v>
      </c>
      <c r="C1455" t="s">
        <v>29</v>
      </c>
      <c r="D1455">
        <v>0.05</v>
      </c>
      <c r="E1455" t="s">
        <v>30</v>
      </c>
      <c r="F1455" t="s">
        <v>31</v>
      </c>
      <c r="G1455" t="s">
        <v>41</v>
      </c>
      <c r="H1455" t="s">
        <v>15</v>
      </c>
      <c r="I1455" s="26" t="s">
        <v>378</v>
      </c>
    </row>
    <row r="1456" spans="1:9" x14ac:dyDescent="0.3">
      <c r="A1456" s="24">
        <v>45362</v>
      </c>
      <c r="B1456" t="s">
        <v>28</v>
      </c>
      <c r="C1456" t="s">
        <v>29</v>
      </c>
      <c r="D1456">
        <v>0.1</v>
      </c>
      <c r="E1456" t="s">
        <v>42</v>
      </c>
      <c r="F1456" t="s">
        <v>31</v>
      </c>
      <c r="G1456" t="s">
        <v>32</v>
      </c>
      <c r="H1456" t="s">
        <v>15</v>
      </c>
      <c r="I1456" s="26" t="s">
        <v>378</v>
      </c>
    </row>
    <row r="1457" spans="1:9" x14ac:dyDescent="0.3">
      <c r="A1457" s="24">
        <v>45362</v>
      </c>
      <c r="B1457" t="s">
        <v>28</v>
      </c>
      <c r="C1457" t="s">
        <v>29</v>
      </c>
      <c r="D1457">
        <v>0.18</v>
      </c>
      <c r="E1457" t="s">
        <v>40</v>
      </c>
      <c r="F1457" t="s">
        <v>31</v>
      </c>
      <c r="G1457" t="s">
        <v>1226</v>
      </c>
      <c r="H1457" t="s">
        <v>15</v>
      </c>
      <c r="I1457" s="26" t="s">
        <v>378</v>
      </c>
    </row>
    <row r="1458" spans="1:9" x14ac:dyDescent="0.3">
      <c r="A1458" s="24">
        <v>45362</v>
      </c>
      <c r="B1458" t="s">
        <v>28</v>
      </c>
      <c r="C1458" t="s">
        <v>29</v>
      </c>
      <c r="D1458">
        <v>0.32</v>
      </c>
      <c r="E1458" t="s">
        <v>30</v>
      </c>
      <c r="F1458" t="s">
        <v>31</v>
      </c>
      <c r="G1458" t="s">
        <v>1227</v>
      </c>
      <c r="H1458" t="s">
        <v>15</v>
      </c>
      <c r="I1458" s="26" t="s">
        <v>378</v>
      </c>
    </row>
    <row r="1459" spans="1:9" x14ac:dyDescent="0.3">
      <c r="A1459" s="24">
        <v>45362</v>
      </c>
      <c r="B1459" t="s">
        <v>28</v>
      </c>
      <c r="C1459" t="s">
        <v>29</v>
      </c>
      <c r="D1459">
        <v>0.43</v>
      </c>
      <c r="E1459" t="s">
        <v>49</v>
      </c>
      <c r="F1459" t="s">
        <v>31</v>
      </c>
      <c r="G1459" t="s">
        <v>43</v>
      </c>
      <c r="H1459" t="s">
        <v>15</v>
      </c>
      <c r="I1459" s="26" t="s">
        <v>378</v>
      </c>
    </row>
    <row r="1460" spans="1:9" x14ac:dyDescent="0.3">
      <c r="A1460" s="24">
        <v>45362</v>
      </c>
      <c r="B1460" t="s">
        <v>28</v>
      </c>
      <c r="C1460" t="s">
        <v>29</v>
      </c>
      <c r="D1460">
        <v>0.55000000000000004</v>
      </c>
      <c r="E1460" t="s">
        <v>30</v>
      </c>
      <c r="F1460" t="s">
        <v>31</v>
      </c>
      <c r="G1460" t="s">
        <v>1228</v>
      </c>
      <c r="H1460" t="s">
        <v>15</v>
      </c>
      <c r="I1460" s="26" t="s">
        <v>378</v>
      </c>
    </row>
    <row r="1461" spans="1:9" x14ac:dyDescent="0.3">
      <c r="A1461" s="24">
        <v>45362</v>
      </c>
      <c r="B1461" t="s">
        <v>28</v>
      </c>
      <c r="C1461" t="s">
        <v>29</v>
      </c>
      <c r="D1461">
        <v>0.87</v>
      </c>
      <c r="E1461" t="s">
        <v>40</v>
      </c>
      <c r="F1461" t="s">
        <v>31</v>
      </c>
      <c r="G1461" t="s">
        <v>1229</v>
      </c>
      <c r="H1461" t="s">
        <v>15</v>
      </c>
      <c r="I1461" s="26" t="s">
        <v>378</v>
      </c>
    </row>
    <row r="1462" spans="1:9" x14ac:dyDescent="0.3">
      <c r="A1462" s="24">
        <v>45362</v>
      </c>
      <c r="B1462" t="s">
        <v>28</v>
      </c>
      <c r="C1462" t="s">
        <v>29</v>
      </c>
      <c r="D1462">
        <v>0.87</v>
      </c>
      <c r="E1462" t="s">
        <v>42</v>
      </c>
      <c r="F1462" t="s">
        <v>31</v>
      </c>
      <c r="G1462" t="s">
        <v>43</v>
      </c>
      <c r="H1462" t="s">
        <v>15</v>
      </c>
      <c r="I1462" s="26" t="s">
        <v>378</v>
      </c>
    </row>
    <row r="1463" spans="1:9" x14ac:dyDescent="0.3">
      <c r="A1463" s="24">
        <v>45362</v>
      </c>
      <c r="B1463" t="s">
        <v>28</v>
      </c>
      <c r="C1463" t="s">
        <v>29</v>
      </c>
      <c r="D1463">
        <v>1.9</v>
      </c>
      <c r="E1463" t="s">
        <v>30</v>
      </c>
      <c r="F1463" t="s">
        <v>31</v>
      </c>
      <c r="G1463" t="s">
        <v>1230</v>
      </c>
      <c r="H1463" t="s">
        <v>15</v>
      </c>
      <c r="I1463" s="26" t="s">
        <v>378</v>
      </c>
    </row>
    <row r="1464" spans="1:9" x14ac:dyDescent="0.3">
      <c r="A1464" s="24">
        <v>45362</v>
      </c>
      <c r="B1464" t="s">
        <v>28</v>
      </c>
      <c r="C1464" t="s">
        <v>85</v>
      </c>
      <c r="D1464">
        <v>0.27</v>
      </c>
      <c r="E1464" t="s">
        <v>30</v>
      </c>
      <c r="F1464" t="s">
        <v>55</v>
      </c>
      <c r="G1464" t="s">
        <v>1231</v>
      </c>
      <c r="H1464" t="s">
        <v>15</v>
      </c>
      <c r="I1464" s="26" t="s">
        <v>378</v>
      </c>
    </row>
    <row r="1465" spans="1:9" x14ac:dyDescent="0.3">
      <c r="A1465" s="24">
        <v>45362</v>
      </c>
      <c r="B1465" t="s">
        <v>28</v>
      </c>
      <c r="C1465" t="s">
        <v>159</v>
      </c>
      <c r="D1465">
        <v>1.1200000000000001</v>
      </c>
      <c r="E1465" t="s">
        <v>44</v>
      </c>
      <c r="F1465" t="s">
        <v>31</v>
      </c>
      <c r="G1465" t="s">
        <v>1232</v>
      </c>
      <c r="H1465" t="s">
        <v>15</v>
      </c>
      <c r="I1465" s="26" t="s">
        <v>378</v>
      </c>
    </row>
    <row r="1466" spans="1:9" x14ac:dyDescent="0.3">
      <c r="A1466" s="24">
        <v>45362</v>
      </c>
      <c r="B1466" t="s">
        <v>28</v>
      </c>
      <c r="C1466" t="s">
        <v>58</v>
      </c>
      <c r="D1466">
        <v>1.07</v>
      </c>
      <c r="E1466" t="s">
        <v>54</v>
      </c>
      <c r="F1466" t="s">
        <v>55</v>
      </c>
      <c r="G1466" t="s">
        <v>59</v>
      </c>
      <c r="H1466" t="s">
        <v>15</v>
      </c>
      <c r="I1466" s="26" t="s">
        <v>378</v>
      </c>
    </row>
    <row r="1467" spans="1:9" x14ac:dyDescent="0.3">
      <c r="A1467" s="24">
        <v>45362</v>
      </c>
      <c r="B1467" t="s">
        <v>28</v>
      </c>
      <c r="C1467" t="s">
        <v>60</v>
      </c>
      <c r="D1467">
        <v>0.03</v>
      </c>
      <c r="E1467" t="s">
        <v>62</v>
      </c>
      <c r="F1467" t="s">
        <v>31</v>
      </c>
      <c r="H1467" t="s">
        <v>15</v>
      </c>
      <c r="I1467" s="26" t="s">
        <v>378</v>
      </c>
    </row>
    <row r="1468" spans="1:9" x14ac:dyDescent="0.3">
      <c r="A1468" s="24">
        <v>45362</v>
      </c>
      <c r="B1468" t="s">
        <v>28</v>
      </c>
      <c r="C1468" t="s">
        <v>60</v>
      </c>
      <c r="D1468">
        <v>0.22</v>
      </c>
      <c r="E1468" t="s">
        <v>48</v>
      </c>
      <c r="F1468" t="s">
        <v>31</v>
      </c>
      <c r="H1468" t="s">
        <v>15</v>
      </c>
      <c r="I1468" s="26" t="s">
        <v>378</v>
      </c>
    </row>
    <row r="1469" spans="1:9" x14ac:dyDescent="0.3">
      <c r="A1469" s="24">
        <v>45362</v>
      </c>
      <c r="B1469" t="s">
        <v>64</v>
      </c>
      <c r="C1469" t="s">
        <v>65</v>
      </c>
      <c r="D1469">
        <v>2.5</v>
      </c>
      <c r="E1469" t="s">
        <v>66</v>
      </c>
      <c r="F1469" t="s">
        <v>31</v>
      </c>
      <c r="G1469" t="s">
        <v>1233</v>
      </c>
      <c r="H1469" t="s">
        <v>15</v>
      </c>
      <c r="I1469" s="26" t="s">
        <v>378</v>
      </c>
    </row>
    <row r="1470" spans="1:9" x14ac:dyDescent="0.3">
      <c r="A1470" s="24">
        <v>45362</v>
      </c>
      <c r="B1470" t="s">
        <v>64</v>
      </c>
      <c r="C1470" t="s">
        <v>379</v>
      </c>
      <c r="D1470">
        <v>0.33</v>
      </c>
      <c r="E1470" t="s">
        <v>66</v>
      </c>
      <c r="F1470" t="s">
        <v>31</v>
      </c>
      <c r="G1470" t="s">
        <v>1234</v>
      </c>
      <c r="H1470" t="s">
        <v>15</v>
      </c>
      <c r="I1470" s="26" t="s">
        <v>378</v>
      </c>
    </row>
    <row r="1471" spans="1:9" x14ac:dyDescent="0.3">
      <c r="A1471" s="24">
        <v>45362</v>
      </c>
      <c r="B1471" t="s">
        <v>64</v>
      </c>
      <c r="C1471" t="s">
        <v>70</v>
      </c>
      <c r="D1471">
        <v>0.33</v>
      </c>
      <c r="E1471" t="s">
        <v>66</v>
      </c>
      <c r="F1471" t="s">
        <v>31</v>
      </c>
      <c r="G1471" t="s">
        <v>1235</v>
      </c>
      <c r="H1471" t="s">
        <v>15</v>
      </c>
      <c r="I1471" s="26" t="s">
        <v>378</v>
      </c>
    </row>
    <row r="1472" spans="1:9" x14ac:dyDescent="0.3">
      <c r="A1472" s="24">
        <v>45362</v>
      </c>
      <c r="B1472" t="s">
        <v>72</v>
      </c>
      <c r="C1472" t="s">
        <v>29</v>
      </c>
      <c r="D1472">
        <v>0.17</v>
      </c>
      <c r="E1472" t="s">
        <v>358</v>
      </c>
      <c r="F1472" t="s">
        <v>31</v>
      </c>
      <c r="H1472" t="s">
        <v>15</v>
      </c>
      <c r="I1472" s="26" t="s">
        <v>378</v>
      </c>
    </row>
    <row r="1473" spans="1:9" x14ac:dyDescent="0.3">
      <c r="A1473" s="24">
        <v>45362</v>
      </c>
      <c r="B1473" t="s">
        <v>72</v>
      </c>
      <c r="C1473" t="s">
        <v>29</v>
      </c>
      <c r="D1473">
        <v>0.92</v>
      </c>
      <c r="E1473" t="s">
        <v>271</v>
      </c>
      <c r="F1473" t="s">
        <v>31</v>
      </c>
      <c r="H1473" t="s">
        <v>15</v>
      </c>
      <c r="I1473" s="26" t="s">
        <v>378</v>
      </c>
    </row>
    <row r="1474" spans="1:9" x14ac:dyDescent="0.3">
      <c r="A1474" s="24">
        <v>45362</v>
      </c>
      <c r="B1474" t="s">
        <v>72</v>
      </c>
      <c r="C1474" t="s">
        <v>29</v>
      </c>
      <c r="D1474">
        <v>0.98</v>
      </c>
      <c r="E1474" t="s">
        <v>358</v>
      </c>
      <c r="F1474" t="s">
        <v>31</v>
      </c>
      <c r="G1474" t="s">
        <v>1236</v>
      </c>
      <c r="H1474" t="s">
        <v>15</v>
      </c>
      <c r="I1474" s="26" t="s">
        <v>378</v>
      </c>
    </row>
    <row r="1475" spans="1:9" x14ac:dyDescent="0.3">
      <c r="A1475" s="24">
        <v>45362</v>
      </c>
      <c r="B1475" t="s">
        <v>72</v>
      </c>
      <c r="C1475" t="s">
        <v>53</v>
      </c>
      <c r="D1475">
        <v>0.28000000000000003</v>
      </c>
      <c r="E1475" t="s">
        <v>54</v>
      </c>
      <c r="F1475" t="s">
        <v>55</v>
      </c>
      <c r="G1475" t="s">
        <v>1237</v>
      </c>
      <c r="H1475" t="s">
        <v>15</v>
      </c>
      <c r="I1475" s="26" t="s">
        <v>378</v>
      </c>
    </row>
    <row r="1476" spans="1:9" x14ac:dyDescent="0.3">
      <c r="A1476" s="24">
        <v>45362</v>
      </c>
      <c r="B1476" t="s">
        <v>72</v>
      </c>
      <c r="C1476" t="s">
        <v>53</v>
      </c>
      <c r="D1476">
        <v>0.3</v>
      </c>
      <c r="E1476" t="s">
        <v>54</v>
      </c>
      <c r="F1476" t="s">
        <v>55</v>
      </c>
      <c r="G1476" t="s">
        <v>1238</v>
      </c>
      <c r="H1476" t="s">
        <v>15</v>
      </c>
      <c r="I1476" s="26" t="s">
        <v>378</v>
      </c>
    </row>
    <row r="1477" spans="1:9" x14ac:dyDescent="0.3">
      <c r="A1477" s="24">
        <v>45362</v>
      </c>
      <c r="B1477" t="s">
        <v>72</v>
      </c>
      <c r="C1477" t="s">
        <v>53</v>
      </c>
      <c r="D1477">
        <v>0.5</v>
      </c>
      <c r="E1477" t="s">
        <v>54</v>
      </c>
      <c r="F1477" t="s">
        <v>55</v>
      </c>
      <c r="G1477" t="s">
        <v>110</v>
      </c>
      <c r="H1477" t="s">
        <v>15</v>
      </c>
      <c r="I1477" s="26" t="s">
        <v>378</v>
      </c>
    </row>
    <row r="1478" spans="1:9" x14ac:dyDescent="0.3">
      <c r="A1478" s="24">
        <v>45362</v>
      </c>
      <c r="B1478" t="s">
        <v>72</v>
      </c>
      <c r="C1478" t="s">
        <v>53</v>
      </c>
      <c r="D1478">
        <v>0.77</v>
      </c>
      <c r="E1478" t="s">
        <v>254</v>
      </c>
      <c r="F1478" t="s">
        <v>31</v>
      </c>
      <c r="G1478" t="s">
        <v>1239</v>
      </c>
      <c r="H1478" t="s">
        <v>15</v>
      </c>
      <c r="I1478" s="26" t="s">
        <v>378</v>
      </c>
    </row>
    <row r="1479" spans="1:9" x14ac:dyDescent="0.3">
      <c r="A1479" s="24">
        <v>45362</v>
      </c>
      <c r="B1479" t="s">
        <v>72</v>
      </c>
      <c r="C1479" t="s">
        <v>53</v>
      </c>
      <c r="D1479">
        <v>1.32</v>
      </c>
      <c r="E1479" t="s">
        <v>54</v>
      </c>
      <c r="F1479" t="s">
        <v>55</v>
      </c>
      <c r="G1479" t="s">
        <v>1240</v>
      </c>
      <c r="H1479" t="s">
        <v>15</v>
      </c>
      <c r="I1479" s="26" t="s">
        <v>378</v>
      </c>
    </row>
    <row r="1480" spans="1:9" x14ac:dyDescent="0.3">
      <c r="A1480" s="24">
        <v>45362</v>
      </c>
      <c r="B1480" t="s">
        <v>72</v>
      </c>
      <c r="C1480" t="s">
        <v>53</v>
      </c>
      <c r="D1480">
        <v>1.75</v>
      </c>
      <c r="E1480" t="s">
        <v>54</v>
      </c>
      <c r="F1480" t="s">
        <v>55</v>
      </c>
      <c r="G1480" t="s">
        <v>1241</v>
      </c>
      <c r="H1480" t="s">
        <v>15</v>
      </c>
      <c r="I1480" s="26" t="s">
        <v>378</v>
      </c>
    </row>
    <row r="1481" spans="1:9" x14ac:dyDescent="0.3">
      <c r="A1481" s="24">
        <v>45362</v>
      </c>
      <c r="B1481" t="s">
        <v>72</v>
      </c>
      <c r="C1481" t="s">
        <v>58</v>
      </c>
      <c r="D1481">
        <v>1.07</v>
      </c>
      <c r="E1481" t="s">
        <v>54</v>
      </c>
      <c r="F1481" t="s">
        <v>55</v>
      </c>
      <c r="G1481" t="s">
        <v>111</v>
      </c>
      <c r="H1481" t="s">
        <v>15</v>
      </c>
      <c r="I1481" s="26" t="s">
        <v>378</v>
      </c>
    </row>
    <row r="1482" spans="1:9" x14ac:dyDescent="0.3">
      <c r="A1482" s="24">
        <v>45362</v>
      </c>
      <c r="B1482" t="s">
        <v>75</v>
      </c>
      <c r="C1482" t="s">
        <v>77</v>
      </c>
      <c r="D1482">
        <v>8</v>
      </c>
      <c r="E1482" t="s">
        <v>54</v>
      </c>
      <c r="F1482" t="s">
        <v>55</v>
      </c>
      <c r="G1482" t="s">
        <v>1242</v>
      </c>
      <c r="H1482" t="s">
        <v>15</v>
      </c>
      <c r="I1482" s="26" t="s">
        <v>378</v>
      </c>
    </row>
    <row r="1483" spans="1:9" x14ac:dyDescent="0.3">
      <c r="A1483" s="24">
        <v>45362</v>
      </c>
      <c r="B1483" t="s">
        <v>79</v>
      </c>
      <c r="C1483" t="s">
        <v>53</v>
      </c>
      <c r="D1483">
        <v>8</v>
      </c>
      <c r="E1483" t="s">
        <v>54</v>
      </c>
      <c r="F1483" t="s">
        <v>55</v>
      </c>
      <c r="H1483" t="s">
        <v>15</v>
      </c>
      <c r="I1483" s="26" t="s">
        <v>378</v>
      </c>
    </row>
    <row r="1484" spans="1:9" x14ac:dyDescent="0.3">
      <c r="A1484" s="24">
        <v>45362</v>
      </c>
      <c r="B1484" t="s">
        <v>80</v>
      </c>
      <c r="C1484" t="s">
        <v>29</v>
      </c>
      <c r="D1484">
        <v>1.62</v>
      </c>
      <c r="E1484" t="s">
        <v>81</v>
      </c>
      <c r="F1484" t="s">
        <v>31</v>
      </c>
      <c r="G1484" t="s">
        <v>391</v>
      </c>
      <c r="H1484" t="s">
        <v>15</v>
      </c>
      <c r="I1484" s="26" t="s">
        <v>378</v>
      </c>
    </row>
    <row r="1485" spans="1:9" x14ac:dyDescent="0.3">
      <c r="A1485" s="24">
        <v>45362</v>
      </c>
      <c r="B1485" t="s">
        <v>80</v>
      </c>
      <c r="C1485" t="s">
        <v>29</v>
      </c>
      <c r="D1485">
        <v>2.35</v>
      </c>
      <c r="E1485" t="s">
        <v>81</v>
      </c>
      <c r="F1485" t="s">
        <v>31</v>
      </c>
      <c r="G1485" t="s">
        <v>83</v>
      </c>
      <c r="H1485" t="s">
        <v>15</v>
      </c>
      <c r="I1485" s="26" t="s">
        <v>378</v>
      </c>
    </row>
    <row r="1486" spans="1:9" x14ac:dyDescent="0.3">
      <c r="A1486" s="24">
        <v>45362</v>
      </c>
      <c r="B1486" t="s">
        <v>80</v>
      </c>
      <c r="C1486" t="s">
        <v>29</v>
      </c>
      <c r="D1486">
        <v>4.22</v>
      </c>
      <c r="E1486" t="s">
        <v>81</v>
      </c>
      <c r="F1486" t="s">
        <v>31</v>
      </c>
      <c r="G1486" t="s">
        <v>1243</v>
      </c>
      <c r="H1486" t="s">
        <v>15</v>
      </c>
      <c r="I1486" s="26" t="s">
        <v>378</v>
      </c>
    </row>
    <row r="1487" spans="1:9" x14ac:dyDescent="0.3">
      <c r="A1487" s="24">
        <v>45362</v>
      </c>
      <c r="B1487" t="s">
        <v>88</v>
      </c>
      <c r="C1487" t="s">
        <v>89</v>
      </c>
      <c r="D1487">
        <v>4</v>
      </c>
      <c r="E1487" t="s">
        <v>54</v>
      </c>
      <c r="F1487" t="s">
        <v>55</v>
      </c>
      <c r="G1487" t="s">
        <v>1244</v>
      </c>
      <c r="H1487" t="s">
        <v>15</v>
      </c>
      <c r="I1487" s="26" t="s">
        <v>378</v>
      </c>
    </row>
    <row r="1488" spans="1:9" x14ac:dyDescent="0.3">
      <c r="A1488" s="24">
        <v>45362</v>
      </c>
      <c r="B1488" t="s">
        <v>88</v>
      </c>
      <c r="C1488" t="s">
        <v>394</v>
      </c>
      <c r="D1488">
        <v>4</v>
      </c>
      <c r="E1488" t="s">
        <v>54</v>
      </c>
      <c r="F1488" t="s">
        <v>55</v>
      </c>
      <c r="G1488" t="s">
        <v>1245</v>
      </c>
      <c r="H1488" t="s">
        <v>15</v>
      </c>
      <c r="I1488" s="26" t="s">
        <v>378</v>
      </c>
    </row>
    <row r="1489" spans="1:9" x14ac:dyDescent="0.3">
      <c r="A1489" s="24">
        <v>45362</v>
      </c>
      <c r="B1489" t="s">
        <v>93</v>
      </c>
      <c r="C1489" t="s">
        <v>94</v>
      </c>
      <c r="D1489">
        <v>0.02</v>
      </c>
      <c r="E1489" t="s">
        <v>1246</v>
      </c>
      <c r="F1489" t="s">
        <v>55</v>
      </c>
      <c r="H1489" t="s">
        <v>15</v>
      </c>
      <c r="I1489" s="26" t="s">
        <v>378</v>
      </c>
    </row>
    <row r="1490" spans="1:9" x14ac:dyDescent="0.3">
      <c r="A1490" s="24">
        <v>45362</v>
      </c>
      <c r="B1490" t="s">
        <v>97</v>
      </c>
      <c r="C1490" t="s">
        <v>89</v>
      </c>
      <c r="D1490">
        <v>1.5</v>
      </c>
      <c r="E1490" t="s">
        <v>54</v>
      </c>
      <c r="F1490" t="s">
        <v>55</v>
      </c>
      <c r="G1490" t="s">
        <v>396</v>
      </c>
      <c r="H1490" t="s">
        <v>15</v>
      </c>
      <c r="I1490" s="26" t="s">
        <v>378</v>
      </c>
    </row>
    <row r="1491" spans="1:9" x14ac:dyDescent="0.3">
      <c r="A1491" s="24">
        <v>45362</v>
      </c>
      <c r="B1491" t="s">
        <v>99</v>
      </c>
      <c r="C1491" t="s">
        <v>89</v>
      </c>
      <c r="D1491">
        <v>9.1999999999999993</v>
      </c>
      <c r="E1491" t="s">
        <v>54</v>
      </c>
      <c r="F1491" t="s">
        <v>55</v>
      </c>
      <c r="G1491" t="s">
        <v>1247</v>
      </c>
      <c r="H1491" t="s">
        <v>15</v>
      </c>
      <c r="I1491" s="26" t="s">
        <v>378</v>
      </c>
    </row>
    <row r="1492" spans="1:9" x14ac:dyDescent="0.3">
      <c r="A1492" s="24">
        <v>45362</v>
      </c>
      <c r="B1492" t="s">
        <v>101</v>
      </c>
      <c r="C1492" t="s">
        <v>29</v>
      </c>
      <c r="D1492">
        <v>0.25</v>
      </c>
      <c r="E1492" t="s">
        <v>106</v>
      </c>
      <c r="F1492" t="s">
        <v>31</v>
      </c>
      <c r="G1492" t="s">
        <v>1248</v>
      </c>
      <c r="H1492" t="s">
        <v>15</v>
      </c>
      <c r="I1492" s="26" t="s">
        <v>378</v>
      </c>
    </row>
    <row r="1493" spans="1:9" x14ac:dyDescent="0.3">
      <c r="A1493" s="24">
        <v>45362</v>
      </c>
      <c r="B1493" t="s">
        <v>101</v>
      </c>
      <c r="C1493" t="s">
        <v>29</v>
      </c>
      <c r="D1493">
        <v>0.67</v>
      </c>
      <c r="E1493" t="s">
        <v>195</v>
      </c>
      <c r="F1493" t="s">
        <v>31</v>
      </c>
      <c r="G1493" t="s">
        <v>1249</v>
      </c>
      <c r="H1493" t="s">
        <v>15</v>
      </c>
      <c r="I1493" s="26" t="s">
        <v>378</v>
      </c>
    </row>
    <row r="1494" spans="1:9" x14ac:dyDescent="0.3">
      <c r="A1494" s="24">
        <v>45362</v>
      </c>
      <c r="B1494" t="s">
        <v>101</v>
      </c>
      <c r="C1494" t="s">
        <v>29</v>
      </c>
      <c r="D1494">
        <v>0.75</v>
      </c>
      <c r="E1494" t="s">
        <v>102</v>
      </c>
      <c r="F1494" t="s">
        <v>31</v>
      </c>
      <c r="G1494" t="s">
        <v>1248</v>
      </c>
      <c r="H1494" t="s">
        <v>15</v>
      </c>
      <c r="I1494" s="26" t="s">
        <v>378</v>
      </c>
    </row>
    <row r="1495" spans="1:9" x14ac:dyDescent="0.3">
      <c r="A1495" s="24">
        <v>45362</v>
      </c>
      <c r="B1495" t="s">
        <v>101</v>
      </c>
      <c r="C1495" t="s">
        <v>29</v>
      </c>
      <c r="D1495">
        <v>0.75</v>
      </c>
      <c r="E1495" t="s">
        <v>108</v>
      </c>
      <c r="F1495" t="s">
        <v>31</v>
      </c>
      <c r="G1495" t="s">
        <v>1250</v>
      </c>
      <c r="H1495" t="s">
        <v>15</v>
      </c>
      <c r="I1495" s="26" t="s">
        <v>378</v>
      </c>
    </row>
    <row r="1496" spans="1:9" x14ac:dyDescent="0.3">
      <c r="A1496" s="24">
        <v>45362</v>
      </c>
      <c r="B1496" t="s">
        <v>101</v>
      </c>
      <c r="C1496" t="s">
        <v>29</v>
      </c>
      <c r="D1496">
        <v>2</v>
      </c>
      <c r="E1496" t="s">
        <v>104</v>
      </c>
      <c r="F1496" t="s">
        <v>31</v>
      </c>
      <c r="G1496" t="s">
        <v>1248</v>
      </c>
      <c r="H1496" t="s">
        <v>15</v>
      </c>
      <c r="I1496" s="26" t="s">
        <v>378</v>
      </c>
    </row>
    <row r="1497" spans="1:9" x14ac:dyDescent="0.3">
      <c r="A1497" s="24">
        <v>45362</v>
      </c>
      <c r="B1497" t="s">
        <v>101</v>
      </c>
      <c r="C1497" t="s">
        <v>53</v>
      </c>
      <c r="D1497">
        <v>0.5</v>
      </c>
      <c r="E1497" t="s">
        <v>54</v>
      </c>
      <c r="F1497" t="s">
        <v>55</v>
      </c>
      <c r="G1497" t="s">
        <v>110</v>
      </c>
      <c r="H1497" t="s">
        <v>15</v>
      </c>
      <c r="I1497" s="26" t="s">
        <v>378</v>
      </c>
    </row>
    <row r="1498" spans="1:9" x14ac:dyDescent="0.3">
      <c r="A1498" s="24">
        <v>45362</v>
      </c>
      <c r="B1498" t="s">
        <v>101</v>
      </c>
      <c r="C1498" t="s">
        <v>60</v>
      </c>
      <c r="D1498">
        <v>0.08</v>
      </c>
      <c r="E1498" t="s">
        <v>953</v>
      </c>
      <c r="F1498" t="s">
        <v>31</v>
      </c>
      <c r="G1498" t="s">
        <v>774</v>
      </c>
      <c r="H1498" t="s">
        <v>15</v>
      </c>
      <c r="I1498" s="26" t="s">
        <v>378</v>
      </c>
    </row>
    <row r="1499" spans="1:9" x14ac:dyDescent="0.3">
      <c r="A1499" s="24">
        <v>45362</v>
      </c>
      <c r="B1499" t="s">
        <v>101</v>
      </c>
      <c r="C1499" t="s">
        <v>60</v>
      </c>
      <c r="D1499">
        <v>0.08</v>
      </c>
      <c r="E1499" t="s">
        <v>214</v>
      </c>
      <c r="F1499" t="s">
        <v>31</v>
      </c>
      <c r="G1499" t="s">
        <v>774</v>
      </c>
      <c r="H1499" t="s">
        <v>15</v>
      </c>
      <c r="I1499" s="26" t="s">
        <v>378</v>
      </c>
    </row>
    <row r="1500" spans="1:9" x14ac:dyDescent="0.3">
      <c r="A1500" s="24">
        <v>45362</v>
      </c>
      <c r="B1500" t="s">
        <v>101</v>
      </c>
      <c r="C1500" t="s">
        <v>60</v>
      </c>
      <c r="D1500">
        <v>0.67</v>
      </c>
      <c r="E1500" t="s">
        <v>295</v>
      </c>
      <c r="F1500" t="s">
        <v>55</v>
      </c>
      <c r="G1500" t="s">
        <v>1251</v>
      </c>
      <c r="H1500" t="s">
        <v>15</v>
      </c>
      <c r="I1500" s="26" t="s">
        <v>378</v>
      </c>
    </row>
    <row r="1501" spans="1:9" x14ac:dyDescent="0.3">
      <c r="A1501" s="24">
        <v>45362</v>
      </c>
      <c r="B1501" t="s">
        <v>101</v>
      </c>
      <c r="C1501" t="s">
        <v>60</v>
      </c>
      <c r="D1501">
        <v>2.25</v>
      </c>
      <c r="E1501" t="s">
        <v>295</v>
      </c>
      <c r="F1501" t="s">
        <v>55</v>
      </c>
      <c r="G1501" t="s">
        <v>1252</v>
      </c>
      <c r="H1501" t="s">
        <v>15</v>
      </c>
      <c r="I1501" s="26" t="s">
        <v>378</v>
      </c>
    </row>
    <row r="1502" spans="1:9" x14ac:dyDescent="0.3">
      <c r="A1502" s="24">
        <v>45362</v>
      </c>
      <c r="B1502" t="s">
        <v>402</v>
      </c>
      <c r="C1502" t="s">
        <v>403</v>
      </c>
      <c r="D1502">
        <v>3</v>
      </c>
      <c r="E1502" t="s">
        <v>39</v>
      </c>
      <c r="F1502" t="s">
        <v>31</v>
      </c>
      <c r="G1502" t="s">
        <v>1253</v>
      </c>
      <c r="H1502" t="s">
        <v>15</v>
      </c>
      <c r="I1502" s="26" t="s">
        <v>378</v>
      </c>
    </row>
    <row r="1503" spans="1:9" x14ac:dyDescent="0.3">
      <c r="A1503" s="24">
        <v>45362</v>
      </c>
      <c r="B1503" t="s">
        <v>402</v>
      </c>
      <c r="C1503" t="s">
        <v>405</v>
      </c>
      <c r="D1503">
        <v>1.5</v>
      </c>
      <c r="E1503" t="s">
        <v>42</v>
      </c>
      <c r="F1503" t="s">
        <v>31</v>
      </c>
      <c r="G1503" t="s">
        <v>1254</v>
      </c>
      <c r="H1503" t="s">
        <v>15</v>
      </c>
      <c r="I1503" s="26" t="s">
        <v>378</v>
      </c>
    </row>
    <row r="1504" spans="1:9" x14ac:dyDescent="0.3">
      <c r="A1504" s="24">
        <v>45362</v>
      </c>
      <c r="B1504" t="s">
        <v>113</v>
      </c>
      <c r="C1504" t="s">
        <v>29</v>
      </c>
      <c r="D1504">
        <v>0.2</v>
      </c>
      <c r="E1504" t="s">
        <v>195</v>
      </c>
      <c r="F1504" t="s">
        <v>31</v>
      </c>
      <c r="G1504" t="s">
        <v>412</v>
      </c>
      <c r="H1504" t="s">
        <v>15</v>
      </c>
      <c r="I1504" s="26" t="s">
        <v>378</v>
      </c>
    </row>
    <row r="1505" spans="1:9" x14ac:dyDescent="0.3">
      <c r="A1505" s="24">
        <v>45362</v>
      </c>
      <c r="B1505" t="s">
        <v>113</v>
      </c>
      <c r="C1505" t="s">
        <v>29</v>
      </c>
      <c r="D1505">
        <v>0.25</v>
      </c>
      <c r="E1505" t="s">
        <v>114</v>
      </c>
      <c r="F1505" t="s">
        <v>31</v>
      </c>
      <c r="G1505" t="s">
        <v>115</v>
      </c>
      <c r="H1505" t="s">
        <v>15</v>
      </c>
      <c r="I1505" s="26" t="s">
        <v>378</v>
      </c>
    </row>
    <row r="1506" spans="1:9" x14ac:dyDescent="0.3">
      <c r="A1506" s="24">
        <v>45362</v>
      </c>
      <c r="B1506" t="s">
        <v>113</v>
      </c>
      <c r="C1506" t="s">
        <v>29</v>
      </c>
      <c r="D1506">
        <v>0.32</v>
      </c>
      <c r="E1506" t="s">
        <v>114</v>
      </c>
      <c r="F1506" t="s">
        <v>31</v>
      </c>
      <c r="G1506" t="s">
        <v>412</v>
      </c>
      <c r="H1506" t="s">
        <v>15</v>
      </c>
      <c r="I1506" s="26" t="s">
        <v>378</v>
      </c>
    </row>
    <row r="1507" spans="1:9" x14ac:dyDescent="0.3">
      <c r="A1507" s="24">
        <v>45362</v>
      </c>
      <c r="B1507" t="s">
        <v>113</v>
      </c>
      <c r="C1507" t="s">
        <v>29</v>
      </c>
      <c r="D1507">
        <v>0.45</v>
      </c>
      <c r="E1507" t="s">
        <v>127</v>
      </c>
      <c r="F1507" t="s">
        <v>31</v>
      </c>
      <c r="G1507" t="s">
        <v>412</v>
      </c>
      <c r="H1507" t="s">
        <v>15</v>
      </c>
      <c r="I1507" s="26" t="s">
        <v>378</v>
      </c>
    </row>
    <row r="1508" spans="1:9" x14ac:dyDescent="0.3">
      <c r="A1508" s="24">
        <v>45362</v>
      </c>
      <c r="B1508" t="s">
        <v>113</v>
      </c>
      <c r="C1508" t="s">
        <v>53</v>
      </c>
      <c r="D1508">
        <v>0.33</v>
      </c>
      <c r="E1508" t="s">
        <v>54</v>
      </c>
      <c r="F1508" t="s">
        <v>55</v>
      </c>
      <c r="G1508" t="s">
        <v>119</v>
      </c>
      <c r="H1508" t="s">
        <v>15</v>
      </c>
      <c r="I1508" s="26" t="s">
        <v>378</v>
      </c>
    </row>
    <row r="1509" spans="1:9" x14ac:dyDescent="0.3">
      <c r="A1509" s="24">
        <v>45362</v>
      </c>
      <c r="B1509" t="s">
        <v>113</v>
      </c>
      <c r="C1509" t="s">
        <v>53</v>
      </c>
      <c r="D1509">
        <v>0.5</v>
      </c>
      <c r="E1509" t="s">
        <v>54</v>
      </c>
      <c r="F1509" t="s">
        <v>55</v>
      </c>
      <c r="G1509" t="s">
        <v>110</v>
      </c>
      <c r="H1509" t="s">
        <v>15</v>
      </c>
      <c r="I1509" s="26" t="s">
        <v>378</v>
      </c>
    </row>
    <row r="1510" spans="1:9" x14ac:dyDescent="0.3">
      <c r="A1510" s="24">
        <v>45362</v>
      </c>
      <c r="B1510" t="s">
        <v>113</v>
      </c>
      <c r="C1510" t="s">
        <v>53</v>
      </c>
      <c r="D1510">
        <v>0.56999999999999995</v>
      </c>
      <c r="E1510" t="s">
        <v>54</v>
      </c>
      <c r="F1510" t="s">
        <v>55</v>
      </c>
      <c r="G1510" t="s">
        <v>1255</v>
      </c>
      <c r="H1510" t="s">
        <v>15</v>
      </c>
      <c r="I1510" s="26" t="s">
        <v>378</v>
      </c>
    </row>
    <row r="1511" spans="1:9" x14ac:dyDescent="0.3">
      <c r="A1511" s="24">
        <v>45362</v>
      </c>
      <c r="B1511" t="s">
        <v>113</v>
      </c>
      <c r="C1511" t="s">
        <v>53</v>
      </c>
      <c r="D1511">
        <v>0.75</v>
      </c>
      <c r="E1511" t="s">
        <v>54</v>
      </c>
      <c r="F1511" t="s">
        <v>55</v>
      </c>
      <c r="G1511" t="s">
        <v>1256</v>
      </c>
      <c r="H1511" t="s">
        <v>15</v>
      </c>
      <c r="I1511" s="26" t="s">
        <v>378</v>
      </c>
    </row>
    <row r="1512" spans="1:9" x14ac:dyDescent="0.3">
      <c r="A1512" s="24">
        <v>45362</v>
      </c>
      <c r="B1512" t="s">
        <v>113</v>
      </c>
      <c r="C1512" t="s">
        <v>159</v>
      </c>
      <c r="D1512">
        <v>1.77</v>
      </c>
      <c r="E1512" t="s">
        <v>114</v>
      </c>
      <c r="F1512" t="s">
        <v>31</v>
      </c>
      <c r="G1512" t="s">
        <v>418</v>
      </c>
      <c r="H1512" t="s">
        <v>15</v>
      </c>
      <c r="I1512" s="26" t="s">
        <v>378</v>
      </c>
    </row>
    <row r="1513" spans="1:9" x14ac:dyDescent="0.3">
      <c r="A1513" s="24">
        <v>45362</v>
      </c>
      <c r="B1513" t="s">
        <v>113</v>
      </c>
      <c r="C1513" t="s">
        <v>58</v>
      </c>
      <c r="D1513">
        <v>1.02</v>
      </c>
      <c r="E1513" t="s">
        <v>54</v>
      </c>
      <c r="F1513" t="s">
        <v>55</v>
      </c>
      <c r="G1513" t="s">
        <v>111</v>
      </c>
      <c r="H1513" t="s">
        <v>15</v>
      </c>
      <c r="I1513" s="26" t="s">
        <v>378</v>
      </c>
    </row>
    <row r="1514" spans="1:9" x14ac:dyDescent="0.3">
      <c r="A1514" s="24">
        <v>45362</v>
      </c>
      <c r="B1514" t="s">
        <v>113</v>
      </c>
      <c r="C1514" t="s">
        <v>60</v>
      </c>
      <c r="D1514">
        <v>0.25</v>
      </c>
      <c r="E1514" t="s">
        <v>48</v>
      </c>
      <c r="F1514" t="s">
        <v>31</v>
      </c>
      <c r="G1514" t="s">
        <v>126</v>
      </c>
      <c r="H1514" t="s">
        <v>15</v>
      </c>
      <c r="I1514" s="26" t="s">
        <v>378</v>
      </c>
    </row>
    <row r="1515" spans="1:9" x14ac:dyDescent="0.3">
      <c r="A1515" s="24">
        <v>45362</v>
      </c>
      <c r="B1515" t="s">
        <v>113</v>
      </c>
      <c r="C1515" t="s">
        <v>60</v>
      </c>
      <c r="D1515">
        <v>0.65</v>
      </c>
      <c r="E1515" t="s">
        <v>137</v>
      </c>
      <c r="F1515" t="s">
        <v>31</v>
      </c>
      <c r="G1515" t="s">
        <v>126</v>
      </c>
      <c r="H1515" t="s">
        <v>15</v>
      </c>
      <c r="I1515" s="26" t="s">
        <v>378</v>
      </c>
    </row>
    <row r="1516" spans="1:9" x14ac:dyDescent="0.3">
      <c r="A1516" s="24">
        <v>45362</v>
      </c>
      <c r="B1516" t="s">
        <v>113</v>
      </c>
      <c r="C1516" t="s">
        <v>60</v>
      </c>
      <c r="D1516">
        <v>0.95</v>
      </c>
      <c r="E1516" t="s">
        <v>143</v>
      </c>
      <c r="F1516" t="s">
        <v>31</v>
      </c>
      <c r="G1516" t="s">
        <v>126</v>
      </c>
      <c r="H1516" t="s">
        <v>15</v>
      </c>
      <c r="I1516" s="26" t="s">
        <v>378</v>
      </c>
    </row>
    <row r="1517" spans="1:9" x14ac:dyDescent="0.3">
      <c r="A1517" s="24">
        <v>45362</v>
      </c>
      <c r="B1517" t="s">
        <v>132</v>
      </c>
      <c r="C1517" t="s">
        <v>442</v>
      </c>
      <c r="D1517">
        <v>8</v>
      </c>
      <c r="E1517" t="s">
        <v>54</v>
      </c>
      <c r="F1517" t="s">
        <v>55</v>
      </c>
      <c r="H1517" t="s">
        <v>15</v>
      </c>
      <c r="I1517" s="26" t="s">
        <v>378</v>
      </c>
    </row>
    <row r="1518" spans="1:9" x14ac:dyDescent="0.3">
      <c r="A1518" s="24">
        <v>45362</v>
      </c>
      <c r="B1518" t="s">
        <v>134</v>
      </c>
      <c r="C1518" t="s">
        <v>29</v>
      </c>
      <c r="D1518">
        <v>0.33</v>
      </c>
      <c r="E1518" t="s">
        <v>139</v>
      </c>
      <c r="F1518" t="s">
        <v>31</v>
      </c>
      <c r="G1518" t="s">
        <v>1257</v>
      </c>
      <c r="H1518" t="s">
        <v>15</v>
      </c>
      <c r="I1518" s="26" t="s">
        <v>378</v>
      </c>
    </row>
    <row r="1519" spans="1:9" x14ac:dyDescent="0.3">
      <c r="A1519" s="24">
        <v>45362</v>
      </c>
      <c r="B1519" t="s">
        <v>134</v>
      </c>
      <c r="C1519" t="s">
        <v>29</v>
      </c>
      <c r="D1519">
        <v>0.67</v>
      </c>
      <c r="E1519" t="s">
        <v>420</v>
      </c>
      <c r="F1519" t="s">
        <v>31</v>
      </c>
      <c r="G1519" t="s">
        <v>427</v>
      </c>
      <c r="H1519" t="s">
        <v>15</v>
      </c>
      <c r="I1519" s="26" t="s">
        <v>378</v>
      </c>
    </row>
    <row r="1520" spans="1:9" x14ac:dyDescent="0.3">
      <c r="A1520" s="24">
        <v>45362</v>
      </c>
      <c r="B1520" t="s">
        <v>134</v>
      </c>
      <c r="C1520" t="s">
        <v>29</v>
      </c>
      <c r="D1520">
        <v>0.85</v>
      </c>
      <c r="E1520" t="s">
        <v>139</v>
      </c>
      <c r="F1520" t="s">
        <v>31</v>
      </c>
      <c r="G1520" t="s">
        <v>1258</v>
      </c>
      <c r="H1520" t="s">
        <v>15</v>
      </c>
      <c r="I1520" s="26" t="s">
        <v>378</v>
      </c>
    </row>
    <row r="1521" spans="1:9" x14ac:dyDescent="0.3">
      <c r="A1521" s="24">
        <v>45362</v>
      </c>
      <c r="B1521" t="s">
        <v>134</v>
      </c>
      <c r="C1521" t="s">
        <v>29</v>
      </c>
      <c r="D1521">
        <v>1.37</v>
      </c>
      <c r="E1521" t="s">
        <v>135</v>
      </c>
      <c r="F1521" t="s">
        <v>31</v>
      </c>
      <c r="G1521" t="s">
        <v>427</v>
      </c>
      <c r="H1521" t="s">
        <v>15</v>
      </c>
      <c r="I1521" s="26" t="s">
        <v>378</v>
      </c>
    </row>
    <row r="1522" spans="1:9" x14ac:dyDescent="0.3">
      <c r="A1522" s="24">
        <v>45362</v>
      </c>
      <c r="B1522" t="s">
        <v>134</v>
      </c>
      <c r="C1522" t="s">
        <v>29</v>
      </c>
      <c r="D1522">
        <v>2.65</v>
      </c>
      <c r="E1522" t="s">
        <v>423</v>
      </c>
      <c r="F1522" t="s">
        <v>31</v>
      </c>
      <c r="G1522" t="s">
        <v>427</v>
      </c>
      <c r="H1522" t="s">
        <v>15</v>
      </c>
      <c r="I1522" s="26" t="s">
        <v>378</v>
      </c>
    </row>
    <row r="1523" spans="1:9" x14ac:dyDescent="0.3">
      <c r="A1523" s="24">
        <v>45362</v>
      </c>
      <c r="B1523" t="s">
        <v>134</v>
      </c>
      <c r="C1523" t="s">
        <v>428</v>
      </c>
      <c r="D1523">
        <v>0.5</v>
      </c>
      <c r="E1523" t="s">
        <v>143</v>
      </c>
      <c r="F1523" t="s">
        <v>31</v>
      </c>
      <c r="G1523" t="s">
        <v>429</v>
      </c>
      <c r="H1523" t="s">
        <v>15</v>
      </c>
      <c r="I1523" s="26" t="s">
        <v>378</v>
      </c>
    </row>
    <row r="1524" spans="1:9" x14ac:dyDescent="0.3">
      <c r="A1524" s="24">
        <v>45362</v>
      </c>
      <c r="B1524" t="s">
        <v>134</v>
      </c>
      <c r="C1524" t="s">
        <v>53</v>
      </c>
      <c r="D1524">
        <v>0.5</v>
      </c>
      <c r="E1524" t="s">
        <v>54</v>
      </c>
      <c r="F1524" t="s">
        <v>55</v>
      </c>
      <c r="G1524" t="s">
        <v>110</v>
      </c>
      <c r="H1524" t="s">
        <v>15</v>
      </c>
      <c r="I1524" s="26" t="s">
        <v>378</v>
      </c>
    </row>
    <row r="1525" spans="1:9" x14ac:dyDescent="0.3">
      <c r="A1525" s="24">
        <v>45362</v>
      </c>
      <c r="B1525" t="s">
        <v>134</v>
      </c>
      <c r="C1525" t="s">
        <v>58</v>
      </c>
      <c r="D1525">
        <v>1.1299999999999999</v>
      </c>
      <c r="E1525" t="s">
        <v>54</v>
      </c>
      <c r="F1525" t="s">
        <v>55</v>
      </c>
      <c r="G1525" t="s">
        <v>111</v>
      </c>
      <c r="H1525" t="s">
        <v>15</v>
      </c>
      <c r="I1525" s="26" t="s">
        <v>378</v>
      </c>
    </row>
    <row r="1526" spans="1:9" x14ac:dyDescent="0.3">
      <c r="A1526" s="24">
        <v>45362</v>
      </c>
      <c r="B1526" t="s">
        <v>150</v>
      </c>
      <c r="C1526" t="s">
        <v>29</v>
      </c>
      <c r="D1526">
        <v>1.78</v>
      </c>
      <c r="E1526" t="s">
        <v>151</v>
      </c>
      <c r="F1526" t="s">
        <v>31</v>
      </c>
      <c r="G1526" t="s">
        <v>1259</v>
      </c>
      <c r="H1526" t="s">
        <v>15</v>
      </c>
      <c r="I1526" s="26" t="s">
        <v>378</v>
      </c>
    </row>
    <row r="1527" spans="1:9" x14ac:dyDescent="0.3">
      <c r="A1527" s="24">
        <v>45362</v>
      </c>
      <c r="B1527" t="s">
        <v>150</v>
      </c>
      <c r="C1527" t="s">
        <v>29</v>
      </c>
      <c r="D1527">
        <v>3.47</v>
      </c>
      <c r="E1527" t="s">
        <v>114</v>
      </c>
      <c r="F1527" t="s">
        <v>31</v>
      </c>
      <c r="G1527" t="s">
        <v>1260</v>
      </c>
      <c r="H1527" t="s">
        <v>15</v>
      </c>
      <c r="I1527" s="26" t="s">
        <v>378</v>
      </c>
    </row>
    <row r="1528" spans="1:9" x14ac:dyDescent="0.3">
      <c r="A1528" s="24">
        <v>45362</v>
      </c>
      <c r="B1528" t="s">
        <v>150</v>
      </c>
      <c r="C1528" t="s">
        <v>53</v>
      </c>
      <c r="D1528">
        <v>0.18</v>
      </c>
      <c r="E1528" t="s">
        <v>54</v>
      </c>
      <c r="F1528" t="s">
        <v>55</v>
      </c>
      <c r="G1528" t="s">
        <v>158</v>
      </c>
      <c r="H1528" t="s">
        <v>15</v>
      </c>
      <c r="I1528" s="26" t="s">
        <v>378</v>
      </c>
    </row>
    <row r="1529" spans="1:9" x14ac:dyDescent="0.3">
      <c r="A1529" s="24">
        <v>45362</v>
      </c>
      <c r="B1529" t="s">
        <v>150</v>
      </c>
      <c r="C1529" t="s">
        <v>159</v>
      </c>
      <c r="D1529">
        <v>0.77</v>
      </c>
      <c r="E1529" t="s">
        <v>114</v>
      </c>
      <c r="F1529" t="s">
        <v>31</v>
      </c>
      <c r="G1529" t="s">
        <v>1261</v>
      </c>
      <c r="H1529" t="s">
        <v>15</v>
      </c>
      <c r="I1529" s="26" t="s">
        <v>378</v>
      </c>
    </row>
    <row r="1530" spans="1:9" x14ac:dyDescent="0.3">
      <c r="A1530" s="24">
        <v>45362</v>
      </c>
      <c r="B1530" t="s">
        <v>150</v>
      </c>
      <c r="C1530" t="s">
        <v>159</v>
      </c>
      <c r="D1530">
        <v>1.1200000000000001</v>
      </c>
      <c r="E1530" t="s">
        <v>437</v>
      </c>
      <c r="F1530" t="s">
        <v>31</v>
      </c>
      <c r="G1530" t="s">
        <v>1137</v>
      </c>
      <c r="H1530" t="s">
        <v>15</v>
      </c>
      <c r="I1530" s="26" t="s">
        <v>378</v>
      </c>
    </row>
    <row r="1531" spans="1:9" x14ac:dyDescent="0.3">
      <c r="A1531" s="24">
        <v>45362</v>
      </c>
      <c r="B1531" t="s">
        <v>150</v>
      </c>
      <c r="C1531" t="s">
        <v>58</v>
      </c>
      <c r="D1531">
        <v>1.05</v>
      </c>
      <c r="E1531" t="s">
        <v>54</v>
      </c>
      <c r="F1531" t="s">
        <v>55</v>
      </c>
      <c r="G1531" t="s">
        <v>59</v>
      </c>
      <c r="H1531" t="s">
        <v>15</v>
      </c>
      <c r="I1531" s="26" t="s">
        <v>378</v>
      </c>
    </row>
    <row r="1532" spans="1:9" x14ac:dyDescent="0.3">
      <c r="A1532" s="24">
        <v>45362</v>
      </c>
      <c r="B1532" t="s">
        <v>164</v>
      </c>
      <c r="C1532" t="s">
        <v>29</v>
      </c>
      <c r="D1532">
        <v>7.0000000000000007E-2</v>
      </c>
      <c r="E1532" t="s">
        <v>1216</v>
      </c>
      <c r="F1532" t="s">
        <v>31</v>
      </c>
      <c r="G1532" t="s">
        <v>1262</v>
      </c>
      <c r="H1532" t="s">
        <v>15</v>
      </c>
      <c r="I1532" s="26" t="s">
        <v>378</v>
      </c>
    </row>
    <row r="1533" spans="1:9" x14ac:dyDescent="0.3">
      <c r="A1533" s="24">
        <v>45362</v>
      </c>
      <c r="B1533" t="s">
        <v>164</v>
      </c>
      <c r="C1533" t="s">
        <v>29</v>
      </c>
      <c r="D1533">
        <v>0.53</v>
      </c>
      <c r="E1533" t="s">
        <v>104</v>
      </c>
      <c r="F1533" t="s">
        <v>31</v>
      </c>
      <c r="H1533" t="s">
        <v>15</v>
      </c>
      <c r="I1533" s="26" t="s">
        <v>378</v>
      </c>
    </row>
    <row r="1534" spans="1:9" x14ac:dyDescent="0.3">
      <c r="A1534" s="24">
        <v>45362</v>
      </c>
      <c r="B1534" t="s">
        <v>164</v>
      </c>
      <c r="C1534" t="s">
        <v>29</v>
      </c>
      <c r="D1534">
        <v>0.9</v>
      </c>
      <c r="E1534" t="s">
        <v>1216</v>
      </c>
      <c r="F1534" t="s">
        <v>31</v>
      </c>
      <c r="H1534" t="s">
        <v>15</v>
      </c>
      <c r="I1534" s="26" t="s">
        <v>378</v>
      </c>
    </row>
    <row r="1535" spans="1:9" x14ac:dyDescent="0.3">
      <c r="A1535" s="24">
        <v>45362</v>
      </c>
      <c r="B1535" t="s">
        <v>164</v>
      </c>
      <c r="C1535" t="s">
        <v>53</v>
      </c>
      <c r="D1535">
        <v>0.35</v>
      </c>
      <c r="E1535" t="s">
        <v>54</v>
      </c>
      <c r="F1535" t="s">
        <v>55</v>
      </c>
      <c r="G1535" t="s">
        <v>1263</v>
      </c>
      <c r="H1535" t="s">
        <v>15</v>
      </c>
      <c r="I1535" s="26" t="s">
        <v>378</v>
      </c>
    </row>
    <row r="1536" spans="1:9" x14ac:dyDescent="0.3">
      <c r="A1536" s="24">
        <v>45362</v>
      </c>
      <c r="B1536" t="s">
        <v>164</v>
      </c>
      <c r="C1536" t="s">
        <v>53</v>
      </c>
      <c r="D1536">
        <v>0.47</v>
      </c>
      <c r="E1536" t="s">
        <v>54</v>
      </c>
      <c r="F1536" t="s">
        <v>55</v>
      </c>
      <c r="G1536" t="s">
        <v>1264</v>
      </c>
      <c r="H1536" t="s">
        <v>15</v>
      </c>
      <c r="I1536" s="26" t="s">
        <v>378</v>
      </c>
    </row>
    <row r="1537" spans="1:9" x14ac:dyDescent="0.3">
      <c r="A1537" s="24">
        <v>45362</v>
      </c>
      <c r="B1537" t="s">
        <v>164</v>
      </c>
      <c r="C1537" t="s">
        <v>225</v>
      </c>
      <c r="D1537">
        <v>0.37</v>
      </c>
      <c r="E1537" t="s">
        <v>1074</v>
      </c>
      <c r="F1537" t="s">
        <v>31</v>
      </c>
      <c r="G1537" t="s">
        <v>1265</v>
      </c>
      <c r="H1537" t="s">
        <v>15</v>
      </c>
      <c r="I1537" s="26" t="s">
        <v>378</v>
      </c>
    </row>
    <row r="1538" spans="1:9" x14ac:dyDescent="0.3">
      <c r="A1538" s="24">
        <v>45362</v>
      </c>
      <c r="B1538" t="s">
        <v>164</v>
      </c>
      <c r="C1538" t="s">
        <v>225</v>
      </c>
      <c r="D1538">
        <v>0.38</v>
      </c>
      <c r="E1538" t="s">
        <v>1074</v>
      </c>
      <c r="F1538" t="s">
        <v>31</v>
      </c>
      <c r="G1538" t="s">
        <v>1266</v>
      </c>
      <c r="H1538" t="s">
        <v>15</v>
      </c>
      <c r="I1538" s="26" t="s">
        <v>378</v>
      </c>
    </row>
    <row r="1539" spans="1:9" x14ac:dyDescent="0.3">
      <c r="A1539" s="24">
        <v>45362</v>
      </c>
      <c r="B1539" t="s">
        <v>164</v>
      </c>
      <c r="C1539" t="s">
        <v>225</v>
      </c>
      <c r="D1539">
        <v>1.1000000000000001</v>
      </c>
      <c r="E1539" t="s">
        <v>1074</v>
      </c>
      <c r="F1539" t="s">
        <v>31</v>
      </c>
      <c r="G1539" t="s">
        <v>1267</v>
      </c>
      <c r="H1539" t="s">
        <v>15</v>
      </c>
      <c r="I1539" s="26" t="s">
        <v>378</v>
      </c>
    </row>
    <row r="1540" spans="1:9" x14ac:dyDescent="0.3">
      <c r="A1540" s="24">
        <v>45362</v>
      </c>
      <c r="B1540" t="s">
        <v>164</v>
      </c>
      <c r="C1540" t="s">
        <v>148</v>
      </c>
      <c r="D1540">
        <v>1.25</v>
      </c>
      <c r="E1540" t="s">
        <v>54</v>
      </c>
      <c r="F1540" t="s">
        <v>55</v>
      </c>
      <c r="G1540" t="s">
        <v>1268</v>
      </c>
      <c r="H1540" t="s">
        <v>15</v>
      </c>
      <c r="I1540" s="26" t="s">
        <v>378</v>
      </c>
    </row>
    <row r="1541" spans="1:9" x14ac:dyDescent="0.3">
      <c r="A1541" s="24">
        <v>45362</v>
      </c>
      <c r="B1541" t="s">
        <v>164</v>
      </c>
      <c r="C1541" t="s">
        <v>148</v>
      </c>
      <c r="D1541">
        <v>1.5</v>
      </c>
      <c r="E1541" t="s">
        <v>54</v>
      </c>
      <c r="F1541" t="s">
        <v>55</v>
      </c>
      <c r="G1541" t="s">
        <v>1269</v>
      </c>
      <c r="H1541" t="s">
        <v>15</v>
      </c>
      <c r="I1541" s="26" t="s">
        <v>378</v>
      </c>
    </row>
    <row r="1542" spans="1:9" x14ac:dyDescent="0.3">
      <c r="A1542" s="24">
        <v>45362</v>
      </c>
      <c r="B1542" t="s">
        <v>164</v>
      </c>
      <c r="C1542" t="s">
        <v>159</v>
      </c>
      <c r="D1542">
        <v>0.52</v>
      </c>
      <c r="E1542" t="s">
        <v>1180</v>
      </c>
      <c r="F1542" t="s">
        <v>31</v>
      </c>
      <c r="G1542" t="s">
        <v>1270</v>
      </c>
      <c r="H1542" t="s">
        <v>15</v>
      </c>
      <c r="I1542" s="26" t="s">
        <v>378</v>
      </c>
    </row>
    <row r="1543" spans="1:9" x14ac:dyDescent="0.3">
      <c r="A1543" s="24">
        <v>45362</v>
      </c>
      <c r="B1543" t="s">
        <v>164</v>
      </c>
      <c r="C1543" t="s">
        <v>60</v>
      </c>
      <c r="D1543">
        <v>0.27</v>
      </c>
      <c r="E1543" t="s">
        <v>170</v>
      </c>
      <c r="F1543" t="s">
        <v>55</v>
      </c>
      <c r="G1543" t="s">
        <v>1271</v>
      </c>
      <c r="H1543" t="s">
        <v>15</v>
      </c>
      <c r="I1543" s="26" t="s">
        <v>378</v>
      </c>
    </row>
    <row r="1544" spans="1:9" x14ac:dyDescent="0.3">
      <c r="A1544" s="24">
        <v>45362</v>
      </c>
      <c r="B1544" t="s">
        <v>164</v>
      </c>
      <c r="C1544" t="s">
        <v>60</v>
      </c>
      <c r="D1544">
        <v>0.3</v>
      </c>
      <c r="E1544" t="s">
        <v>170</v>
      </c>
      <c r="F1544" t="s">
        <v>55</v>
      </c>
      <c r="G1544" t="s">
        <v>1272</v>
      </c>
      <c r="H1544" t="s">
        <v>15</v>
      </c>
      <c r="I1544" s="26" t="s">
        <v>378</v>
      </c>
    </row>
    <row r="1545" spans="1:9" x14ac:dyDescent="0.3">
      <c r="A1545" s="24">
        <v>45362</v>
      </c>
      <c r="B1545" t="s">
        <v>169</v>
      </c>
      <c r="C1545" t="s">
        <v>29</v>
      </c>
      <c r="D1545">
        <v>4.37</v>
      </c>
      <c r="E1545" t="s">
        <v>170</v>
      </c>
      <c r="F1545" t="s">
        <v>31</v>
      </c>
      <c r="H1545" t="s">
        <v>15</v>
      </c>
      <c r="I1545" s="26" t="s">
        <v>378</v>
      </c>
    </row>
    <row r="1546" spans="1:9" x14ac:dyDescent="0.3">
      <c r="A1546" s="24">
        <v>45362</v>
      </c>
      <c r="B1546" t="s">
        <v>169</v>
      </c>
      <c r="C1546" t="s">
        <v>53</v>
      </c>
      <c r="D1546">
        <v>0.28000000000000003</v>
      </c>
      <c r="E1546" t="s">
        <v>54</v>
      </c>
      <c r="F1546" t="s">
        <v>55</v>
      </c>
      <c r="G1546" t="s">
        <v>243</v>
      </c>
      <c r="H1546" t="s">
        <v>15</v>
      </c>
      <c r="I1546" s="26" t="s">
        <v>378</v>
      </c>
    </row>
    <row r="1547" spans="1:9" x14ac:dyDescent="0.3">
      <c r="A1547" s="24">
        <v>45362</v>
      </c>
      <c r="B1547" t="s">
        <v>169</v>
      </c>
      <c r="C1547" t="s">
        <v>60</v>
      </c>
      <c r="D1547">
        <v>0.18</v>
      </c>
      <c r="E1547" t="s">
        <v>444</v>
      </c>
      <c r="F1547" t="s">
        <v>31</v>
      </c>
      <c r="G1547" t="s">
        <v>63</v>
      </c>
      <c r="H1547" t="s">
        <v>15</v>
      </c>
      <c r="I1547" s="26" t="s">
        <v>378</v>
      </c>
    </row>
    <row r="1548" spans="1:9" x14ac:dyDescent="0.3">
      <c r="A1548" s="24">
        <v>45362</v>
      </c>
      <c r="B1548" t="s">
        <v>169</v>
      </c>
      <c r="C1548" t="s">
        <v>60</v>
      </c>
      <c r="D1548">
        <v>3.17</v>
      </c>
      <c r="E1548" t="s">
        <v>445</v>
      </c>
      <c r="F1548" t="s">
        <v>31</v>
      </c>
      <c r="H1548" t="s">
        <v>15</v>
      </c>
      <c r="I1548" s="26" t="s">
        <v>378</v>
      </c>
    </row>
    <row r="1549" spans="1:9" x14ac:dyDescent="0.3">
      <c r="A1549" s="24">
        <v>45362</v>
      </c>
      <c r="B1549" t="s">
        <v>175</v>
      </c>
      <c r="C1549" t="s">
        <v>29</v>
      </c>
      <c r="D1549">
        <v>0.18</v>
      </c>
      <c r="E1549" t="s">
        <v>185</v>
      </c>
      <c r="F1549" t="s">
        <v>31</v>
      </c>
      <c r="H1549" t="s">
        <v>15</v>
      </c>
      <c r="I1549" s="26" t="s">
        <v>378</v>
      </c>
    </row>
    <row r="1550" spans="1:9" x14ac:dyDescent="0.3">
      <c r="A1550" s="24">
        <v>45362</v>
      </c>
      <c r="B1550" t="s">
        <v>175</v>
      </c>
      <c r="C1550" t="s">
        <v>29</v>
      </c>
      <c r="D1550">
        <v>0.42</v>
      </c>
      <c r="E1550" t="s">
        <v>185</v>
      </c>
      <c r="F1550" t="s">
        <v>31</v>
      </c>
      <c r="G1550" t="s">
        <v>1273</v>
      </c>
      <c r="H1550" t="s">
        <v>15</v>
      </c>
      <c r="I1550" s="26" t="s">
        <v>378</v>
      </c>
    </row>
    <row r="1551" spans="1:9" x14ac:dyDescent="0.3">
      <c r="A1551" s="24">
        <v>45362</v>
      </c>
      <c r="B1551" t="s">
        <v>175</v>
      </c>
      <c r="C1551" t="s">
        <v>29</v>
      </c>
      <c r="D1551">
        <v>0.43</v>
      </c>
      <c r="E1551" t="s">
        <v>176</v>
      </c>
      <c r="F1551" t="s">
        <v>31</v>
      </c>
      <c r="G1551" t="s">
        <v>180</v>
      </c>
      <c r="H1551" t="s">
        <v>15</v>
      </c>
      <c r="I1551" s="26" t="s">
        <v>378</v>
      </c>
    </row>
    <row r="1552" spans="1:9" x14ac:dyDescent="0.3">
      <c r="A1552" s="24">
        <v>45362</v>
      </c>
      <c r="B1552" t="s">
        <v>175</v>
      </c>
      <c r="C1552" t="s">
        <v>29</v>
      </c>
      <c r="D1552">
        <v>0.8</v>
      </c>
      <c r="E1552" t="s">
        <v>127</v>
      </c>
      <c r="F1552" t="s">
        <v>31</v>
      </c>
      <c r="G1552" t="s">
        <v>1274</v>
      </c>
      <c r="H1552" t="s">
        <v>15</v>
      </c>
      <c r="I1552" s="26" t="s">
        <v>378</v>
      </c>
    </row>
    <row r="1553" spans="1:9" x14ac:dyDescent="0.3">
      <c r="A1553" s="24">
        <v>45362</v>
      </c>
      <c r="B1553" t="s">
        <v>175</v>
      </c>
      <c r="C1553" t="s">
        <v>29</v>
      </c>
      <c r="D1553">
        <v>0.8</v>
      </c>
      <c r="E1553" t="s">
        <v>127</v>
      </c>
      <c r="F1553" t="s">
        <v>31</v>
      </c>
      <c r="G1553" t="s">
        <v>1275</v>
      </c>
      <c r="H1553" t="s">
        <v>15</v>
      </c>
      <c r="I1553" s="26" t="s">
        <v>378</v>
      </c>
    </row>
    <row r="1554" spans="1:9" x14ac:dyDescent="0.3">
      <c r="A1554" s="24">
        <v>45362</v>
      </c>
      <c r="B1554" t="s">
        <v>175</v>
      </c>
      <c r="C1554" t="s">
        <v>29</v>
      </c>
      <c r="D1554">
        <v>0.8</v>
      </c>
      <c r="E1554" t="s">
        <v>182</v>
      </c>
      <c r="F1554" t="s">
        <v>31</v>
      </c>
      <c r="H1554" t="s">
        <v>15</v>
      </c>
      <c r="I1554" s="26" t="s">
        <v>378</v>
      </c>
    </row>
    <row r="1555" spans="1:9" x14ac:dyDescent="0.3">
      <c r="A1555" s="24">
        <v>45362</v>
      </c>
      <c r="B1555" t="s">
        <v>175</v>
      </c>
      <c r="C1555" t="s">
        <v>29</v>
      </c>
      <c r="D1555">
        <v>0.9</v>
      </c>
      <c r="E1555" t="s">
        <v>179</v>
      </c>
      <c r="F1555" t="s">
        <v>31</v>
      </c>
      <c r="G1555" t="s">
        <v>1276</v>
      </c>
      <c r="H1555" t="s">
        <v>15</v>
      </c>
      <c r="I1555" s="26" t="s">
        <v>378</v>
      </c>
    </row>
    <row r="1556" spans="1:9" x14ac:dyDescent="0.3">
      <c r="A1556" s="24">
        <v>45362</v>
      </c>
      <c r="B1556" t="s">
        <v>175</v>
      </c>
      <c r="C1556" t="s">
        <v>29</v>
      </c>
      <c r="D1556">
        <v>1.07</v>
      </c>
      <c r="E1556" t="s">
        <v>127</v>
      </c>
      <c r="F1556" t="s">
        <v>31</v>
      </c>
      <c r="H1556" t="s">
        <v>15</v>
      </c>
      <c r="I1556" s="26" t="s">
        <v>378</v>
      </c>
    </row>
    <row r="1557" spans="1:9" x14ac:dyDescent="0.3">
      <c r="A1557" s="24">
        <v>45362</v>
      </c>
      <c r="B1557" t="s">
        <v>175</v>
      </c>
      <c r="C1557" t="s">
        <v>29</v>
      </c>
      <c r="D1557">
        <v>1.22</v>
      </c>
      <c r="E1557" t="s">
        <v>179</v>
      </c>
      <c r="F1557" t="s">
        <v>31</v>
      </c>
      <c r="H1557" t="s">
        <v>15</v>
      </c>
      <c r="I1557" s="26" t="s">
        <v>378</v>
      </c>
    </row>
    <row r="1558" spans="1:9" x14ac:dyDescent="0.3">
      <c r="A1558" s="24">
        <v>45362</v>
      </c>
      <c r="B1558" t="s">
        <v>175</v>
      </c>
      <c r="C1558" t="s">
        <v>29</v>
      </c>
      <c r="D1558">
        <v>1.38</v>
      </c>
      <c r="E1558" t="s">
        <v>177</v>
      </c>
      <c r="F1558" t="s">
        <v>31</v>
      </c>
      <c r="H1558" t="s">
        <v>15</v>
      </c>
      <c r="I1558" s="26" t="s">
        <v>378</v>
      </c>
    </row>
    <row r="1559" spans="1:9" x14ac:dyDescent="0.3">
      <c r="A1559" s="24">
        <v>45362</v>
      </c>
      <c r="B1559" t="s">
        <v>188</v>
      </c>
      <c r="C1559" t="s">
        <v>454</v>
      </c>
      <c r="D1559">
        <v>8</v>
      </c>
      <c r="E1559" t="s">
        <v>54</v>
      </c>
      <c r="F1559" t="s">
        <v>55</v>
      </c>
      <c r="G1559" t="s">
        <v>1277</v>
      </c>
      <c r="H1559" t="s">
        <v>15</v>
      </c>
      <c r="I1559" s="26" t="s">
        <v>378</v>
      </c>
    </row>
    <row r="1560" spans="1:9" x14ac:dyDescent="0.3">
      <c r="A1560" s="24">
        <v>45362</v>
      </c>
      <c r="B1560" t="s">
        <v>190</v>
      </c>
      <c r="C1560" t="s">
        <v>442</v>
      </c>
      <c r="D1560">
        <v>8</v>
      </c>
      <c r="E1560" t="s">
        <v>54</v>
      </c>
      <c r="F1560" t="s">
        <v>55</v>
      </c>
      <c r="H1560" t="s">
        <v>15</v>
      </c>
      <c r="I1560" s="26" t="s">
        <v>378</v>
      </c>
    </row>
    <row r="1561" spans="1:9" x14ac:dyDescent="0.3">
      <c r="A1561" s="24">
        <v>45362</v>
      </c>
      <c r="B1561" t="s">
        <v>191</v>
      </c>
      <c r="C1561" t="s">
        <v>89</v>
      </c>
      <c r="D1561">
        <v>8</v>
      </c>
      <c r="E1561" t="s">
        <v>54</v>
      </c>
      <c r="F1561" t="s">
        <v>55</v>
      </c>
      <c r="G1561" t="s">
        <v>1278</v>
      </c>
      <c r="H1561" t="s">
        <v>15</v>
      </c>
      <c r="I1561" s="26" t="s">
        <v>378</v>
      </c>
    </row>
    <row r="1562" spans="1:9" x14ac:dyDescent="0.3">
      <c r="A1562" s="24">
        <v>45362</v>
      </c>
      <c r="B1562" t="s">
        <v>193</v>
      </c>
      <c r="C1562" t="s">
        <v>29</v>
      </c>
      <c r="D1562">
        <v>0.75</v>
      </c>
      <c r="E1562" t="s">
        <v>203</v>
      </c>
      <c r="F1562" t="s">
        <v>31</v>
      </c>
      <c r="G1562" t="s">
        <v>1279</v>
      </c>
      <c r="H1562" t="s">
        <v>15</v>
      </c>
      <c r="I1562" s="26" t="s">
        <v>378</v>
      </c>
    </row>
    <row r="1563" spans="1:9" x14ac:dyDescent="0.3">
      <c r="A1563" s="24">
        <v>45362</v>
      </c>
      <c r="B1563" t="s">
        <v>193</v>
      </c>
      <c r="C1563" t="s">
        <v>197</v>
      </c>
      <c r="D1563">
        <v>0.42</v>
      </c>
      <c r="E1563" t="s">
        <v>54</v>
      </c>
      <c r="F1563" t="s">
        <v>55</v>
      </c>
      <c r="G1563" t="s">
        <v>1280</v>
      </c>
      <c r="H1563" t="s">
        <v>15</v>
      </c>
      <c r="I1563" s="26" t="s">
        <v>378</v>
      </c>
    </row>
    <row r="1564" spans="1:9" x14ac:dyDescent="0.3">
      <c r="A1564" s="24">
        <v>45362</v>
      </c>
      <c r="B1564" t="s">
        <v>193</v>
      </c>
      <c r="C1564" t="s">
        <v>197</v>
      </c>
      <c r="D1564">
        <v>0.75</v>
      </c>
      <c r="E1564" t="s">
        <v>54</v>
      </c>
      <c r="F1564" t="s">
        <v>55</v>
      </c>
      <c r="G1564" t="s">
        <v>1281</v>
      </c>
      <c r="H1564" t="s">
        <v>15</v>
      </c>
      <c r="I1564" s="26" t="s">
        <v>378</v>
      </c>
    </row>
    <row r="1565" spans="1:9" x14ac:dyDescent="0.3">
      <c r="A1565" s="24">
        <v>45362</v>
      </c>
      <c r="B1565" t="s">
        <v>193</v>
      </c>
      <c r="C1565" t="s">
        <v>202</v>
      </c>
      <c r="D1565">
        <v>0.12</v>
      </c>
      <c r="E1565" t="s">
        <v>748</v>
      </c>
      <c r="F1565" t="s">
        <v>31</v>
      </c>
      <c r="G1565" t="s">
        <v>1282</v>
      </c>
      <c r="H1565" t="s">
        <v>15</v>
      </c>
      <c r="I1565" s="26" t="s">
        <v>378</v>
      </c>
    </row>
    <row r="1566" spans="1:9" x14ac:dyDescent="0.3">
      <c r="A1566" s="24">
        <v>45362</v>
      </c>
      <c r="B1566" t="s">
        <v>193</v>
      </c>
      <c r="C1566" t="s">
        <v>202</v>
      </c>
      <c r="D1566">
        <v>0.13</v>
      </c>
      <c r="E1566" t="s">
        <v>1246</v>
      </c>
      <c r="F1566" t="s">
        <v>31</v>
      </c>
      <c r="G1566" t="s">
        <v>1283</v>
      </c>
      <c r="H1566" t="s">
        <v>15</v>
      </c>
      <c r="I1566" s="26" t="s">
        <v>378</v>
      </c>
    </row>
    <row r="1567" spans="1:9" x14ac:dyDescent="0.3">
      <c r="A1567" s="24">
        <v>45362</v>
      </c>
      <c r="B1567" t="s">
        <v>193</v>
      </c>
      <c r="C1567" t="s">
        <v>202</v>
      </c>
      <c r="D1567">
        <v>0.27</v>
      </c>
      <c r="E1567" t="s">
        <v>114</v>
      </c>
      <c r="F1567" t="s">
        <v>55</v>
      </c>
      <c r="G1567" t="s">
        <v>1284</v>
      </c>
      <c r="H1567" t="s">
        <v>15</v>
      </c>
      <c r="I1567" s="26" t="s">
        <v>378</v>
      </c>
    </row>
    <row r="1568" spans="1:9" x14ac:dyDescent="0.3">
      <c r="A1568" s="24">
        <v>45362</v>
      </c>
      <c r="B1568" t="s">
        <v>193</v>
      </c>
      <c r="C1568" t="s">
        <v>202</v>
      </c>
      <c r="D1568">
        <v>0.33</v>
      </c>
      <c r="E1568" t="s">
        <v>195</v>
      </c>
      <c r="F1568" t="s">
        <v>31</v>
      </c>
      <c r="G1568" t="s">
        <v>1285</v>
      </c>
      <c r="H1568" t="s">
        <v>15</v>
      </c>
      <c r="I1568" s="26" t="s">
        <v>378</v>
      </c>
    </row>
    <row r="1569" spans="1:9" x14ac:dyDescent="0.3">
      <c r="A1569" s="24">
        <v>45362</v>
      </c>
      <c r="B1569" t="s">
        <v>193</v>
      </c>
      <c r="C1569" t="s">
        <v>202</v>
      </c>
      <c r="D1569">
        <v>0.67</v>
      </c>
      <c r="E1569" t="s">
        <v>205</v>
      </c>
      <c r="F1569" t="s">
        <v>31</v>
      </c>
      <c r="G1569" t="s">
        <v>1286</v>
      </c>
      <c r="H1569" t="s">
        <v>15</v>
      </c>
      <c r="I1569" s="26" t="s">
        <v>378</v>
      </c>
    </row>
    <row r="1570" spans="1:9" x14ac:dyDescent="0.3">
      <c r="A1570" s="24">
        <v>45362</v>
      </c>
      <c r="B1570" t="s">
        <v>193</v>
      </c>
      <c r="C1570" t="s">
        <v>53</v>
      </c>
      <c r="D1570">
        <v>0.08</v>
      </c>
      <c r="E1570" t="s">
        <v>54</v>
      </c>
      <c r="F1570" t="s">
        <v>55</v>
      </c>
      <c r="G1570" t="s">
        <v>1287</v>
      </c>
      <c r="H1570" t="s">
        <v>15</v>
      </c>
      <c r="I1570" s="26" t="s">
        <v>378</v>
      </c>
    </row>
    <row r="1571" spans="1:9" x14ac:dyDescent="0.3">
      <c r="A1571" s="24">
        <v>45362</v>
      </c>
      <c r="B1571" t="s">
        <v>193</v>
      </c>
      <c r="C1571" t="s">
        <v>53</v>
      </c>
      <c r="D1571">
        <v>0.42</v>
      </c>
      <c r="E1571" t="s">
        <v>54</v>
      </c>
      <c r="F1571" t="s">
        <v>55</v>
      </c>
      <c r="G1571" t="s">
        <v>1288</v>
      </c>
      <c r="H1571" t="s">
        <v>15</v>
      </c>
      <c r="I1571" s="26" t="s">
        <v>378</v>
      </c>
    </row>
    <row r="1572" spans="1:9" x14ac:dyDescent="0.3">
      <c r="A1572" s="24">
        <v>45362</v>
      </c>
      <c r="B1572" t="s">
        <v>193</v>
      </c>
      <c r="C1572" t="s">
        <v>58</v>
      </c>
      <c r="D1572">
        <v>0.78</v>
      </c>
      <c r="E1572" t="s">
        <v>54</v>
      </c>
      <c r="F1572" t="s">
        <v>55</v>
      </c>
      <c r="G1572" t="s">
        <v>1289</v>
      </c>
      <c r="H1572" t="s">
        <v>15</v>
      </c>
      <c r="I1572" s="26" t="s">
        <v>378</v>
      </c>
    </row>
    <row r="1573" spans="1:9" x14ac:dyDescent="0.3">
      <c r="A1573" s="24">
        <v>45362</v>
      </c>
      <c r="B1573" t="s">
        <v>193</v>
      </c>
      <c r="C1573" t="s">
        <v>60</v>
      </c>
      <c r="D1573">
        <v>0.57999999999999996</v>
      </c>
      <c r="E1573" t="s">
        <v>162</v>
      </c>
      <c r="F1573" t="s">
        <v>31</v>
      </c>
      <c r="G1573" t="s">
        <v>1290</v>
      </c>
      <c r="H1573" t="s">
        <v>15</v>
      </c>
      <c r="I1573" s="26" t="s">
        <v>378</v>
      </c>
    </row>
    <row r="1574" spans="1:9" x14ac:dyDescent="0.3">
      <c r="A1574" s="24">
        <v>45362</v>
      </c>
      <c r="B1574" t="s">
        <v>193</v>
      </c>
      <c r="C1574" t="s">
        <v>60</v>
      </c>
      <c r="D1574">
        <v>0.62</v>
      </c>
      <c r="E1574" t="s">
        <v>657</v>
      </c>
      <c r="F1574" t="s">
        <v>31</v>
      </c>
      <c r="G1574" t="s">
        <v>1291</v>
      </c>
      <c r="H1574" t="s">
        <v>15</v>
      </c>
      <c r="I1574" s="26" t="s">
        <v>378</v>
      </c>
    </row>
    <row r="1575" spans="1:9" x14ac:dyDescent="0.3">
      <c r="A1575" s="24">
        <v>45362</v>
      </c>
      <c r="B1575" t="s">
        <v>193</v>
      </c>
      <c r="C1575" t="s">
        <v>60</v>
      </c>
      <c r="D1575">
        <v>0.67</v>
      </c>
      <c r="E1575" t="s">
        <v>162</v>
      </c>
      <c r="F1575" t="s">
        <v>31</v>
      </c>
      <c r="G1575" t="s">
        <v>1292</v>
      </c>
      <c r="H1575" t="s">
        <v>15</v>
      </c>
      <c r="I1575" s="26" t="s">
        <v>378</v>
      </c>
    </row>
    <row r="1576" spans="1:9" x14ac:dyDescent="0.3">
      <c r="A1576" s="24">
        <v>45362</v>
      </c>
      <c r="B1576" t="s">
        <v>193</v>
      </c>
      <c r="C1576" t="s">
        <v>60</v>
      </c>
      <c r="D1576">
        <v>0.68</v>
      </c>
      <c r="E1576" t="s">
        <v>162</v>
      </c>
      <c r="F1576" t="s">
        <v>31</v>
      </c>
      <c r="G1576" t="s">
        <v>1293</v>
      </c>
      <c r="H1576" t="s">
        <v>15</v>
      </c>
      <c r="I1576" s="26" t="s">
        <v>378</v>
      </c>
    </row>
    <row r="1577" spans="1:9" x14ac:dyDescent="0.3">
      <c r="A1577" s="24">
        <v>45362</v>
      </c>
      <c r="B1577" t="s">
        <v>193</v>
      </c>
      <c r="C1577" t="s">
        <v>60</v>
      </c>
      <c r="D1577">
        <v>1</v>
      </c>
      <c r="E1577" t="s">
        <v>162</v>
      </c>
      <c r="F1577" t="s">
        <v>31</v>
      </c>
      <c r="G1577" t="s">
        <v>1294</v>
      </c>
      <c r="H1577" t="s">
        <v>15</v>
      </c>
      <c r="I1577" s="26" t="s">
        <v>378</v>
      </c>
    </row>
    <row r="1578" spans="1:9" x14ac:dyDescent="0.3">
      <c r="A1578" s="24">
        <v>45362</v>
      </c>
      <c r="B1578" t="s">
        <v>212</v>
      </c>
      <c r="C1578" t="s">
        <v>85</v>
      </c>
      <c r="D1578">
        <v>0.05</v>
      </c>
      <c r="E1578" t="s">
        <v>346</v>
      </c>
      <c r="F1578" t="s">
        <v>55</v>
      </c>
      <c r="G1578" t="s">
        <v>489</v>
      </c>
      <c r="H1578" t="s">
        <v>15</v>
      </c>
      <c r="I1578" s="26" t="s">
        <v>378</v>
      </c>
    </row>
    <row r="1579" spans="1:9" x14ac:dyDescent="0.3">
      <c r="A1579" s="24">
        <v>45362</v>
      </c>
      <c r="B1579" t="s">
        <v>212</v>
      </c>
      <c r="C1579" t="s">
        <v>85</v>
      </c>
      <c r="D1579">
        <v>0.17</v>
      </c>
      <c r="E1579" t="s">
        <v>217</v>
      </c>
      <c r="F1579" t="s">
        <v>55</v>
      </c>
      <c r="G1579" t="s">
        <v>973</v>
      </c>
      <c r="H1579" t="s">
        <v>15</v>
      </c>
      <c r="I1579" s="26" t="s">
        <v>378</v>
      </c>
    </row>
    <row r="1580" spans="1:9" x14ac:dyDescent="0.3">
      <c r="A1580" s="24">
        <v>45362</v>
      </c>
      <c r="B1580" t="s">
        <v>212</v>
      </c>
      <c r="C1580" t="s">
        <v>85</v>
      </c>
      <c r="D1580">
        <v>0.18</v>
      </c>
      <c r="E1580" t="s">
        <v>54</v>
      </c>
      <c r="F1580" t="s">
        <v>55</v>
      </c>
      <c r="G1580" t="s">
        <v>1295</v>
      </c>
      <c r="H1580" t="s">
        <v>15</v>
      </c>
      <c r="I1580" s="26" t="s">
        <v>378</v>
      </c>
    </row>
    <row r="1581" spans="1:9" x14ac:dyDescent="0.3">
      <c r="A1581" s="24">
        <v>45362</v>
      </c>
      <c r="B1581" t="s">
        <v>212</v>
      </c>
      <c r="C1581" t="s">
        <v>85</v>
      </c>
      <c r="D1581">
        <v>0.43</v>
      </c>
      <c r="E1581" t="s">
        <v>54</v>
      </c>
      <c r="F1581" t="s">
        <v>55</v>
      </c>
      <c r="G1581" t="s">
        <v>1296</v>
      </c>
      <c r="H1581" t="s">
        <v>15</v>
      </c>
      <c r="I1581" s="26" t="s">
        <v>378</v>
      </c>
    </row>
    <row r="1582" spans="1:9" x14ac:dyDescent="0.3">
      <c r="A1582" s="24">
        <v>45362</v>
      </c>
      <c r="B1582" t="s">
        <v>212</v>
      </c>
      <c r="C1582" t="s">
        <v>53</v>
      </c>
      <c r="D1582">
        <v>0.12</v>
      </c>
      <c r="E1582" t="s">
        <v>54</v>
      </c>
      <c r="F1582" t="s">
        <v>55</v>
      </c>
      <c r="G1582" t="s">
        <v>1297</v>
      </c>
      <c r="H1582" t="s">
        <v>15</v>
      </c>
      <c r="I1582" s="26" t="s">
        <v>378</v>
      </c>
    </row>
    <row r="1583" spans="1:9" x14ac:dyDescent="0.3">
      <c r="A1583" s="24">
        <v>45362</v>
      </c>
      <c r="B1583" t="s">
        <v>212</v>
      </c>
      <c r="C1583" t="s">
        <v>53</v>
      </c>
      <c r="D1583">
        <v>0.35</v>
      </c>
      <c r="E1583" t="s">
        <v>54</v>
      </c>
      <c r="F1583" t="s">
        <v>55</v>
      </c>
      <c r="G1583" t="s">
        <v>1298</v>
      </c>
      <c r="H1583" t="s">
        <v>15</v>
      </c>
      <c r="I1583" s="26" t="s">
        <v>378</v>
      </c>
    </row>
    <row r="1584" spans="1:9" x14ac:dyDescent="0.3">
      <c r="A1584" s="24">
        <v>45362</v>
      </c>
      <c r="B1584" t="s">
        <v>212</v>
      </c>
      <c r="C1584" t="s">
        <v>53</v>
      </c>
      <c r="D1584">
        <v>0.35</v>
      </c>
      <c r="E1584" t="s">
        <v>54</v>
      </c>
      <c r="F1584" t="s">
        <v>55</v>
      </c>
      <c r="G1584" t="s">
        <v>1299</v>
      </c>
      <c r="H1584" t="s">
        <v>15</v>
      </c>
      <c r="I1584" s="26" t="s">
        <v>378</v>
      </c>
    </row>
    <row r="1585" spans="1:9" x14ac:dyDescent="0.3">
      <c r="A1585" s="24">
        <v>45362</v>
      </c>
      <c r="B1585" t="s">
        <v>212</v>
      </c>
      <c r="C1585" t="s">
        <v>53</v>
      </c>
      <c r="D1585">
        <v>0.78</v>
      </c>
      <c r="E1585" t="s">
        <v>54</v>
      </c>
      <c r="F1585" t="s">
        <v>55</v>
      </c>
      <c r="H1585" t="s">
        <v>15</v>
      </c>
      <c r="I1585" s="26" t="s">
        <v>378</v>
      </c>
    </row>
    <row r="1586" spans="1:9" x14ac:dyDescent="0.3">
      <c r="A1586" s="24">
        <v>45362</v>
      </c>
      <c r="B1586" t="s">
        <v>212</v>
      </c>
      <c r="C1586" t="s">
        <v>53</v>
      </c>
      <c r="D1586">
        <v>1.08</v>
      </c>
      <c r="E1586" t="s">
        <v>54</v>
      </c>
      <c r="F1586" t="s">
        <v>55</v>
      </c>
      <c r="G1586" t="s">
        <v>1300</v>
      </c>
      <c r="H1586" t="s">
        <v>15</v>
      </c>
      <c r="I1586" s="26" t="s">
        <v>378</v>
      </c>
    </row>
    <row r="1587" spans="1:9" x14ac:dyDescent="0.3">
      <c r="A1587" s="24">
        <v>45362</v>
      </c>
      <c r="B1587" t="s">
        <v>212</v>
      </c>
      <c r="C1587" t="s">
        <v>53</v>
      </c>
      <c r="D1587">
        <v>1.08</v>
      </c>
      <c r="E1587" t="s">
        <v>54</v>
      </c>
      <c r="F1587" t="s">
        <v>55</v>
      </c>
      <c r="G1587" t="s">
        <v>1301</v>
      </c>
      <c r="H1587" t="s">
        <v>15</v>
      </c>
      <c r="I1587" s="26" t="s">
        <v>378</v>
      </c>
    </row>
    <row r="1588" spans="1:9" x14ac:dyDescent="0.3">
      <c r="A1588" s="24">
        <v>45362</v>
      </c>
      <c r="B1588" t="s">
        <v>212</v>
      </c>
      <c r="C1588" t="s">
        <v>225</v>
      </c>
      <c r="D1588">
        <v>0.05</v>
      </c>
      <c r="E1588" t="s">
        <v>54</v>
      </c>
      <c r="F1588" t="s">
        <v>55</v>
      </c>
      <c r="G1588" t="s">
        <v>489</v>
      </c>
      <c r="H1588" t="s">
        <v>15</v>
      </c>
      <c r="I1588" s="26" t="s">
        <v>378</v>
      </c>
    </row>
    <row r="1589" spans="1:9" x14ac:dyDescent="0.3">
      <c r="A1589" s="24">
        <v>45362</v>
      </c>
      <c r="B1589" t="s">
        <v>212</v>
      </c>
      <c r="C1589" t="s">
        <v>225</v>
      </c>
      <c r="D1589">
        <v>0.15</v>
      </c>
      <c r="E1589" t="s">
        <v>54</v>
      </c>
      <c r="F1589" t="s">
        <v>31</v>
      </c>
      <c r="G1589" t="s">
        <v>228</v>
      </c>
      <c r="H1589" t="s">
        <v>15</v>
      </c>
      <c r="I1589" s="26" t="s">
        <v>378</v>
      </c>
    </row>
    <row r="1590" spans="1:9" x14ac:dyDescent="0.3">
      <c r="A1590" s="24">
        <v>45362</v>
      </c>
      <c r="B1590" t="s">
        <v>212</v>
      </c>
      <c r="C1590" t="s">
        <v>225</v>
      </c>
      <c r="D1590">
        <v>0.17</v>
      </c>
      <c r="E1590" t="s">
        <v>177</v>
      </c>
      <c r="F1590" t="s">
        <v>31</v>
      </c>
      <c r="G1590" t="s">
        <v>228</v>
      </c>
      <c r="H1590" t="s">
        <v>15</v>
      </c>
      <c r="I1590" s="26" t="s">
        <v>378</v>
      </c>
    </row>
    <row r="1591" spans="1:9" x14ac:dyDescent="0.3">
      <c r="A1591" s="24">
        <v>45362</v>
      </c>
      <c r="B1591" t="s">
        <v>212</v>
      </c>
      <c r="C1591" t="s">
        <v>225</v>
      </c>
      <c r="D1591">
        <v>0.17</v>
      </c>
      <c r="E1591" t="s">
        <v>44</v>
      </c>
      <c r="F1591" t="s">
        <v>31</v>
      </c>
      <c r="G1591" t="s">
        <v>228</v>
      </c>
      <c r="H1591" t="s">
        <v>15</v>
      </c>
      <c r="I1591" s="26" t="s">
        <v>378</v>
      </c>
    </row>
    <row r="1592" spans="1:9" x14ac:dyDescent="0.3">
      <c r="A1592" s="24">
        <v>45362</v>
      </c>
      <c r="B1592" t="s">
        <v>212</v>
      </c>
      <c r="C1592" t="s">
        <v>225</v>
      </c>
      <c r="D1592">
        <v>0.18</v>
      </c>
      <c r="E1592" t="s">
        <v>48</v>
      </c>
      <c r="F1592" t="s">
        <v>31</v>
      </c>
      <c r="G1592" t="s">
        <v>228</v>
      </c>
      <c r="H1592" t="s">
        <v>15</v>
      </c>
      <c r="I1592" s="26" t="s">
        <v>378</v>
      </c>
    </row>
    <row r="1593" spans="1:9" x14ac:dyDescent="0.3">
      <c r="A1593" s="24">
        <v>45362</v>
      </c>
      <c r="B1593" t="s">
        <v>212</v>
      </c>
      <c r="C1593" t="s">
        <v>225</v>
      </c>
      <c r="D1593">
        <v>0.28000000000000003</v>
      </c>
      <c r="E1593" t="s">
        <v>953</v>
      </c>
      <c r="F1593" t="s">
        <v>31</v>
      </c>
      <c r="G1593" t="s">
        <v>1302</v>
      </c>
      <c r="H1593" t="s">
        <v>15</v>
      </c>
      <c r="I1593" s="26" t="s">
        <v>378</v>
      </c>
    </row>
    <row r="1594" spans="1:9" x14ac:dyDescent="0.3">
      <c r="A1594" s="24">
        <v>45362</v>
      </c>
      <c r="B1594" t="s">
        <v>212</v>
      </c>
      <c r="C1594" t="s">
        <v>267</v>
      </c>
      <c r="D1594">
        <v>0.1</v>
      </c>
      <c r="E1594" t="s">
        <v>54</v>
      </c>
      <c r="F1594" t="s">
        <v>55</v>
      </c>
      <c r="G1594" t="s">
        <v>1303</v>
      </c>
      <c r="H1594" t="s">
        <v>15</v>
      </c>
      <c r="I1594" s="26" t="s">
        <v>378</v>
      </c>
    </row>
    <row r="1595" spans="1:9" x14ac:dyDescent="0.3">
      <c r="A1595" s="24">
        <v>45362</v>
      </c>
      <c r="B1595" t="s">
        <v>212</v>
      </c>
      <c r="C1595" t="s">
        <v>148</v>
      </c>
      <c r="D1595">
        <v>0.33</v>
      </c>
      <c r="E1595" t="s">
        <v>254</v>
      </c>
      <c r="F1595" t="s">
        <v>55</v>
      </c>
      <c r="H1595" t="s">
        <v>15</v>
      </c>
      <c r="I1595" s="26" t="s">
        <v>378</v>
      </c>
    </row>
    <row r="1596" spans="1:9" x14ac:dyDescent="0.3">
      <c r="A1596" s="24">
        <v>45362</v>
      </c>
      <c r="B1596" t="s">
        <v>212</v>
      </c>
      <c r="C1596" t="s">
        <v>148</v>
      </c>
      <c r="D1596">
        <v>1.42</v>
      </c>
      <c r="E1596" t="s">
        <v>54</v>
      </c>
      <c r="F1596" t="s">
        <v>55</v>
      </c>
      <c r="G1596" t="s">
        <v>1304</v>
      </c>
      <c r="H1596" t="s">
        <v>15</v>
      </c>
      <c r="I1596" s="26" t="s">
        <v>378</v>
      </c>
    </row>
    <row r="1597" spans="1:9" x14ac:dyDescent="0.3">
      <c r="A1597" s="24">
        <v>45362</v>
      </c>
      <c r="B1597" t="s">
        <v>212</v>
      </c>
      <c r="C1597" t="s">
        <v>58</v>
      </c>
      <c r="D1597">
        <v>0.08</v>
      </c>
      <c r="E1597" t="s">
        <v>54</v>
      </c>
      <c r="F1597" t="s">
        <v>55</v>
      </c>
      <c r="G1597" t="s">
        <v>1305</v>
      </c>
      <c r="H1597" t="s">
        <v>15</v>
      </c>
      <c r="I1597" s="26" t="s">
        <v>378</v>
      </c>
    </row>
    <row r="1598" spans="1:9" x14ac:dyDescent="0.3">
      <c r="A1598" s="24">
        <v>45362</v>
      </c>
      <c r="B1598" t="s">
        <v>212</v>
      </c>
      <c r="C1598" t="s">
        <v>58</v>
      </c>
      <c r="D1598">
        <v>0.47</v>
      </c>
      <c r="E1598" t="s">
        <v>54</v>
      </c>
      <c r="F1598" t="s">
        <v>55</v>
      </c>
      <c r="G1598" t="s">
        <v>1306</v>
      </c>
      <c r="H1598" t="s">
        <v>15</v>
      </c>
      <c r="I1598" s="26" t="s">
        <v>378</v>
      </c>
    </row>
    <row r="1599" spans="1:9" x14ac:dyDescent="0.3">
      <c r="A1599" s="24">
        <v>45362</v>
      </c>
      <c r="B1599" t="s">
        <v>498</v>
      </c>
      <c r="C1599" t="s">
        <v>123</v>
      </c>
      <c r="D1599">
        <v>2</v>
      </c>
      <c r="E1599" t="s">
        <v>54</v>
      </c>
      <c r="F1599" t="s">
        <v>55</v>
      </c>
      <c r="G1599" t="s">
        <v>1307</v>
      </c>
      <c r="H1599" t="s">
        <v>15</v>
      </c>
      <c r="I1599" s="26" t="s">
        <v>378</v>
      </c>
    </row>
    <row r="1600" spans="1:9" x14ac:dyDescent="0.3">
      <c r="A1600" s="24">
        <v>45362</v>
      </c>
      <c r="B1600" t="s">
        <v>498</v>
      </c>
      <c r="C1600" t="s">
        <v>58</v>
      </c>
      <c r="D1600">
        <v>0.5</v>
      </c>
      <c r="E1600" t="s">
        <v>54</v>
      </c>
      <c r="F1600" t="s">
        <v>55</v>
      </c>
      <c r="G1600" t="s">
        <v>1308</v>
      </c>
      <c r="H1600" t="s">
        <v>15</v>
      </c>
      <c r="I1600" s="26" t="s">
        <v>378</v>
      </c>
    </row>
    <row r="1601" spans="1:9" x14ac:dyDescent="0.3">
      <c r="A1601" s="24">
        <v>45362</v>
      </c>
      <c r="B1601" t="s">
        <v>498</v>
      </c>
      <c r="C1601" t="s">
        <v>173</v>
      </c>
      <c r="D1601">
        <v>5.5</v>
      </c>
      <c r="E1601" t="s">
        <v>49</v>
      </c>
      <c r="F1601" t="s">
        <v>31</v>
      </c>
      <c r="G1601" t="s">
        <v>1309</v>
      </c>
      <c r="H1601" t="s">
        <v>15</v>
      </c>
      <c r="I1601" s="26" t="s">
        <v>378</v>
      </c>
    </row>
    <row r="1602" spans="1:9" x14ac:dyDescent="0.3">
      <c r="A1602" s="24">
        <v>45362</v>
      </c>
      <c r="B1602" t="s">
        <v>240</v>
      </c>
      <c r="C1602" t="s">
        <v>29</v>
      </c>
      <c r="D1602">
        <v>1.4</v>
      </c>
      <c r="E1602" t="s">
        <v>217</v>
      </c>
      <c r="F1602" t="s">
        <v>31</v>
      </c>
      <c r="G1602" t="s">
        <v>1310</v>
      </c>
      <c r="H1602" t="s">
        <v>15</v>
      </c>
      <c r="I1602" s="26" t="s">
        <v>378</v>
      </c>
    </row>
    <row r="1603" spans="1:9" x14ac:dyDescent="0.3">
      <c r="A1603" s="24">
        <v>45362</v>
      </c>
      <c r="B1603" t="s">
        <v>240</v>
      </c>
      <c r="C1603" t="s">
        <v>29</v>
      </c>
      <c r="D1603">
        <v>5.53</v>
      </c>
      <c r="E1603" t="s">
        <v>81</v>
      </c>
      <c r="F1603" t="s">
        <v>31</v>
      </c>
      <c r="H1603" t="s">
        <v>15</v>
      </c>
      <c r="I1603" s="26" t="s">
        <v>378</v>
      </c>
    </row>
    <row r="1604" spans="1:9" x14ac:dyDescent="0.3">
      <c r="A1604" s="24">
        <v>45362</v>
      </c>
      <c r="B1604" t="s">
        <v>240</v>
      </c>
      <c r="C1604" t="s">
        <v>60</v>
      </c>
      <c r="D1604">
        <v>0.27</v>
      </c>
      <c r="E1604" t="s">
        <v>217</v>
      </c>
      <c r="F1604" t="s">
        <v>31</v>
      </c>
      <c r="G1604" t="s">
        <v>1311</v>
      </c>
      <c r="H1604" t="s">
        <v>15</v>
      </c>
      <c r="I1604" s="26" t="s">
        <v>378</v>
      </c>
    </row>
    <row r="1605" spans="1:9" x14ac:dyDescent="0.3">
      <c r="A1605" s="24">
        <v>45362</v>
      </c>
      <c r="B1605" t="s">
        <v>240</v>
      </c>
      <c r="C1605" t="s">
        <v>60</v>
      </c>
      <c r="D1605">
        <v>0.92</v>
      </c>
      <c r="E1605" t="s">
        <v>241</v>
      </c>
      <c r="F1605" t="s">
        <v>31</v>
      </c>
      <c r="H1605" t="s">
        <v>15</v>
      </c>
      <c r="I1605" s="26" t="s">
        <v>378</v>
      </c>
    </row>
    <row r="1606" spans="1:9" x14ac:dyDescent="0.3">
      <c r="A1606" s="24">
        <v>45362</v>
      </c>
      <c r="B1606" t="s">
        <v>249</v>
      </c>
      <c r="C1606" t="s">
        <v>250</v>
      </c>
      <c r="D1606">
        <v>1</v>
      </c>
      <c r="E1606" t="s">
        <v>81</v>
      </c>
      <c r="F1606" t="s">
        <v>55</v>
      </c>
      <c r="G1606" t="s">
        <v>251</v>
      </c>
      <c r="H1606" t="s">
        <v>15</v>
      </c>
      <c r="I1606" s="26" t="s">
        <v>378</v>
      </c>
    </row>
    <row r="1607" spans="1:9" x14ac:dyDescent="0.3">
      <c r="A1607" s="24">
        <v>45362</v>
      </c>
      <c r="B1607" t="s">
        <v>249</v>
      </c>
      <c r="C1607" t="s">
        <v>252</v>
      </c>
      <c r="D1607">
        <v>1</v>
      </c>
      <c r="E1607" t="s">
        <v>54</v>
      </c>
      <c r="F1607" t="s">
        <v>55</v>
      </c>
      <c r="G1607" t="s">
        <v>1312</v>
      </c>
      <c r="H1607" t="s">
        <v>15</v>
      </c>
      <c r="I1607" s="26" t="s">
        <v>378</v>
      </c>
    </row>
    <row r="1608" spans="1:9" x14ac:dyDescent="0.3">
      <c r="A1608" s="24">
        <v>45362</v>
      </c>
      <c r="B1608" t="s">
        <v>249</v>
      </c>
      <c r="C1608" t="s">
        <v>252</v>
      </c>
      <c r="D1608">
        <v>1.5</v>
      </c>
      <c r="E1608" t="s">
        <v>54</v>
      </c>
      <c r="F1608" t="s">
        <v>55</v>
      </c>
      <c r="H1608" t="s">
        <v>15</v>
      </c>
      <c r="I1608" s="26" t="s">
        <v>378</v>
      </c>
    </row>
    <row r="1609" spans="1:9" x14ac:dyDescent="0.3">
      <c r="A1609" s="24">
        <v>45362</v>
      </c>
      <c r="B1609" t="s">
        <v>249</v>
      </c>
      <c r="C1609" t="s">
        <v>252</v>
      </c>
      <c r="D1609">
        <v>3</v>
      </c>
      <c r="E1609" t="s">
        <v>81</v>
      </c>
      <c r="F1609" t="s">
        <v>31</v>
      </c>
      <c r="H1609" t="s">
        <v>15</v>
      </c>
      <c r="I1609" s="26" t="s">
        <v>378</v>
      </c>
    </row>
    <row r="1610" spans="1:9" x14ac:dyDescent="0.3">
      <c r="A1610" s="24">
        <v>45362</v>
      </c>
      <c r="B1610" t="s">
        <v>249</v>
      </c>
      <c r="C1610" t="s">
        <v>53</v>
      </c>
      <c r="D1610">
        <v>0.5</v>
      </c>
      <c r="E1610" t="s">
        <v>54</v>
      </c>
      <c r="F1610" t="s">
        <v>55</v>
      </c>
      <c r="G1610" t="s">
        <v>110</v>
      </c>
      <c r="H1610" t="s">
        <v>15</v>
      </c>
      <c r="I1610" s="26" t="s">
        <v>378</v>
      </c>
    </row>
    <row r="1611" spans="1:9" x14ac:dyDescent="0.3">
      <c r="A1611" s="24">
        <v>45362</v>
      </c>
      <c r="B1611" t="s">
        <v>249</v>
      </c>
      <c r="C1611" t="s">
        <v>58</v>
      </c>
      <c r="D1611">
        <v>1</v>
      </c>
      <c r="E1611" t="s">
        <v>54</v>
      </c>
      <c r="F1611" t="s">
        <v>55</v>
      </c>
      <c r="G1611" t="s">
        <v>1313</v>
      </c>
      <c r="H1611" t="s">
        <v>15</v>
      </c>
      <c r="I1611" s="26" t="s">
        <v>378</v>
      </c>
    </row>
    <row r="1612" spans="1:9" x14ac:dyDescent="0.3">
      <c r="A1612" s="24">
        <v>45362</v>
      </c>
      <c r="B1612" t="s">
        <v>256</v>
      </c>
      <c r="C1612" t="s">
        <v>159</v>
      </c>
      <c r="D1612">
        <v>0.9</v>
      </c>
      <c r="E1612" t="s">
        <v>54</v>
      </c>
      <c r="F1612" t="s">
        <v>55</v>
      </c>
      <c r="G1612" t="s">
        <v>1314</v>
      </c>
      <c r="H1612" t="s">
        <v>15</v>
      </c>
      <c r="I1612" s="26" t="s">
        <v>378</v>
      </c>
    </row>
    <row r="1613" spans="1:9" x14ac:dyDescent="0.3">
      <c r="A1613" s="24">
        <v>45362</v>
      </c>
      <c r="B1613" t="s">
        <v>256</v>
      </c>
      <c r="C1613" t="s">
        <v>159</v>
      </c>
      <c r="D1613">
        <v>2.27</v>
      </c>
      <c r="E1613" t="s">
        <v>54</v>
      </c>
      <c r="F1613" t="s">
        <v>55</v>
      </c>
      <c r="G1613" t="s">
        <v>504</v>
      </c>
      <c r="H1613" t="s">
        <v>15</v>
      </c>
      <c r="I1613" s="26" t="s">
        <v>378</v>
      </c>
    </row>
    <row r="1614" spans="1:9" x14ac:dyDescent="0.3">
      <c r="A1614" s="24">
        <v>45362</v>
      </c>
      <c r="B1614" t="s">
        <v>256</v>
      </c>
      <c r="C1614" t="s">
        <v>159</v>
      </c>
      <c r="D1614">
        <v>5.7</v>
      </c>
      <c r="E1614" t="s">
        <v>81</v>
      </c>
      <c r="F1614" t="s">
        <v>31</v>
      </c>
      <c r="G1614" t="s">
        <v>504</v>
      </c>
      <c r="H1614" t="s">
        <v>15</v>
      </c>
      <c r="I1614" s="26" t="s">
        <v>378</v>
      </c>
    </row>
    <row r="1615" spans="1:9" x14ac:dyDescent="0.3">
      <c r="A1615" s="24">
        <v>45362</v>
      </c>
      <c r="B1615" t="s">
        <v>262</v>
      </c>
      <c r="C1615" t="s">
        <v>29</v>
      </c>
      <c r="D1615">
        <v>1.55</v>
      </c>
      <c r="E1615" t="s">
        <v>263</v>
      </c>
      <c r="F1615" t="s">
        <v>31</v>
      </c>
      <c r="G1615" t="s">
        <v>1315</v>
      </c>
      <c r="H1615" t="s">
        <v>15</v>
      </c>
      <c r="I1615" s="26" t="s">
        <v>378</v>
      </c>
    </row>
    <row r="1616" spans="1:9" x14ac:dyDescent="0.3">
      <c r="A1616" s="24">
        <v>45362</v>
      </c>
      <c r="B1616" t="s">
        <v>262</v>
      </c>
      <c r="C1616" t="s">
        <v>29</v>
      </c>
      <c r="D1616">
        <v>4.28</v>
      </c>
      <c r="E1616" t="s">
        <v>263</v>
      </c>
      <c r="F1616" t="s">
        <v>31</v>
      </c>
      <c r="G1616" t="s">
        <v>1316</v>
      </c>
      <c r="H1616" t="s">
        <v>15</v>
      </c>
      <c r="I1616" s="26" t="s">
        <v>378</v>
      </c>
    </row>
    <row r="1617" spans="1:9" x14ac:dyDescent="0.3">
      <c r="A1617" s="24">
        <v>45362</v>
      </c>
      <c r="B1617" t="s">
        <v>262</v>
      </c>
      <c r="C1617" t="s">
        <v>53</v>
      </c>
      <c r="D1617">
        <v>0.5</v>
      </c>
      <c r="E1617" t="s">
        <v>54</v>
      </c>
      <c r="F1617" t="s">
        <v>55</v>
      </c>
      <c r="G1617" t="s">
        <v>253</v>
      </c>
      <c r="H1617" t="s">
        <v>15</v>
      </c>
      <c r="I1617" s="26" t="s">
        <v>378</v>
      </c>
    </row>
    <row r="1618" spans="1:9" x14ac:dyDescent="0.3">
      <c r="A1618" s="24">
        <v>45362</v>
      </c>
      <c r="B1618" t="s">
        <v>262</v>
      </c>
      <c r="C1618" t="s">
        <v>60</v>
      </c>
      <c r="D1618">
        <v>1.67</v>
      </c>
      <c r="E1618" t="s">
        <v>263</v>
      </c>
      <c r="F1618" t="s">
        <v>31</v>
      </c>
      <c r="G1618" t="s">
        <v>1317</v>
      </c>
      <c r="H1618" t="s">
        <v>15</v>
      </c>
      <c r="I1618" s="26" t="s">
        <v>378</v>
      </c>
    </row>
    <row r="1619" spans="1:9" x14ac:dyDescent="0.3">
      <c r="A1619" s="24">
        <v>45362</v>
      </c>
      <c r="B1619" t="s">
        <v>266</v>
      </c>
      <c r="C1619" t="s">
        <v>267</v>
      </c>
      <c r="D1619">
        <v>9</v>
      </c>
      <c r="E1619" t="s">
        <v>54</v>
      </c>
      <c r="F1619" t="s">
        <v>55</v>
      </c>
      <c r="G1619" t="s">
        <v>1318</v>
      </c>
      <c r="H1619" t="s">
        <v>15</v>
      </c>
      <c r="I1619" s="26" t="s">
        <v>378</v>
      </c>
    </row>
    <row r="1620" spans="1:9" x14ac:dyDescent="0.3">
      <c r="A1620" s="24">
        <v>45362</v>
      </c>
      <c r="B1620" t="s">
        <v>269</v>
      </c>
      <c r="C1620" t="s">
        <v>442</v>
      </c>
      <c r="D1620">
        <v>8</v>
      </c>
      <c r="E1620" t="s">
        <v>54</v>
      </c>
      <c r="F1620" t="s">
        <v>55</v>
      </c>
      <c r="H1620" t="s">
        <v>15</v>
      </c>
      <c r="I1620" s="26" t="s">
        <v>378</v>
      </c>
    </row>
    <row r="1621" spans="1:9" x14ac:dyDescent="0.3">
      <c r="A1621" s="24">
        <v>45362</v>
      </c>
      <c r="B1621" t="s">
        <v>278</v>
      </c>
      <c r="C1621" t="s">
        <v>279</v>
      </c>
      <c r="D1621">
        <v>0.88</v>
      </c>
      <c r="E1621" t="s">
        <v>54</v>
      </c>
      <c r="F1621" t="s">
        <v>55</v>
      </c>
      <c r="G1621" t="s">
        <v>1319</v>
      </c>
      <c r="H1621" t="s">
        <v>15</v>
      </c>
      <c r="I1621" s="26" t="s">
        <v>378</v>
      </c>
    </row>
    <row r="1622" spans="1:9" x14ac:dyDescent="0.3">
      <c r="A1622" s="24">
        <v>45362</v>
      </c>
      <c r="B1622" t="s">
        <v>278</v>
      </c>
      <c r="C1622" t="s">
        <v>279</v>
      </c>
      <c r="D1622">
        <v>1.03</v>
      </c>
      <c r="E1622" t="s">
        <v>54</v>
      </c>
      <c r="F1622" t="s">
        <v>55</v>
      </c>
      <c r="G1622" t="s">
        <v>1320</v>
      </c>
      <c r="H1622" t="s">
        <v>15</v>
      </c>
      <c r="I1622" s="26" t="s">
        <v>378</v>
      </c>
    </row>
    <row r="1623" spans="1:9" x14ac:dyDescent="0.3">
      <c r="A1623" s="24">
        <v>45362</v>
      </c>
      <c r="B1623" t="s">
        <v>278</v>
      </c>
      <c r="C1623" t="s">
        <v>279</v>
      </c>
      <c r="D1623">
        <v>1.57</v>
      </c>
      <c r="E1623" t="s">
        <v>54</v>
      </c>
      <c r="F1623" t="s">
        <v>55</v>
      </c>
      <c r="G1623" t="s">
        <v>1321</v>
      </c>
      <c r="H1623" t="s">
        <v>15</v>
      </c>
      <c r="I1623" s="26" t="s">
        <v>378</v>
      </c>
    </row>
    <row r="1624" spans="1:9" x14ac:dyDescent="0.3">
      <c r="A1624" s="24">
        <v>45362</v>
      </c>
      <c r="B1624" t="s">
        <v>278</v>
      </c>
      <c r="C1624" t="s">
        <v>29</v>
      </c>
      <c r="D1624">
        <v>0.8</v>
      </c>
      <c r="E1624" t="s">
        <v>54</v>
      </c>
      <c r="F1624" t="s">
        <v>55</v>
      </c>
      <c r="G1624" t="s">
        <v>1322</v>
      </c>
      <c r="H1624" t="s">
        <v>15</v>
      </c>
      <c r="I1624" s="26" t="s">
        <v>378</v>
      </c>
    </row>
    <row r="1625" spans="1:9" x14ac:dyDescent="0.3">
      <c r="A1625" s="24">
        <v>45362</v>
      </c>
      <c r="B1625" t="s">
        <v>278</v>
      </c>
      <c r="C1625" t="s">
        <v>29</v>
      </c>
      <c r="D1625">
        <v>1.1200000000000001</v>
      </c>
      <c r="E1625" t="s">
        <v>54</v>
      </c>
      <c r="F1625" t="s">
        <v>55</v>
      </c>
      <c r="G1625" t="s">
        <v>1323</v>
      </c>
      <c r="H1625" t="s">
        <v>15</v>
      </c>
      <c r="I1625" s="26" t="s">
        <v>378</v>
      </c>
    </row>
    <row r="1626" spans="1:9" x14ac:dyDescent="0.3">
      <c r="A1626" s="24">
        <v>45362</v>
      </c>
      <c r="B1626" t="s">
        <v>278</v>
      </c>
      <c r="C1626" t="s">
        <v>29</v>
      </c>
      <c r="D1626">
        <v>2.67</v>
      </c>
      <c r="E1626" t="s">
        <v>54</v>
      </c>
      <c r="F1626" t="s">
        <v>55</v>
      </c>
      <c r="G1626" t="s">
        <v>1324</v>
      </c>
      <c r="H1626" t="s">
        <v>15</v>
      </c>
      <c r="I1626" s="26" t="s">
        <v>378</v>
      </c>
    </row>
    <row r="1627" spans="1:9" x14ac:dyDescent="0.3">
      <c r="A1627" s="24">
        <v>45362</v>
      </c>
      <c r="B1627" t="s">
        <v>278</v>
      </c>
      <c r="C1627" t="s">
        <v>1008</v>
      </c>
      <c r="D1627">
        <v>0.57999999999999996</v>
      </c>
      <c r="E1627" t="s">
        <v>54</v>
      </c>
      <c r="F1627" t="s">
        <v>55</v>
      </c>
      <c r="G1627" t="s">
        <v>1325</v>
      </c>
      <c r="H1627" t="s">
        <v>15</v>
      </c>
      <c r="I1627" s="26" t="s">
        <v>378</v>
      </c>
    </row>
    <row r="1628" spans="1:9" x14ac:dyDescent="0.3">
      <c r="A1628" s="24">
        <v>45362</v>
      </c>
      <c r="B1628" t="s">
        <v>278</v>
      </c>
      <c r="C1628" t="s">
        <v>53</v>
      </c>
      <c r="D1628">
        <v>0.1</v>
      </c>
      <c r="E1628" t="s">
        <v>254</v>
      </c>
      <c r="F1628" t="s">
        <v>55</v>
      </c>
      <c r="G1628" t="s">
        <v>1326</v>
      </c>
      <c r="H1628" t="s">
        <v>15</v>
      </c>
      <c r="I1628" s="26" t="s">
        <v>378</v>
      </c>
    </row>
    <row r="1629" spans="1:9" x14ac:dyDescent="0.3">
      <c r="A1629" s="24">
        <v>45362</v>
      </c>
      <c r="B1629" t="s">
        <v>286</v>
      </c>
      <c r="C1629" t="s">
        <v>287</v>
      </c>
      <c r="D1629">
        <v>10</v>
      </c>
      <c r="E1629" t="s">
        <v>54</v>
      </c>
      <c r="F1629" t="s">
        <v>55</v>
      </c>
      <c r="G1629" t="s">
        <v>1327</v>
      </c>
      <c r="H1629" t="s">
        <v>15</v>
      </c>
      <c r="I1629" s="26" t="s">
        <v>378</v>
      </c>
    </row>
    <row r="1630" spans="1:9" x14ac:dyDescent="0.3">
      <c r="A1630" s="24">
        <v>45362</v>
      </c>
      <c r="B1630" t="s">
        <v>289</v>
      </c>
      <c r="C1630" t="s">
        <v>29</v>
      </c>
      <c r="D1630">
        <v>0.5</v>
      </c>
      <c r="E1630" t="s">
        <v>291</v>
      </c>
      <c r="F1630" t="s">
        <v>31</v>
      </c>
      <c r="H1630" t="s">
        <v>15</v>
      </c>
      <c r="I1630" s="26" t="s">
        <v>378</v>
      </c>
    </row>
    <row r="1631" spans="1:9" x14ac:dyDescent="0.3">
      <c r="A1631" s="24">
        <v>45362</v>
      </c>
      <c r="B1631" t="s">
        <v>289</v>
      </c>
      <c r="C1631" t="s">
        <v>29</v>
      </c>
      <c r="D1631">
        <v>0.5</v>
      </c>
      <c r="E1631" t="s">
        <v>226</v>
      </c>
      <c r="F1631" t="s">
        <v>31</v>
      </c>
      <c r="H1631" t="s">
        <v>15</v>
      </c>
      <c r="I1631" s="26" t="s">
        <v>378</v>
      </c>
    </row>
    <row r="1632" spans="1:9" x14ac:dyDescent="0.3">
      <c r="A1632" s="24">
        <v>45362</v>
      </c>
      <c r="B1632" t="s">
        <v>289</v>
      </c>
      <c r="C1632" t="s">
        <v>29</v>
      </c>
      <c r="D1632">
        <v>0.5</v>
      </c>
      <c r="E1632" t="s">
        <v>290</v>
      </c>
      <c r="F1632" t="s">
        <v>31</v>
      </c>
      <c r="H1632" t="s">
        <v>15</v>
      </c>
      <c r="I1632" s="26" t="s">
        <v>378</v>
      </c>
    </row>
    <row r="1633" spans="1:9" x14ac:dyDescent="0.3">
      <c r="A1633" s="24">
        <v>45362</v>
      </c>
      <c r="B1633" t="s">
        <v>289</v>
      </c>
      <c r="C1633" t="s">
        <v>29</v>
      </c>
      <c r="D1633">
        <v>2.5</v>
      </c>
      <c r="E1633" t="s">
        <v>49</v>
      </c>
      <c r="F1633" t="s">
        <v>31</v>
      </c>
      <c r="H1633" t="s">
        <v>15</v>
      </c>
      <c r="I1633" s="26" t="s">
        <v>378</v>
      </c>
    </row>
    <row r="1634" spans="1:9" x14ac:dyDescent="0.3">
      <c r="A1634" s="24">
        <v>45362</v>
      </c>
      <c r="B1634" t="s">
        <v>289</v>
      </c>
      <c r="C1634" t="s">
        <v>159</v>
      </c>
      <c r="D1634">
        <v>1</v>
      </c>
      <c r="E1634" t="s">
        <v>226</v>
      </c>
      <c r="F1634" t="s">
        <v>31</v>
      </c>
      <c r="H1634" t="s">
        <v>15</v>
      </c>
      <c r="I1634" s="26" t="s">
        <v>378</v>
      </c>
    </row>
    <row r="1635" spans="1:9" x14ac:dyDescent="0.3">
      <c r="A1635" s="24">
        <v>45362</v>
      </c>
      <c r="B1635" t="s">
        <v>289</v>
      </c>
      <c r="C1635" t="s">
        <v>60</v>
      </c>
      <c r="D1635">
        <v>0.5</v>
      </c>
      <c r="E1635" t="s">
        <v>848</v>
      </c>
      <c r="F1635" t="s">
        <v>31</v>
      </c>
      <c r="H1635" t="s">
        <v>15</v>
      </c>
      <c r="I1635" s="26" t="s">
        <v>378</v>
      </c>
    </row>
    <row r="1636" spans="1:9" x14ac:dyDescent="0.3">
      <c r="A1636" s="24">
        <v>45362</v>
      </c>
      <c r="B1636" t="s">
        <v>294</v>
      </c>
      <c r="C1636" t="s">
        <v>202</v>
      </c>
      <c r="D1636">
        <v>0.17</v>
      </c>
      <c r="E1636" t="s">
        <v>445</v>
      </c>
      <c r="F1636" t="s">
        <v>55</v>
      </c>
      <c r="G1636" t="s">
        <v>1328</v>
      </c>
      <c r="H1636" t="s">
        <v>15</v>
      </c>
      <c r="I1636" s="26" t="s">
        <v>378</v>
      </c>
    </row>
    <row r="1637" spans="1:9" x14ac:dyDescent="0.3">
      <c r="A1637" s="24">
        <v>45362</v>
      </c>
      <c r="B1637" t="s">
        <v>294</v>
      </c>
      <c r="C1637" t="s">
        <v>202</v>
      </c>
      <c r="D1637">
        <v>0.17</v>
      </c>
      <c r="E1637" t="s">
        <v>445</v>
      </c>
      <c r="F1637" t="s">
        <v>31</v>
      </c>
      <c r="G1637" t="s">
        <v>1329</v>
      </c>
      <c r="H1637" t="s">
        <v>15</v>
      </c>
      <c r="I1637" s="26" t="s">
        <v>378</v>
      </c>
    </row>
    <row r="1638" spans="1:9" x14ac:dyDescent="0.3">
      <c r="A1638" s="24">
        <v>45362</v>
      </c>
      <c r="B1638" t="s">
        <v>294</v>
      </c>
      <c r="C1638" t="s">
        <v>202</v>
      </c>
      <c r="D1638">
        <v>0.63</v>
      </c>
      <c r="E1638" t="s">
        <v>30</v>
      </c>
      <c r="F1638" t="s">
        <v>31</v>
      </c>
      <c r="G1638" t="e">
        <f>-email on unsettled purchases -MtM</f>
        <v>#NAME?</v>
      </c>
      <c r="H1638" t="s">
        <v>15</v>
      </c>
      <c r="I1638" s="26" t="s">
        <v>378</v>
      </c>
    </row>
    <row r="1639" spans="1:9" x14ac:dyDescent="0.3">
      <c r="A1639" s="24">
        <v>45362</v>
      </c>
      <c r="B1639" t="s">
        <v>294</v>
      </c>
      <c r="C1639" t="s">
        <v>202</v>
      </c>
      <c r="D1639">
        <v>0.78</v>
      </c>
      <c r="E1639" t="s">
        <v>445</v>
      </c>
      <c r="F1639" t="s">
        <v>55</v>
      </c>
      <c r="G1639" t="s">
        <v>1330</v>
      </c>
      <c r="H1639" t="s">
        <v>15</v>
      </c>
      <c r="I1639" s="26" t="s">
        <v>378</v>
      </c>
    </row>
    <row r="1640" spans="1:9" x14ac:dyDescent="0.3">
      <c r="A1640" s="24">
        <v>45362</v>
      </c>
      <c r="B1640" t="s">
        <v>294</v>
      </c>
      <c r="C1640" t="s">
        <v>202</v>
      </c>
      <c r="D1640">
        <v>1.8</v>
      </c>
      <c r="E1640" t="s">
        <v>30</v>
      </c>
      <c r="F1640" t="s">
        <v>55</v>
      </c>
      <c r="G1640" t="e">
        <f>-Follow up Asana tasks -Meeting with Aileen on tasks pending for month end -MtM process</f>
        <v>#NAME?</v>
      </c>
      <c r="H1640" t="s">
        <v>15</v>
      </c>
      <c r="I1640" s="26" t="s">
        <v>378</v>
      </c>
    </row>
    <row r="1641" spans="1:9" x14ac:dyDescent="0.3">
      <c r="A1641" s="24">
        <v>45362</v>
      </c>
      <c r="B1641" t="s">
        <v>294</v>
      </c>
      <c r="C1641" t="s">
        <v>85</v>
      </c>
      <c r="D1641">
        <v>0.78</v>
      </c>
      <c r="E1641" t="s">
        <v>295</v>
      </c>
      <c r="F1641" t="s">
        <v>55</v>
      </c>
      <c r="G1641" t="s">
        <v>1331</v>
      </c>
      <c r="H1641" t="s">
        <v>15</v>
      </c>
      <c r="I1641" s="26" t="s">
        <v>378</v>
      </c>
    </row>
    <row r="1642" spans="1:9" x14ac:dyDescent="0.3">
      <c r="A1642" s="24">
        <v>45362</v>
      </c>
      <c r="B1642" t="s">
        <v>294</v>
      </c>
      <c r="C1642" t="s">
        <v>53</v>
      </c>
      <c r="D1642">
        <v>0.63</v>
      </c>
      <c r="E1642" t="s">
        <v>54</v>
      </c>
      <c r="F1642" t="s">
        <v>55</v>
      </c>
      <c r="G1642" t="s">
        <v>300</v>
      </c>
      <c r="H1642" t="s">
        <v>15</v>
      </c>
      <c r="I1642" s="26" t="s">
        <v>378</v>
      </c>
    </row>
    <row r="1643" spans="1:9" x14ac:dyDescent="0.3">
      <c r="A1643" s="24">
        <v>45362</v>
      </c>
      <c r="B1643" t="s">
        <v>294</v>
      </c>
      <c r="C1643" t="s">
        <v>58</v>
      </c>
      <c r="D1643">
        <v>0.5</v>
      </c>
      <c r="E1643" t="s">
        <v>54</v>
      </c>
      <c r="F1643" t="s">
        <v>55</v>
      </c>
      <c r="G1643" t="s">
        <v>529</v>
      </c>
      <c r="H1643" t="s">
        <v>15</v>
      </c>
      <c r="I1643" s="26" t="s">
        <v>378</v>
      </c>
    </row>
    <row r="1644" spans="1:9" x14ac:dyDescent="0.3">
      <c r="A1644" s="24">
        <v>45362</v>
      </c>
      <c r="B1644" t="s">
        <v>301</v>
      </c>
      <c r="C1644" t="s">
        <v>29</v>
      </c>
      <c r="D1644">
        <v>0.18</v>
      </c>
      <c r="E1644" t="s">
        <v>156</v>
      </c>
      <c r="F1644" t="s">
        <v>31</v>
      </c>
      <c r="G1644" t="s">
        <v>207</v>
      </c>
      <c r="H1644" t="s">
        <v>15</v>
      </c>
      <c r="I1644" s="26" t="s">
        <v>378</v>
      </c>
    </row>
    <row r="1645" spans="1:9" x14ac:dyDescent="0.3">
      <c r="A1645" s="24">
        <v>45362</v>
      </c>
      <c r="B1645" t="s">
        <v>301</v>
      </c>
      <c r="C1645" t="s">
        <v>29</v>
      </c>
      <c r="D1645">
        <v>0.3</v>
      </c>
      <c r="E1645" t="s">
        <v>304</v>
      </c>
      <c r="F1645" t="s">
        <v>31</v>
      </c>
      <c r="G1645" t="s">
        <v>852</v>
      </c>
      <c r="H1645" t="s">
        <v>15</v>
      </c>
      <c r="I1645" s="26" t="s">
        <v>378</v>
      </c>
    </row>
    <row r="1646" spans="1:9" x14ac:dyDescent="0.3">
      <c r="A1646" s="24">
        <v>45362</v>
      </c>
      <c r="B1646" t="s">
        <v>301</v>
      </c>
      <c r="C1646" t="s">
        <v>29</v>
      </c>
      <c r="D1646">
        <v>0.4</v>
      </c>
      <c r="E1646" t="s">
        <v>156</v>
      </c>
      <c r="F1646" t="s">
        <v>31</v>
      </c>
      <c r="H1646" t="s">
        <v>15</v>
      </c>
      <c r="I1646" s="26" t="s">
        <v>378</v>
      </c>
    </row>
    <row r="1647" spans="1:9" x14ac:dyDescent="0.3">
      <c r="A1647" s="24">
        <v>45362</v>
      </c>
      <c r="B1647" t="s">
        <v>301</v>
      </c>
      <c r="C1647" t="s">
        <v>29</v>
      </c>
      <c r="D1647">
        <v>0.56999999999999995</v>
      </c>
      <c r="E1647" t="s">
        <v>156</v>
      </c>
      <c r="F1647" t="s">
        <v>31</v>
      </c>
      <c r="G1647" t="s">
        <v>1332</v>
      </c>
      <c r="H1647" t="s">
        <v>15</v>
      </c>
      <c r="I1647" s="26" t="s">
        <v>378</v>
      </c>
    </row>
    <row r="1648" spans="1:9" x14ac:dyDescent="0.3">
      <c r="A1648" s="24">
        <v>45362</v>
      </c>
      <c r="B1648" t="s">
        <v>301</v>
      </c>
      <c r="C1648" t="s">
        <v>29</v>
      </c>
      <c r="D1648">
        <v>1.42</v>
      </c>
      <c r="E1648" t="s">
        <v>156</v>
      </c>
      <c r="F1648" t="s">
        <v>31</v>
      </c>
      <c r="G1648" t="s">
        <v>303</v>
      </c>
      <c r="H1648" t="s">
        <v>15</v>
      </c>
      <c r="I1648" s="26" t="s">
        <v>378</v>
      </c>
    </row>
    <row r="1649" spans="1:9" x14ac:dyDescent="0.3">
      <c r="A1649" s="24">
        <v>45362</v>
      </c>
      <c r="B1649" t="s">
        <v>301</v>
      </c>
      <c r="C1649" t="s">
        <v>29</v>
      </c>
      <c r="D1649">
        <v>1.45</v>
      </c>
      <c r="E1649" t="s">
        <v>304</v>
      </c>
      <c r="F1649" t="s">
        <v>31</v>
      </c>
      <c r="G1649" t="s">
        <v>1333</v>
      </c>
      <c r="H1649" t="s">
        <v>15</v>
      </c>
      <c r="I1649" s="26" t="s">
        <v>378</v>
      </c>
    </row>
    <row r="1650" spans="1:9" x14ac:dyDescent="0.3">
      <c r="A1650" s="24">
        <v>45362</v>
      </c>
      <c r="B1650" t="s">
        <v>301</v>
      </c>
      <c r="C1650" t="s">
        <v>53</v>
      </c>
      <c r="D1650">
        <v>0.05</v>
      </c>
      <c r="E1650" t="s">
        <v>54</v>
      </c>
      <c r="F1650" t="s">
        <v>55</v>
      </c>
      <c r="G1650" t="s">
        <v>489</v>
      </c>
      <c r="H1650" t="s">
        <v>15</v>
      </c>
      <c r="I1650" s="26" t="s">
        <v>378</v>
      </c>
    </row>
    <row r="1651" spans="1:9" x14ac:dyDescent="0.3">
      <c r="A1651" s="24">
        <v>45362</v>
      </c>
      <c r="B1651" t="s">
        <v>301</v>
      </c>
      <c r="C1651" t="s">
        <v>58</v>
      </c>
      <c r="D1651">
        <v>1.1000000000000001</v>
      </c>
      <c r="E1651" t="s">
        <v>54</v>
      </c>
      <c r="F1651" t="s">
        <v>55</v>
      </c>
      <c r="G1651" t="s">
        <v>1334</v>
      </c>
      <c r="H1651" t="s">
        <v>15</v>
      </c>
      <c r="I1651" s="26" t="s">
        <v>378</v>
      </c>
    </row>
    <row r="1652" spans="1:9" x14ac:dyDescent="0.3">
      <c r="A1652" s="24">
        <v>45362</v>
      </c>
      <c r="B1652" t="s">
        <v>301</v>
      </c>
      <c r="C1652" t="s">
        <v>60</v>
      </c>
      <c r="D1652">
        <v>0.32</v>
      </c>
      <c r="E1652" t="s">
        <v>304</v>
      </c>
      <c r="F1652" t="s">
        <v>31</v>
      </c>
      <c r="G1652" t="s">
        <v>1335</v>
      </c>
      <c r="H1652" t="s">
        <v>15</v>
      </c>
      <c r="I1652" s="26" t="s">
        <v>378</v>
      </c>
    </row>
    <row r="1653" spans="1:9" x14ac:dyDescent="0.3">
      <c r="A1653" s="24">
        <v>45362</v>
      </c>
      <c r="B1653" t="s">
        <v>301</v>
      </c>
      <c r="C1653" t="s">
        <v>60</v>
      </c>
      <c r="D1653">
        <v>0.9</v>
      </c>
      <c r="E1653" t="s">
        <v>137</v>
      </c>
      <c r="F1653" t="s">
        <v>31</v>
      </c>
      <c r="H1653" t="s">
        <v>15</v>
      </c>
      <c r="I1653" s="26" t="s">
        <v>378</v>
      </c>
    </row>
    <row r="1654" spans="1:9" x14ac:dyDescent="0.3">
      <c r="A1654" s="24">
        <v>45362</v>
      </c>
      <c r="B1654" t="s">
        <v>301</v>
      </c>
      <c r="C1654" t="s">
        <v>60</v>
      </c>
      <c r="D1654">
        <v>1.33</v>
      </c>
      <c r="E1654" t="s">
        <v>143</v>
      </c>
      <c r="F1654" t="s">
        <v>31</v>
      </c>
      <c r="H1654" t="s">
        <v>15</v>
      </c>
      <c r="I1654" s="26" t="s">
        <v>378</v>
      </c>
    </row>
    <row r="1655" spans="1:9" x14ac:dyDescent="0.3">
      <c r="A1655" s="24">
        <v>45362</v>
      </c>
      <c r="B1655" t="s">
        <v>313</v>
      </c>
      <c r="C1655" t="s">
        <v>29</v>
      </c>
      <c r="D1655">
        <v>0.43</v>
      </c>
      <c r="E1655" t="s">
        <v>170</v>
      </c>
      <c r="F1655" t="s">
        <v>31</v>
      </c>
      <c r="G1655" t="s">
        <v>1336</v>
      </c>
      <c r="H1655" t="s">
        <v>15</v>
      </c>
      <c r="I1655" s="26" t="s">
        <v>378</v>
      </c>
    </row>
    <row r="1656" spans="1:9" x14ac:dyDescent="0.3">
      <c r="A1656" s="24">
        <v>45362</v>
      </c>
      <c r="B1656" t="s">
        <v>313</v>
      </c>
      <c r="C1656" t="s">
        <v>29</v>
      </c>
      <c r="D1656">
        <v>0.9</v>
      </c>
      <c r="E1656" t="s">
        <v>91</v>
      </c>
      <c r="F1656" t="s">
        <v>31</v>
      </c>
      <c r="G1656" t="s">
        <v>1337</v>
      </c>
      <c r="H1656" t="s">
        <v>15</v>
      </c>
      <c r="I1656" s="26" t="s">
        <v>378</v>
      </c>
    </row>
    <row r="1657" spans="1:9" x14ac:dyDescent="0.3">
      <c r="A1657" s="24">
        <v>45362</v>
      </c>
      <c r="B1657" t="s">
        <v>313</v>
      </c>
      <c r="C1657" t="s">
        <v>29</v>
      </c>
      <c r="D1657">
        <v>0.92</v>
      </c>
      <c r="E1657" t="s">
        <v>170</v>
      </c>
      <c r="F1657" t="s">
        <v>31</v>
      </c>
      <c r="G1657" t="s">
        <v>1338</v>
      </c>
      <c r="H1657" t="s">
        <v>15</v>
      </c>
      <c r="I1657" s="26" t="s">
        <v>378</v>
      </c>
    </row>
    <row r="1658" spans="1:9" x14ac:dyDescent="0.3">
      <c r="A1658" s="24">
        <v>45362</v>
      </c>
      <c r="B1658" t="s">
        <v>313</v>
      </c>
      <c r="C1658" t="s">
        <v>29</v>
      </c>
      <c r="D1658">
        <v>1.1200000000000001</v>
      </c>
      <c r="E1658" t="s">
        <v>170</v>
      </c>
      <c r="F1658" t="s">
        <v>31</v>
      </c>
      <c r="H1658" t="s">
        <v>15</v>
      </c>
      <c r="I1658" s="26" t="s">
        <v>378</v>
      </c>
    </row>
    <row r="1659" spans="1:9" x14ac:dyDescent="0.3">
      <c r="A1659" s="24">
        <v>45362</v>
      </c>
      <c r="B1659" t="s">
        <v>313</v>
      </c>
      <c r="C1659" t="s">
        <v>29</v>
      </c>
      <c r="D1659">
        <v>3.85</v>
      </c>
      <c r="E1659" t="s">
        <v>91</v>
      </c>
      <c r="F1659" t="s">
        <v>31</v>
      </c>
      <c r="G1659" t="s">
        <v>1339</v>
      </c>
      <c r="H1659" t="s">
        <v>15</v>
      </c>
      <c r="I1659" s="26" t="s">
        <v>378</v>
      </c>
    </row>
    <row r="1660" spans="1:9" x14ac:dyDescent="0.3">
      <c r="A1660" s="24">
        <v>45362</v>
      </c>
      <c r="B1660" t="s">
        <v>313</v>
      </c>
      <c r="C1660" t="s">
        <v>53</v>
      </c>
      <c r="D1660">
        <v>0.22</v>
      </c>
      <c r="E1660" t="s">
        <v>54</v>
      </c>
      <c r="F1660" t="s">
        <v>55</v>
      </c>
      <c r="G1660" t="s">
        <v>316</v>
      </c>
      <c r="H1660" t="s">
        <v>15</v>
      </c>
      <c r="I1660" s="26" t="s">
        <v>378</v>
      </c>
    </row>
    <row r="1661" spans="1:9" x14ac:dyDescent="0.3">
      <c r="A1661" s="24">
        <v>45362</v>
      </c>
      <c r="B1661" t="s">
        <v>313</v>
      </c>
      <c r="C1661" t="s">
        <v>53</v>
      </c>
      <c r="D1661">
        <v>0.42</v>
      </c>
      <c r="E1661" t="s">
        <v>54</v>
      </c>
      <c r="F1661" t="s">
        <v>55</v>
      </c>
      <c r="G1661" s="56">
        <v>4.2361111111111113E-2</v>
      </c>
      <c r="H1661" t="s">
        <v>15</v>
      </c>
      <c r="I1661" s="26" t="s">
        <v>378</v>
      </c>
    </row>
    <row r="1662" spans="1:9" x14ac:dyDescent="0.3">
      <c r="A1662" s="24">
        <v>45362</v>
      </c>
      <c r="B1662" t="s">
        <v>313</v>
      </c>
      <c r="C1662" t="s">
        <v>159</v>
      </c>
      <c r="D1662">
        <v>0.83</v>
      </c>
      <c r="E1662" t="s">
        <v>170</v>
      </c>
      <c r="F1662" t="s">
        <v>31</v>
      </c>
      <c r="G1662" t="s">
        <v>1340</v>
      </c>
      <c r="H1662" t="s">
        <v>15</v>
      </c>
      <c r="I1662" s="26" t="s">
        <v>378</v>
      </c>
    </row>
    <row r="1663" spans="1:9" x14ac:dyDescent="0.3">
      <c r="A1663" s="24">
        <v>45362</v>
      </c>
      <c r="B1663" t="s">
        <v>318</v>
      </c>
      <c r="C1663" t="s">
        <v>53</v>
      </c>
      <c r="D1663">
        <v>7.25</v>
      </c>
      <c r="E1663" t="s">
        <v>54</v>
      </c>
      <c r="F1663" t="s">
        <v>55</v>
      </c>
      <c r="G1663" t="s">
        <v>1341</v>
      </c>
      <c r="H1663" t="s">
        <v>15</v>
      </c>
      <c r="I1663" s="26" t="s">
        <v>378</v>
      </c>
    </row>
    <row r="1664" spans="1:9" x14ac:dyDescent="0.3">
      <c r="A1664" s="24">
        <v>45362</v>
      </c>
      <c r="B1664" t="s">
        <v>318</v>
      </c>
      <c r="C1664" t="s">
        <v>58</v>
      </c>
      <c r="D1664">
        <v>1.98</v>
      </c>
      <c r="E1664" t="s">
        <v>54</v>
      </c>
      <c r="F1664" t="s">
        <v>55</v>
      </c>
      <c r="G1664" t="s">
        <v>1342</v>
      </c>
      <c r="H1664" t="s">
        <v>15</v>
      </c>
      <c r="I1664" s="26" t="s">
        <v>378</v>
      </c>
    </row>
    <row r="1665" spans="1:9" x14ac:dyDescent="0.3">
      <c r="A1665" s="24">
        <v>45362</v>
      </c>
      <c r="B1665" t="s">
        <v>324</v>
      </c>
      <c r="C1665" t="s">
        <v>29</v>
      </c>
      <c r="D1665">
        <v>0.75</v>
      </c>
      <c r="E1665" t="s">
        <v>81</v>
      </c>
      <c r="F1665" t="s">
        <v>31</v>
      </c>
      <c r="G1665" t="s">
        <v>1343</v>
      </c>
      <c r="H1665" t="s">
        <v>15</v>
      </c>
      <c r="I1665" s="26" t="s">
        <v>378</v>
      </c>
    </row>
    <row r="1666" spans="1:9" x14ac:dyDescent="0.3">
      <c r="A1666" s="24">
        <v>45362</v>
      </c>
      <c r="B1666" t="s">
        <v>324</v>
      </c>
      <c r="C1666" t="s">
        <v>29</v>
      </c>
      <c r="D1666">
        <v>8.15</v>
      </c>
      <c r="E1666" t="s">
        <v>81</v>
      </c>
      <c r="F1666" t="s">
        <v>31</v>
      </c>
      <c r="H1666" t="s">
        <v>15</v>
      </c>
      <c r="I1666" s="26" t="s">
        <v>378</v>
      </c>
    </row>
    <row r="1667" spans="1:9" x14ac:dyDescent="0.3">
      <c r="A1667" s="24">
        <v>45362</v>
      </c>
      <c r="B1667" t="s">
        <v>328</v>
      </c>
      <c r="C1667" t="s">
        <v>442</v>
      </c>
      <c r="D1667">
        <v>8</v>
      </c>
      <c r="E1667" t="s">
        <v>54</v>
      </c>
      <c r="F1667" t="s">
        <v>55</v>
      </c>
      <c r="H1667" t="s">
        <v>15</v>
      </c>
      <c r="I1667" s="26" t="s">
        <v>378</v>
      </c>
    </row>
    <row r="1668" spans="1:9" x14ac:dyDescent="0.3">
      <c r="A1668" s="24">
        <v>45362</v>
      </c>
      <c r="B1668" t="s">
        <v>331</v>
      </c>
      <c r="C1668" t="s">
        <v>442</v>
      </c>
      <c r="D1668">
        <v>8</v>
      </c>
      <c r="E1668" t="s">
        <v>54</v>
      </c>
      <c r="F1668" t="s">
        <v>55</v>
      </c>
      <c r="H1668" t="s">
        <v>15</v>
      </c>
      <c r="I1668" s="26" t="s">
        <v>378</v>
      </c>
    </row>
    <row r="1669" spans="1:9" x14ac:dyDescent="0.3">
      <c r="A1669" s="24">
        <v>45362</v>
      </c>
      <c r="B1669" t="s">
        <v>340</v>
      </c>
      <c r="C1669" t="s">
        <v>202</v>
      </c>
      <c r="D1669">
        <v>0.25</v>
      </c>
      <c r="E1669" t="s">
        <v>1216</v>
      </c>
      <c r="F1669" t="s">
        <v>31</v>
      </c>
      <c r="G1669" t="s">
        <v>1344</v>
      </c>
      <c r="H1669" t="s">
        <v>15</v>
      </c>
      <c r="I1669" s="26" t="s">
        <v>378</v>
      </c>
    </row>
    <row r="1670" spans="1:9" x14ac:dyDescent="0.3">
      <c r="A1670" s="24">
        <v>45362</v>
      </c>
      <c r="B1670" t="s">
        <v>340</v>
      </c>
      <c r="C1670" t="s">
        <v>202</v>
      </c>
      <c r="D1670">
        <v>0.25</v>
      </c>
      <c r="E1670" t="s">
        <v>725</v>
      </c>
      <c r="F1670" t="s">
        <v>31</v>
      </c>
      <c r="G1670" t="s">
        <v>1345</v>
      </c>
      <c r="H1670" t="s">
        <v>15</v>
      </c>
      <c r="I1670" s="26" t="s">
        <v>378</v>
      </c>
    </row>
    <row r="1671" spans="1:9" x14ac:dyDescent="0.3">
      <c r="A1671" s="24">
        <v>45362</v>
      </c>
      <c r="B1671" t="s">
        <v>340</v>
      </c>
      <c r="C1671" t="s">
        <v>202</v>
      </c>
      <c r="D1671">
        <v>0.5</v>
      </c>
      <c r="E1671" t="s">
        <v>185</v>
      </c>
      <c r="F1671" t="s">
        <v>31</v>
      </c>
      <c r="G1671" t="s">
        <v>1346</v>
      </c>
      <c r="H1671" t="s">
        <v>15</v>
      </c>
      <c r="I1671" s="26" t="s">
        <v>378</v>
      </c>
    </row>
    <row r="1672" spans="1:9" x14ac:dyDescent="0.3">
      <c r="A1672" s="24">
        <v>45362</v>
      </c>
      <c r="B1672" t="s">
        <v>340</v>
      </c>
      <c r="C1672" t="s">
        <v>202</v>
      </c>
      <c r="D1672">
        <v>1</v>
      </c>
      <c r="E1672" t="s">
        <v>127</v>
      </c>
      <c r="F1672" t="s">
        <v>31</v>
      </c>
      <c r="G1672" t="s">
        <v>1347</v>
      </c>
      <c r="H1672" t="s">
        <v>15</v>
      </c>
      <c r="I1672" s="26" t="s">
        <v>378</v>
      </c>
    </row>
    <row r="1673" spans="1:9" x14ac:dyDescent="0.3">
      <c r="A1673" s="24">
        <v>45362</v>
      </c>
      <c r="B1673" t="s">
        <v>340</v>
      </c>
      <c r="C1673" t="s">
        <v>202</v>
      </c>
      <c r="D1673">
        <v>1</v>
      </c>
      <c r="E1673" t="s">
        <v>334</v>
      </c>
      <c r="F1673" t="s">
        <v>31</v>
      </c>
      <c r="G1673" t="s">
        <v>1348</v>
      </c>
      <c r="H1673" t="s">
        <v>15</v>
      </c>
      <c r="I1673" s="26" t="s">
        <v>378</v>
      </c>
    </row>
    <row r="1674" spans="1:9" x14ac:dyDescent="0.3">
      <c r="A1674" s="24">
        <v>45362</v>
      </c>
      <c r="B1674" t="s">
        <v>340</v>
      </c>
      <c r="C1674" t="s">
        <v>53</v>
      </c>
      <c r="D1674">
        <v>2</v>
      </c>
      <c r="E1674" t="s">
        <v>54</v>
      </c>
      <c r="F1674" t="s">
        <v>55</v>
      </c>
      <c r="G1674" t="s">
        <v>1349</v>
      </c>
      <c r="H1674" t="s">
        <v>15</v>
      </c>
      <c r="I1674" s="26" t="s">
        <v>378</v>
      </c>
    </row>
    <row r="1675" spans="1:9" x14ac:dyDescent="0.3">
      <c r="A1675" s="24">
        <v>45362</v>
      </c>
      <c r="B1675" t="s">
        <v>340</v>
      </c>
      <c r="C1675" t="s">
        <v>225</v>
      </c>
      <c r="D1675">
        <v>0.17</v>
      </c>
      <c r="E1675" t="s">
        <v>40</v>
      </c>
      <c r="F1675" t="s">
        <v>31</v>
      </c>
      <c r="G1675" t="s">
        <v>1350</v>
      </c>
      <c r="H1675" t="s">
        <v>15</v>
      </c>
      <c r="I1675" s="26" t="s">
        <v>378</v>
      </c>
    </row>
    <row r="1676" spans="1:9" x14ac:dyDescent="0.3">
      <c r="A1676" s="24">
        <v>45362</v>
      </c>
      <c r="B1676" t="s">
        <v>340</v>
      </c>
      <c r="C1676" t="s">
        <v>225</v>
      </c>
      <c r="D1676">
        <v>0.17</v>
      </c>
      <c r="E1676" t="s">
        <v>54</v>
      </c>
      <c r="F1676" t="s">
        <v>55</v>
      </c>
      <c r="G1676" t="s">
        <v>1350</v>
      </c>
      <c r="H1676" t="s">
        <v>15</v>
      </c>
      <c r="I1676" s="26" t="s">
        <v>378</v>
      </c>
    </row>
    <row r="1677" spans="1:9" x14ac:dyDescent="0.3">
      <c r="A1677" s="24">
        <v>45362</v>
      </c>
      <c r="B1677" t="s">
        <v>340</v>
      </c>
      <c r="C1677" t="s">
        <v>225</v>
      </c>
      <c r="D1677">
        <v>0.17</v>
      </c>
      <c r="E1677" t="s">
        <v>139</v>
      </c>
      <c r="F1677" t="s">
        <v>31</v>
      </c>
      <c r="G1677" t="s">
        <v>1350</v>
      </c>
      <c r="H1677" t="s">
        <v>15</v>
      </c>
      <c r="I1677" s="26" t="s">
        <v>378</v>
      </c>
    </row>
    <row r="1678" spans="1:9" x14ac:dyDescent="0.3">
      <c r="A1678" s="24">
        <v>45362</v>
      </c>
      <c r="B1678" t="s">
        <v>340</v>
      </c>
      <c r="C1678" t="s">
        <v>225</v>
      </c>
      <c r="D1678">
        <v>0.17</v>
      </c>
      <c r="E1678" t="s">
        <v>176</v>
      </c>
      <c r="F1678" t="s">
        <v>31</v>
      </c>
      <c r="G1678" t="s">
        <v>1350</v>
      </c>
      <c r="H1678" t="s">
        <v>15</v>
      </c>
      <c r="I1678" s="26" t="s">
        <v>378</v>
      </c>
    </row>
    <row r="1679" spans="1:9" x14ac:dyDescent="0.3">
      <c r="A1679" s="24">
        <v>45362</v>
      </c>
      <c r="B1679" t="s">
        <v>340</v>
      </c>
      <c r="C1679" t="s">
        <v>225</v>
      </c>
      <c r="D1679">
        <v>0.17</v>
      </c>
      <c r="E1679" t="s">
        <v>127</v>
      </c>
      <c r="F1679" t="s">
        <v>31</v>
      </c>
      <c r="G1679" t="s">
        <v>1350</v>
      </c>
      <c r="H1679" t="s">
        <v>15</v>
      </c>
      <c r="I1679" s="26" t="s">
        <v>378</v>
      </c>
    </row>
    <row r="1680" spans="1:9" x14ac:dyDescent="0.3">
      <c r="A1680" s="24">
        <v>45362</v>
      </c>
      <c r="B1680" t="s">
        <v>340</v>
      </c>
      <c r="C1680" t="s">
        <v>225</v>
      </c>
      <c r="D1680">
        <v>0.17</v>
      </c>
      <c r="E1680" t="s">
        <v>334</v>
      </c>
      <c r="F1680" t="s">
        <v>31</v>
      </c>
      <c r="G1680" t="s">
        <v>1350</v>
      </c>
      <c r="H1680" t="s">
        <v>15</v>
      </c>
      <c r="I1680" s="26" t="s">
        <v>378</v>
      </c>
    </row>
    <row r="1681" spans="1:9" x14ac:dyDescent="0.3">
      <c r="A1681" s="24">
        <v>45362</v>
      </c>
      <c r="B1681" t="s">
        <v>340</v>
      </c>
      <c r="C1681" t="s">
        <v>225</v>
      </c>
      <c r="D1681">
        <v>0.17</v>
      </c>
      <c r="E1681" t="s">
        <v>108</v>
      </c>
      <c r="F1681" t="s">
        <v>31</v>
      </c>
      <c r="G1681" t="s">
        <v>1350</v>
      </c>
      <c r="H1681" t="s">
        <v>15</v>
      </c>
      <c r="I1681" s="26" t="s">
        <v>378</v>
      </c>
    </row>
    <row r="1682" spans="1:9" x14ac:dyDescent="0.3">
      <c r="A1682" s="24">
        <v>45362</v>
      </c>
      <c r="B1682" t="s">
        <v>340</v>
      </c>
      <c r="C1682" t="s">
        <v>225</v>
      </c>
      <c r="D1682">
        <v>0.17</v>
      </c>
      <c r="E1682" t="s">
        <v>177</v>
      </c>
      <c r="F1682" t="s">
        <v>31</v>
      </c>
      <c r="G1682" t="s">
        <v>1350</v>
      </c>
      <c r="H1682" t="s">
        <v>15</v>
      </c>
      <c r="I1682" s="26" t="s">
        <v>378</v>
      </c>
    </row>
    <row r="1683" spans="1:9" x14ac:dyDescent="0.3">
      <c r="A1683" s="24">
        <v>45362</v>
      </c>
      <c r="B1683" t="s">
        <v>340</v>
      </c>
      <c r="C1683" t="s">
        <v>225</v>
      </c>
      <c r="D1683">
        <v>0.17</v>
      </c>
      <c r="E1683" t="s">
        <v>44</v>
      </c>
      <c r="F1683" t="s">
        <v>31</v>
      </c>
      <c r="G1683" t="s">
        <v>1350</v>
      </c>
      <c r="H1683" t="s">
        <v>15</v>
      </c>
      <c r="I1683" s="26" t="s">
        <v>378</v>
      </c>
    </row>
    <row r="1684" spans="1:9" x14ac:dyDescent="0.3">
      <c r="A1684" s="24">
        <v>45362</v>
      </c>
      <c r="B1684" t="s">
        <v>340</v>
      </c>
      <c r="C1684" t="s">
        <v>225</v>
      </c>
      <c r="D1684">
        <v>0.17</v>
      </c>
      <c r="E1684" t="s">
        <v>953</v>
      </c>
      <c r="F1684" t="s">
        <v>31</v>
      </c>
      <c r="G1684" t="s">
        <v>1350</v>
      </c>
      <c r="H1684" t="s">
        <v>15</v>
      </c>
      <c r="I1684" s="26" t="s">
        <v>378</v>
      </c>
    </row>
    <row r="1685" spans="1:9" x14ac:dyDescent="0.3">
      <c r="A1685" s="24">
        <v>45362</v>
      </c>
      <c r="B1685" t="s">
        <v>340</v>
      </c>
      <c r="C1685" t="s">
        <v>225</v>
      </c>
      <c r="D1685">
        <v>0.17</v>
      </c>
      <c r="E1685" t="s">
        <v>444</v>
      </c>
      <c r="F1685" t="s">
        <v>31</v>
      </c>
      <c r="G1685" t="s">
        <v>1350</v>
      </c>
      <c r="H1685" t="s">
        <v>15</v>
      </c>
      <c r="I1685" s="26" t="s">
        <v>378</v>
      </c>
    </row>
    <row r="1686" spans="1:9" x14ac:dyDescent="0.3">
      <c r="A1686" s="24">
        <v>45362</v>
      </c>
      <c r="B1686" t="s">
        <v>340</v>
      </c>
      <c r="C1686" t="s">
        <v>225</v>
      </c>
      <c r="D1686">
        <v>0.17</v>
      </c>
      <c r="E1686" t="s">
        <v>48</v>
      </c>
      <c r="F1686" t="s">
        <v>31</v>
      </c>
      <c r="G1686" t="s">
        <v>1350</v>
      </c>
      <c r="H1686" t="s">
        <v>15</v>
      </c>
      <c r="I1686" s="26" t="s">
        <v>378</v>
      </c>
    </row>
    <row r="1687" spans="1:9" x14ac:dyDescent="0.3">
      <c r="A1687" s="24">
        <v>45362</v>
      </c>
      <c r="B1687" t="s">
        <v>340</v>
      </c>
      <c r="C1687" t="s">
        <v>58</v>
      </c>
      <c r="D1687">
        <v>0.5</v>
      </c>
      <c r="E1687" t="s">
        <v>54</v>
      </c>
      <c r="F1687" t="s">
        <v>55</v>
      </c>
      <c r="G1687" t="s">
        <v>1351</v>
      </c>
      <c r="H1687" t="s">
        <v>15</v>
      </c>
      <c r="I1687" s="26" t="s">
        <v>378</v>
      </c>
    </row>
    <row r="1688" spans="1:9" x14ac:dyDescent="0.3">
      <c r="A1688" s="24">
        <v>45362</v>
      </c>
      <c r="B1688" t="s">
        <v>351</v>
      </c>
      <c r="C1688" t="s">
        <v>159</v>
      </c>
      <c r="D1688">
        <v>1.43</v>
      </c>
      <c r="E1688" t="s">
        <v>81</v>
      </c>
      <c r="F1688" t="s">
        <v>55</v>
      </c>
      <c r="G1688" t="s">
        <v>1352</v>
      </c>
      <c r="H1688" t="s">
        <v>15</v>
      </c>
      <c r="I1688" s="26" t="s">
        <v>378</v>
      </c>
    </row>
    <row r="1689" spans="1:9" x14ac:dyDescent="0.3">
      <c r="A1689" s="24">
        <v>45362</v>
      </c>
      <c r="B1689" t="s">
        <v>351</v>
      </c>
      <c r="C1689" t="s">
        <v>159</v>
      </c>
      <c r="D1689">
        <v>1.78</v>
      </c>
      <c r="E1689" t="s">
        <v>81</v>
      </c>
      <c r="F1689" t="s">
        <v>31</v>
      </c>
      <c r="G1689" t="s">
        <v>1353</v>
      </c>
      <c r="H1689" t="s">
        <v>15</v>
      </c>
      <c r="I1689" s="26" t="s">
        <v>378</v>
      </c>
    </row>
    <row r="1690" spans="1:9" x14ac:dyDescent="0.3">
      <c r="A1690" s="24">
        <v>45362</v>
      </c>
      <c r="B1690" t="s">
        <v>351</v>
      </c>
      <c r="C1690" t="s">
        <v>159</v>
      </c>
      <c r="D1690">
        <v>5.77</v>
      </c>
      <c r="E1690" t="s">
        <v>81</v>
      </c>
      <c r="F1690" t="s">
        <v>31</v>
      </c>
      <c r="G1690" t="s">
        <v>1354</v>
      </c>
      <c r="H1690" t="s">
        <v>15</v>
      </c>
      <c r="I1690" s="26" t="s">
        <v>378</v>
      </c>
    </row>
    <row r="1691" spans="1:9" x14ac:dyDescent="0.3">
      <c r="A1691" s="24">
        <v>45362</v>
      </c>
      <c r="B1691" t="s">
        <v>355</v>
      </c>
      <c r="C1691" t="s">
        <v>250</v>
      </c>
      <c r="D1691">
        <v>0.2</v>
      </c>
      <c r="E1691" t="s">
        <v>356</v>
      </c>
      <c r="F1691" t="s">
        <v>31</v>
      </c>
      <c r="G1691" t="s">
        <v>1355</v>
      </c>
      <c r="H1691" t="s">
        <v>15</v>
      </c>
      <c r="I1691" s="26" t="s">
        <v>378</v>
      </c>
    </row>
    <row r="1692" spans="1:9" x14ac:dyDescent="0.3">
      <c r="A1692" s="24">
        <v>45362</v>
      </c>
      <c r="B1692" t="s">
        <v>355</v>
      </c>
      <c r="C1692" t="s">
        <v>250</v>
      </c>
      <c r="D1692">
        <v>0.7</v>
      </c>
      <c r="E1692" t="s">
        <v>356</v>
      </c>
      <c r="F1692" t="s">
        <v>31</v>
      </c>
      <c r="G1692" t="s">
        <v>1356</v>
      </c>
      <c r="H1692" t="s">
        <v>15</v>
      </c>
      <c r="I1692" s="26" t="s">
        <v>378</v>
      </c>
    </row>
    <row r="1693" spans="1:9" x14ac:dyDescent="0.3">
      <c r="A1693" s="24">
        <v>45362</v>
      </c>
      <c r="B1693" t="s">
        <v>355</v>
      </c>
      <c r="C1693" t="s">
        <v>29</v>
      </c>
      <c r="D1693">
        <v>0.6</v>
      </c>
      <c r="E1693" t="s">
        <v>91</v>
      </c>
      <c r="F1693" t="s">
        <v>31</v>
      </c>
      <c r="G1693" t="s">
        <v>1357</v>
      </c>
      <c r="H1693" t="s">
        <v>15</v>
      </c>
      <c r="I1693" s="26" t="s">
        <v>378</v>
      </c>
    </row>
    <row r="1694" spans="1:9" x14ac:dyDescent="0.3">
      <c r="A1694" s="24">
        <v>45362</v>
      </c>
      <c r="B1694" t="s">
        <v>355</v>
      </c>
      <c r="C1694" t="s">
        <v>29</v>
      </c>
      <c r="D1694">
        <v>1.2</v>
      </c>
      <c r="E1694" t="s">
        <v>91</v>
      </c>
      <c r="F1694" t="s">
        <v>31</v>
      </c>
      <c r="G1694" t="s">
        <v>1358</v>
      </c>
      <c r="H1694" t="s">
        <v>15</v>
      </c>
      <c r="I1694" s="26" t="s">
        <v>378</v>
      </c>
    </row>
    <row r="1695" spans="1:9" x14ac:dyDescent="0.3">
      <c r="A1695" s="24">
        <v>45362</v>
      </c>
      <c r="B1695" t="s">
        <v>355</v>
      </c>
      <c r="C1695" t="s">
        <v>197</v>
      </c>
      <c r="D1695">
        <v>0.8</v>
      </c>
      <c r="E1695" t="s">
        <v>54</v>
      </c>
      <c r="F1695" t="s">
        <v>55</v>
      </c>
      <c r="G1695" t="s">
        <v>1359</v>
      </c>
      <c r="H1695" t="s">
        <v>15</v>
      </c>
      <c r="I1695" s="26" t="s">
        <v>378</v>
      </c>
    </row>
    <row r="1696" spans="1:9" x14ac:dyDescent="0.3">
      <c r="A1696" s="24">
        <v>45362</v>
      </c>
      <c r="B1696" t="s">
        <v>355</v>
      </c>
      <c r="C1696" t="s">
        <v>202</v>
      </c>
      <c r="D1696">
        <v>0.3</v>
      </c>
      <c r="E1696" t="s">
        <v>91</v>
      </c>
      <c r="F1696" t="s">
        <v>31</v>
      </c>
      <c r="G1696" t="s">
        <v>1360</v>
      </c>
      <c r="H1696" t="s">
        <v>15</v>
      </c>
      <c r="I1696" s="26" t="s">
        <v>378</v>
      </c>
    </row>
    <row r="1697" spans="1:9" x14ac:dyDescent="0.3">
      <c r="A1697" s="24">
        <v>45362</v>
      </c>
      <c r="B1697" t="s">
        <v>355</v>
      </c>
      <c r="C1697" t="s">
        <v>202</v>
      </c>
      <c r="D1697">
        <v>0.4</v>
      </c>
      <c r="E1697" t="s">
        <v>44</v>
      </c>
      <c r="F1697" t="s">
        <v>31</v>
      </c>
      <c r="G1697" t="s">
        <v>1361</v>
      </c>
      <c r="H1697" t="s">
        <v>15</v>
      </c>
      <c r="I1697" s="26" t="s">
        <v>378</v>
      </c>
    </row>
    <row r="1698" spans="1:9" x14ac:dyDescent="0.3">
      <c r="A1698" s="24">
        <v>45362</v>
      </c>
      <c r="B1698" t="s">
        <v>355</v>
      </c>
      <c r="C1698" t="s">
        <v>202</v>
      </c>
      <c r="D1698">
        <v>0.5</v>
      </c>
      <c r="E1698" t="s">
        <v>91</v>
      </c>
      <c r="F1698" t="s">
        <v>31</v>
      </c>
      <c r="G1698" t="s">
        <v>368</v>
      </c>
      <c r="H1698" t="s">
        <v>15</v>
      </c>
      <c r="I1698" s="26" t="s">
        <v>378</v>
      </c>
    </row>
    <row r="1699" spans="1:9" x14ac:dyDescent="0.3">
      <c r="A1699" s="24">
        <v>45362</v>
      </c>
      <c r="B1699" t="s">
        <v>355</v>
      </c>
      <c r="C1699" t="s">
        <v>202</v>
      </c>
      <c r="D1699">
        <v>0.5</v>
      </c>
      <c r="E1699" t="s">
        <v>358</v>
      </c>
      <c r="F1699" t="s">
        <v>31</v>
      </c>
      <c r="G1699" t="s">
        <v>1362</v>
      </c>
      <c r="H1699" t="s">
        <v>15</v>
      </c>
      <c r="I1699" s="26" t="s">
        <v>378</v>
      </c>
    </row>
    <row r="1700" spans="1:9" x14ac:dyDescent="0.3">
      <c r="A1700" s="24">
        <v>45362</v>
      </c>
      <c r="B1700" t="s">
        <v>355</v>
      </c>
      <c r="C1700" t="s">
        <v>225</v>
      </c>
      <c r="D1700">
        <v>0.3</v>
      </c>
      <c r="E1700" t="s">
        <v>1074</v>
      </c>
      <c r="F1700" t="s">
        <v>31</v>
      </c>
      <c r="G1700" t="s">
        <v>1363</v>
      </c>
      <c r="H1700" t="s">
        <v>15</v>
      </c>
      <c r="I1700" s="26" t="s">
        <v>378</v>
      </c>
    </row>
    <row r="1701" spans="1:9" x14ac:dyDescent="0.3">
      <c r="A1701" s="24">
        <v>45362</v>
      </c>
      <c r="B1701" t="s">
        <v>355</v>
      </c>
      <c r="C1701" t="s">
        <v>1073</v>
      </c>
      <c r="D1701">
        <v>0.1</v>
      </c>
      <c r="E1701" t="s">
        <v>1074</v>
      </c>
      <c r="F1701" t="s">
        <v>31</v>
      </c>
      <c r="G1701" t="s">
        <v>1364</v>
      </c>
      <c r="H1701" t="s">
        <v>15</v>
      </c>
      <c r="I1701" s="26" t="s">
        <v>378</v>
      </c>
    </row>
    <row r="1702" spans="1:9" x14ac:dyDescent="0.3">
      <c r="A1702" s="24">
        <v>45362</v>
      </c>
      <c r="B1702" t="s">
        <v>355</v>
      </c>
      <c r="C1702" t="s">
        <v>159</v>
      </c>
      <c r="D1702">
        <v>0.7</v>
      </c>
      <c r="E1702" t="s">
        <v>358</v>
      </c>
      <c r="F1702" t="s">
        <v>31</v>
      </c>
      <c r="G1702" t="s">
        <v>1365</v>
      </c>
      <c r="H1702" t="s">
        <v>15</v>
      </c>
      <c r="I1702" s="26" t="s">
        <v>378</v>
      </c>
    </row>
    <row r="1703" spans="1:9" x14ac:dyDescent="0.3">
      <c r="A1703" s="24">
        <v>45362</v>
      </c>
      <c r="B1703" t="s">
        <v>355</v>
      </c>
      <c r="C1703" t="s">
        <v>58</v>
      </c>
      <c r="D1703">
        <v>0.5</v>
      </c>
      <c r="E1703" t="s">
        <v>54</v>
      </c>
      <c r="F1703" t="s">
        <v>55</v>
      </c>
      <c r="G1703" t="s">
        <v>325</v>
      </c>
      <c r="H1703" t="s">
        <v>15</v>
      </c>
      <c r="I1703" s="26" t="s">
        <v>378</v>
      </c>
    </row>
    <row r="1704" spans="1:9" x14ac:dyDescent="0.3">
      <c r="A1704" s="24">
        <v>45362</v>
      </c>
      <c r="B1704" t="s">
        <v>355</v>
      </c>
      <c r="C1704" t="s">
        <v>58</v>
      </c>
      <c r="D1704">
        <v>1</v>
      </c>
      <c r="E1704" t="s">
        <v>54</v>
      </c>
      <c r="F1704" t="s">
        <v>55</v>
      </c>
      <c r="G1704" t="s">
        <v>1366</v>
      </c>
      <c r="H1704" t="s">
        <v>15</v>
      </c>
      <c r="I1704" s="26" t="s">
        <v>378</v>
      </c>
    </row>
    <row r="1705" spans="1:9" x14ac:dyDescent="0.3">
      <c r="A1705" s="24">
        <v>45362</v>
      </c>
      <c r="B1705" t="s">
        <v>374</v>
      </c>
      <c r="C1705" t="s">
        <v>123</v>
      </c>
      <c r="D1705">
        <v>4</v>
      </c>
      <c r="E1705" t="s">
        <v>54</v>
      </c>
      <c r="F1705" t="s">
        <v>55</v>
      </c>
      <c r="G1705" t="e">
        <f>- browse for table partitions - coordinate access card request to Compass - check requirements of AP Specialist, coordinate start date - endorse Xavi to APE coordinator</f>
        <v>#NAME?</v>
      </c>
      <c r="H1705" t="s">
        <v>15</v>
      </c>
      <c r="I1705" s="26" t="s">
        <v>378</v>
      </c>
    </row>
    <row r="1706" spans="1:9" x14ac:dyDescent="0.3">
      <c r="A1706" s="24">
        <v>45362</v>
      </c>
      <c r="B1706" t="s">
        <v>374</v>
      </c>
      <c r="C1706" t="s">
        <v>123</v>
      </c>
      <c r="D1706">
        <v>4</v>
      </c>
      <c r="E1706" t="s">
        <v>54</v>
      </c>
      <c r="F1706" t="s">
        <v>55</v>
      </c>
      <c r="G1706" t="e">
        <f>- revise training Bond Agreement - revise Employee Variation Agreement - prepare Trip to AU letter / Educational Assistance Bond - General Admin</f>
        <v>#NAME?</v>
      </c>
      <c r="H1706" t="s">
        <v>15</v>
      </c>
      <c r="I1706" s="26" t="s">
        <v>378</v>
      </c>
    </row>
    <row r="1707" spans="1:9" x14ac:dyDescent="0.3">
      <c r="A1707" s="24">
        <v>45363</v>
      </c>
      <c r="B1707" t="s">
        <v>28</v>
      </c>
      <c r="C1707" t="s">
        <v>29</v>
      </c>
      <c r="D1707">
        <v>0.03</v>
      </c>
      <c r="E1707" t="s">
        <v>61</v>
      </c>
      <c r="F1707" t="s">
        <v>31</v>
      </c>
      <c r="G1707" t="s">
        <v>32</v>
      </c>
      <c r="H1707" t="s">
        <v>15</v>
      </c>
      <c r="I1707" s="26" t="s">
        <v>576</v>
      </c>
    </row>
    <row r="1708" spans="1:9" x14ac:dyDescent="0.3">
      <c r="A1708" s="24">
        <v>45363</v>
      </c>
      <c r="B1708" t="s">
        <v>28</v>
      </c>
      <c r="C1708" t="s">
        <v>29</v>
      </c>
      <c r="D1708">
        <v>0.03</v>
      </c>
      <c r="E1708" t="s">
        <v>30</v>
      </c>
      <c r="F1708" t="s">
        <v>31</v>
      </c>
      <c r="G1708" t="s">
        <v>1367</v>
      </c>
      <c r="H1708" t="s">
        <v>15</v>
      </c>
      <c r="I1708" s="26" t="s">
        <v>576</v>
      </c>
    </row>
    <row r="1709" spans="1:9" x14ac:dyDescent="0.3">
      <c r="A1709" s="24">
        <v>45363</v>
      </c>
      <c r="B1709" t="s">
        <v>28</v>
      </c>
      <c r="C1709" t="s">
        <v>29</v>
      </c>
      <c r="D1709">
        <v>0.08</v>
      </c>
      <c r="E1709" t="s">
        <v>45</v>
      </c>
      <c r="F1709" t="s">
        <v>31</v>
      </c>
      <c r="G1709" t="s">
        <v>1079</v>
      </c>
      <c r="H1709" t="s">
        <v>15</v>
      </c>
      <c r="I1709" s="26" t="s">
        <v>576</v>
      </c>
    </row>
    <row r="1710" spans="1:9" x14ac:dyDescent="0.3">
      <c r="A1710" s="24">
        <v>45363</v>
      </c>
      <c r="B1710" t="s">
        <v>28</v>
      </c>
      <c r="C1710" t="s">
        <v>29</v>
      </c>
      <c r="D1710">
        <v>0.08</v>
      </c>
      <c r="E1710" t="s">
        <v>30</v>
      </c>
      <c r="F1710" t="s">
        <v>31</v>
      </c>
      <c r="G1710" t="s">
        <v>753</v>
      </c>
      <c r="H1710" t="s">
        <v>15</v>
      </c>
      <c r="I1710" s="26" t="s">
        <v>576</v>
      </c>
    </row>
    <row r="1711" spans="1:9" x14ac:dyDescent="0.3">
      <c r="A1711" s="24">
        <v>45363</v>
      </c>
      <c r="B1711" t="s">
        <v>28</v>
      </c>
      <c r="C1711" t="s">
        <v>29</v>
      </c>
      <c r="D1711">
        <v>0.17</v>
      </c>
      <c r="E1711" t="s">
        <v>42</v>
      </c>
      <c r="F1711" t="s">
        <v>31</v>
      </c>
      <c r="G1711" t="s">
        <v>43</v>
      </c>
      <c r="H1711" t="s">
        <v>15</v>
      </c>
      <c r="I1711" s="26" t="s">
        <v>576</v>
      </c>
    </row>
    <row r="1712" spans="1:9" x14ac:dyDescent="0.3">
      <c r="A1712" s="24">
        <v>45363</v>
      </c>
      <c r="B1712" t="s">
        <v>28</v>
      </c>
      <c r="C1712" t="s">
        <v>29</v>
      </c>
      <c r="D1712">
        <v>0.18</v>
      </c>
      <c r="E1712" t="s">
        <v>30</v>
      </c>
      <c r="F1712" t="s">
        <v>31</v>
      </c>
      <c r="G1712" t="s">
        <v>1368</v>
      </c>
      <c r="H1712" t="s">
        <v>15</v>
      </c>
      <c r="I1712" s="26" t="s">
        <v>576</v>
      </c>
    </row>
    <row r="1713" spans="1:9" x14ac:dyDescent="0.3">
      <c r="A1713" s="24">
        <v>45363</v>
      </c>
      <c r="B1713" t="s">
        <v>28</v>
      </c>
      <c r="C1713" t="s">
        <v>29</v>
      </c>
      <c r="D1713">
        <v>0.2</v>
      </c>
      <c r="E1713" t="s">
        <v>35</v>
      </c>
      <c r="F1713" t="s">
        <v>31</v>
      </c>
      <c r="G1713" t="s">
        <v>47</v>
      </c>
      <c r="H1713" t="s">
        <v>15</v>
      </c>
      <c r="I1713" s="26" t="s">
        <v>576</v>
      </c>
    </row>
    <row r="1714" spans="1:9" x14ac:dyDescent="0.3">
      <c r="A1714" s="24">
        <v>45363</v>
      </c>
      <c r="B1714" t="s">
        <v>28</v>
      </c>
      <c r="C1714" t="s">
        <v>29</v>
      </c>
      <c r="D1714">
        <v>0.22</v>
      </c>
      <c r="E1714" t="s">
        <v>44</v>
      </c>
      <c r="F1714" t="s">
        <v>31</v>
      </c>
      <c r="G1714" t="s">
        <v>43</v>
      </c>
      <c r="H1714" t="s">
        <v>15</v>
      </c>
      <c r="I1714" s="26" t="s">
        <v>576</v>
      </c>
    </row>
    <row r="1715" spans="1:9" x14ac:dyDescent="0.3">
      <c r="A1715" s="24">
        <v>45363</v>
      </c>
      <c r="B1715" t="s">
        <v>28</v>
      </c>
      <c r="C1715" t="s">
        <v>29</v>
      </c>
      <c r="D1715">
        <v>0.23</v>
      </c>
      <c r="E1715" t="s">
        <v>49</v>
      </c>
      <c r="F1715" t="s">
        <v>31</v>
      </c>
      <c r="G1715" t="s">
        <v>34</v>
      </c>
      <c r="H1715" t="s">
        <v>15</v>
      </c>
      <c r="I1715" s="26" t="s">
        <v>576</v>
      </c>
    </row>
    <row r="1716" spans="1:9" x14ac:dyDescent="0.3">
      <c r="A1716" s="24">
        <v>45363</v>
      </c>
      <c r="B1716" t="s">
        <v>28</v>
      </c>
      <c r="C1716" t="s">
        <v>29</v>
      </c>
      <c r="D1716">
        <v>0.28000000000000003</v>
      </c>
      <c r="E1716" t="s">
        <v>40</v>
      </c>
      <c r="F1716" t="s">
        <v>31</v>
      </c>
      <c r="G1716" t="s">
        <v>579</v>
      </c>
      <c r="H1716" t="s">
        <v>15</v>
      </c>
      <c r="I1716" s="26" t="s">
        <v>576</v>
      </c>
    </row>
    <row r="1717" spans="1:9" x14ac:dyDescent="0.3">
      <c r="A1717" s="24">
        <v>45363</v>
      </c>
      <c r="B1717" t="s">
        <v>28</v>
      </c>
      <c r="C1717" t="s">
        <v>29</v>
      </c>
      <c r="D1717">
        <v>0.28000000000000003</v>
      </c>
      <c r="E1717" t="s">
        <v>42</v>
      </c>
      <c r="F1717" t="s">
        <v>31</v>
      </c>
      <c r="G1717" t="s">
        <v>1369</v>
      </c>
      <c r="H1717" t="s">
        <v>15</v>
      </c>
      <c r="I1717" s="26" t="s">
        <v>576</v>
      </c>
    </row>
    <row r="1718" spans="1:9" x14ac:dyDescent="0.3">
      <c r="A1718" s="24">
        <v>45363</v>
      </c>
      <c r="B1718" t="s">
        <v>28</v>
      </c>
      <c r="C1718" t="s">
        <v>29</v>
      </c>
      <c r="D1718">
        <v>0.3</v>
      </c>
      <c r="E1718" t="s">
        <v>39</v>
      </c>
      <c r="F1718" t="s">
        <v>31</v>
      </c>
      <c r="G1718" t="s">
        <v>38</v>
      </c>
      <c r="H1718" t="s">
        <v>15</v>
      </c>
      <c r="I1718" s="26" t="s">
        <v>576</v>
      </c>
    </row>
    <row r="1719" spans="1:9" x14ac:dyDescent="0.3">
      <c r="A1719" s="24">
        <v>45363</v>
      </c>
      <c r="B1719" t="s">
        <v>28</v>
      </c>
      <c r="C1719" t="s">
        <v>29</v>
      </c>
      <c r="D1719">
        <v>0.33</v>
      </c>
      <c r="E1719" t="s">
        <v>42</v>
      </c>
      <c r="F1719" t="s">
        <v>31</v>
      </c>
      <c r="G1719" t="s">
        <v>1370</v>
      </c>
      <c r="H1719" t="s">
        <v>15</v>
      </c>
      <c r="I1719" s="26" t="s">
        <v>576</v>
      </c>
    </row>
    <row r="1720" spans="1:9" x14ac:dyDescent="0.3">
      <c r="A1720" s="24">
        <v>45363</v>
      </c>
      <c r="B1720" t="s">
        <v>28</v>
      </c>
      <c r="C1720" t="s">
        <v>29</v>
      </c>
      <c r="D1720">
        <v>0.5</v>
      </c>
      <c r="E1720" t="s">
        <v>30</v>
      </c>
      <c r="F1720" t="s">
        <v>31</v>
      </c>
      <c r="G1720" t="s">
        <v>1371</v>
      </c>
      <c r="H1720" t="s">
        <v>15</v>
      </c>
      <c r="I1720" s="26" t="s">
        <v>576</v>
      </c>
    </row>
    <row r="1721" spans="1:9" x14ac:dyDescent="0.3">
      <c r="A1721" s="24">
        <v>45363</v>
      </c>
      <c r="B1721" t="s">
        <v>28</v>
      </c>
      <c r="C1721" t="s">
        <v>29</v>
      </c>
      <c r="D1721">
        <v>0.56999999999999995</v>
      </c>
      <c r="E1721" t="s">
        <v>30</v>
      </c>
      <c r="F1721" t="s">
        <v>31</v>
      </c>
      <c r="G1721" t="s">
        <v>1372</v>
      </c>
      <c r="H1721" t="s">
        <v>15</v>
      </c>
      <c r="I1721" s="26" t="s">
        <v>576</v>
      </c>
    </row>
    <row r="1722" spans="1:9" x14ac:dyDescent="0.3">
      <c r="A1722" s="24">
        <v>45363</v>
      </c>
      <c r="B1722" t="s">
        <v>28</v>
      </c>
      <c r="C1722" t="s">
        <v>29</v>
      </c>
      <c r="D1722">
        <v>0.78</v>
      </c>
      <c r="E1722" t="s">
        <v>30</v>
      </c>
      <c r="F1722" t="s">
        <v>31</v>
      </c>
      <c r="G1722" t="s">
        <v>1373</v>
      </c>
      <c r="H1722" t="s">
        <v>15</v>
      </c>
      <c r="I1722" s="26" t="s">
        <v>576</v>
      </c>
    </row>
    <row r="1723" spans="1:9" x14ac:dyDescent="0.3">
      <c r="A1723" s="24">
        <v>45363</v>
      </c>
      <c r="B1723" t="s">
        <v>28</v>
      </c>
      <c r="C1723" t="s">
        <v>29</v>
      </c>
      <c r="D1723">
        <v>0.78</v>
      </c>
      <c r="E1723" t="s">
        <v>42</v>
      </c>
      <c r="F1723" t="s">
        <v>31</v>
      </c>
      <c r="G1723" t="s">
        <v>38</v>
      </c>
      <c r="H1723" t="s">
        <v>15</v>
      </c>
      <c r="I1723" s="26" t="s">
        <v>576</v>
      </c>
    </row>
    <row r="1724" spans="1:9" x14ac:dyDescent="0.3">
      <c r="A1724" s="24">
        <v>45363</v>
      </c>
      <c r="B1724" t="s">
        <v>28</v>
      </c>
      <c r="C1724" t="s">
        <v>29</v>
      </c>
      <c r="D1724">
        <v>1.65</v>
      </c>
      <c r="E1724" t="s">
        <v>49</v>
      </c>
      <c r="F1724" t="s">
        <v>31</v>
      </c>
      <c r="G1724" t="s">
        <v>579</v>
      </c>
      <c r="H1724" t="s">
        <v>15</v>
      </c>
      <c r="I1724" s="26" t="s">
        <v>576</v>
      </c>
    </row>
    <row r="1725" spans="1:9" x14ac:dyDescent="0.3">
      <c r="A1725" s="24">
        <v>45363</v>
      </c>
      <c r="B1725" t="s">
        <v>28</v>
      </c>
      <c r="C1725" t="s">
        <v>53</v>
      </c>
      <c r="D1725">
        <v>0.25</v>
      </c>
      <c r="E1725" t="s">
        <v>54</v>
      </c>
      <c r="F1725" t="s">
        <v>55</v>
      </c>
      <c r="G1725" t="s">
        <v>56</v>
      </c>
      <c r="H1725" t="s">
        <v>15</v>
      </c>
      <c r="I1725" s="26" t="s">
        <v>576</v>
      </c>
    </row>
    <row r="1726" spans="1:9" x14ac:dyDescent="0.3">
      <c r="A1726" s="24">
        <v>45363</v>
      </c>
      <c r="B1726" t="s">
        <v>28</v>
      </c>
      <c r="C1726" t="s">
        <v>53</v>
      </c>
      <c r="D1726">
        <v>0.25</v>
      </c>
      <c r="E1726" t="s">
        <v>54</v>
      </c>
      <c r="F1726" t="s">
        <v>55</v>
      </c>
      <c r="G1726" t="s">
        <v>57</v>
      </c>
      <c r="H1726" t="s">
        <v>15</v>
      </c>
      <c r="I1726" s="26" t="s">
        <v>576</v>
      </c>
    </row>
    <row r="1727" spans="1:9" x14ac:dyDescent="0.3">
      <c r="A1727" s="24">
        <v>45363</v>
      </c>
      <c r="B1727" t="s">
        <v>28</v>
      </c>
      <c r="C1727" t="s">
        <v>60</v>
      </c>
      <c r="D1727">
        <v>0.03</v>
      </c>
      <c r="E1727" t="s">
        <v>44</v>
      </c>
      <c r="F1727" t="s">
        <v>31</v>
      </c>
      <c r="G1727" t="s">
        <v>32</v>
      </c>
      <c r="H1727" t="s">
        <v>15</v>
      </c>
      <c r="I1727" s="26" t="s">
        <v>576</v>
      </c>
    </row>
    <row r="1728" spans="1:9" x14ac:dyDescent="0.3">
      <c r="A1728" s="24">
        <v>45363</v>
      </c>
      <c r="B1728" t="s">
        <v>28</v>
      </c>
      <c r="C1728" t="s">
        <v>60</v>
      </c>
      <c r="D1728">
        <v>0.05</v>
      </c>
      <c r="E1728" t="s">
        <v>44</v>
      </c>
      <c r="F1728" t="s">
        <v>31</v>
      </c>
      <c r="G1728" t="s">
        <v>243</v>
      </c>
      <c r="H1728" t="s">
        <v>15</v>
      </c>
      <c r="I1728" s="26" t="s">
        <v>576</v>
      </c>
    </row>
    <row r="1729" spans="1:9" x14ac:dyDescent="0.3">
      <c r="A1729" s="24">
        <v>45363</v>
      </c>
      <c r="B1729" t="s">
        <v>28</v>
      </c>
      <c r="C1729" t="s">
        <v>60</v>
      </c>
      <c r="D1729">
        <v>0.05</v>
      </c>
      <c r="E1729" t="s">
        <v>48</v>
      </c>
      <c r="F1729" t="s">
        <v>31</v>
      </c>
      <c r="G1729" t="s">
        <v>753</v>
      </c>
      <c r="H1729" t="s">
        <v>15</v>
      </c>
      <c r="I1729" s="26" t="s">
        <v>576</v>
      </c>
    </row>
    <row r="1730" spans="1:9" x14ac:dyDescent="0.3">
      <c r="A1730" s="24">
        <v>45363</v>
      </c>
      <c r="B1730" t="s">
        <v>28</v>
      </c>
      <c r="C1730" t="s">
        <v>60</v>
      </c>
      <c r="D1730">
        <v>0.2</v>
      </c>
      <c r="E1730" t="s">
        <v>44</v>
      </c>
      <c r="F1730" t="s">
        <v>31</v>
      </c>
      <c r="G1730" t="s">
        <v>1374</v>
      </c>
      <c r="H1730" t="s">
        <v>15</v>
      </c>
      <c r="I1730" s="26" t="s">
        <v>576</v>
      </c>
    </row>
    <row r="1731" spans="1:9" x14ac:dyDescent="0.3">
      <c r="A1731" s="24">
        <v>45363</v>
      </c>
      <c r="B1731" t="s">
        <v>28</v>
      </c>
      <c r="C1731" t="s">
        <v>60</v>
      </c>
      <c r="D1731">
        <v>0.45</v>
      </c>
      <c r="E1731" t="s">
        <v>62</v>
      </c>
      <c r="F1731" t="s">
        <v>31</v>
      </c>
      <c r="H1731" t="s">
        <v>15</v>
      </c>
      <c r="I1731" s="26" t="s">
        <v>576</v>
      </c>
    </row>
    <row r="1732" spans="1:9" x14ac:dyDescent="0.3">
      <c r="A1732" s="24">
        <v>45363</v>
      </c>
      <c r="B1732" t="s">
        <v>64</v>
      </c>
      <c r="C1732" t="s">
        <v>173</v>
      </c>
      <c r="D1732">
        <v>0.33</v>
      </c>
      <c r="E1732" t="s">
        <v>162</v>
      </c>
      <c r="F1732" t="s">
        <v>31</v>
      </c>
      <c r="G1732" t="s">
        <v>1375</v>
      </c>
      <c r="H1732" t="s">
        <v>15</v>
      </c>
      <c r="I1732" s="26" t="s">
        <v>576</v>
      </c>
    </row>
    <row r="1733" spans="1:9" x14ac:dyDescent="0.3">
      <c r="A1733" s="24">
        <v>45363</v>
      </c>
      <c r="B1733" t="s">
        <v>64</v>
      </c>
      <c r="C1733" t="s">
        <v>65</v>
      </c>
      <c r="D1733">
        <v>0.75</v>
      </c>
      <c r="E1733" t="s">
        <v>66</v>
      </c>
      <c r="F1733" t="s">
        <v>31</v>
      </c>
      <c r="G1733" t="s">
        <v>1376</v>
      </c>
      <c r="H1733" t="s">
        <v>15</v>
      </c>
      <c r="I1733" s="26" t="s">
        <v>576</v>
      </c>
    </row>
    <row r="1734" spans="1:9" x14ac:dyDescent="0.3">
      <c r="A1734" s="24">
        <v>45363</v>
      </c>
      <c r="B1734" t="s">
        <v>64</v>
      </c>
      <c r="C1734" t="s">
        <v>65</v>
      </c>
      <c r="D1734">
        <v>1.25</v>
      </c>
      <c r="E1734" t="s">
        <v>66</v>
      </c>
      <c r="F1734" t="s">
        <v>31</v>
      </c>
      <c r="G1734" t="s">
        <v>1377</v>
      </c>
      <c r="H1734" t="s">
        <v>15</v>
      </c>
      <c r="I1734" s="26" t="s">
        <v>576</v>
      </c>
    </row>
    <row r="1735" spans="1:9" x14ac:dyDescent="0.3">
      <c r="A1735" s="24">
        <v>45363</v>
      </c>
      <c r="B1735" t="s">
        <v>72</v>
      </c>
      <c r="C1735" t="s">
        <v>29</v>
      </c>
      <c r="D1735">
        <v>0.23</v>
      </c>
      <c r="E1735" t="s">
        <v>30</v>
      </c>
      <c r="F1735" t="s">
        <v>55</v>
      </c>
      <c r="G1735" t="s">
        <v>1378</v>
      </c>
      <c r="H1735" t="s">
        <v>15</v>
      </c>
      <c r="I1735" s="26" t="s">
        <v>576</v>
      </c>
    </row>
    <row r="1736" spans="1:9" x14ac:dyDescent="0.3">
      <c r="A1736" s="24">
        <v>45363</v>
      </c>
      <c r="B1736" t="s">
        <v>72</v>
      </c>
      <c r="C1736" t="s">
        <v>29</v>
      </c>
      <c r="D1736">
        <v>0.28000000000000003</v>
      </c>
      <c r="E1736" t="s">
        <v>30</v>
      </c>
      <c r="F1736" t="s">
        <v>55</v>
      </c>
      <c r="G1736" t="s">
        <v>1379</v>
      </c>
      <c r="H1736" t="s">
        <v>15</v>
      </c>
      <c r="I1736" s="26" t="s">
        <v>576</v>
      </c>
    </row>
    <row r="1737" spans="1:9" x14ac:dyDescent="0.3">
      <c r="A1737" s="24">
        <v>45363</v>
      </c>
      <c r="B1737" t="s">
        <v>72</v>
      </c>
      <c r="C1737" t="s">
        <v>29</v>
      </c>
      <c r="D1737">
        <v>0.77</v>
      </c>
      <c r="E1737" t="s">
        <v>42</v>
      </c>
      <c r="F1737" t="s">
        <v>31</v>
      </c>
      <c r="G1737" t="s">
        <v>1380</v>
      </c>
      <c r="H1737" t="s">
        <v>15</v>
      </c>
      <c r="I1737" s="26" t="s">
        <v>576</v>
      </c>
    </row>
    <row r="1738" spans="1:9" x14ac:dyDescent="0.3">
      <c r="A1738" s="24">
        <v>45363</v>
      </c>
      <c r="B1738" t="s">
        <v>72</v>
      </c>
      <c r="C1738" t="s">
        <v>29</v>
      </c>
      <c r="D1738">
        <v>1.1299999999999999</v>
      </c>
      <c r="E1738" t="s">
        <v>156</v>
      </c>
      <c r="F1738" t="s">
        <v>31</v>
      </c>
      <c r="H1738" t="s">
        <v>15</v>
      </c>
      <c r="I1738" s="26" t="s">
        <v>576</v>
      </c>
    </row>
    <row r="1739" spans="1:9" x14ac:dyDescent="0.3">
      <c r="A1739" s="24">
        <v>45363</v>
      </c>
      <c r="B1739" t="s">
        <v>72</v>
      </c>
      <c r="C1739" t="s">
        <v>29</v>
      </c>
      <c r="D1739">
        <v>1.92</v>
      </c>
      <c r="E1739" t="s">
        <v>358</v>
      </c>
      <c r="F1739" t="s">
        <v>31</v>
      </c>
      <c r="H1739" t="s">
        <v>15</v>
      </c>
      <c r="I1739" s="26" t="s">
        <v>576</v>
      </c>
    </row>
    <row r="1740" spans="1:9" x14ac:dyDescent="0.3">
      <c r="A1740" s="24">
        <v>45363</v>
      </c>
      <c r="B1740" t="s">
        <v>72</v>
      </c>
      <c r="C1740" t="s">
        <v>53</v>
      </c>
      <c r="D1740">
        <v>0.13</v>
      </c>
      <c r="E1740" t="s">
        <v>54</v>
      </c>
      <c r="F1740" t="s">
        <v>55</v>
      </c>
      <c r="G1740" t="s">
        <v>1381</v>
      </c>
      <c r="H1740" t="s">
        <v>15</v>
      </c>
      <c r="I1740" s="26" t="s">
        <v>576</v>
      </c>
    </row>
    <row r="1741" spans="1:9" x14ac:dyDescent="0.3">
      <c r="A1741" s="24">
        <v>45363</v>
      </c>
      <c r="B1741" t="s">
        <v>72</v>
      </c>
      <c r="C1741" t="s">
        <v>53</v>
      </c>
      <c r="D1741">
        <v>0.65</v>
      </c>
      <c r="E1741" t="s">
        <v>54</v>
      </c>
      <c r="F1741" t="s">
        <v>55</v>
      </c>
      <c r="G1741" t="s">
        <v>1382</v>
      </c>
      <c r="H1741" t="s">
        <v>15</v>
      </c>
      <c r="I1741" s="26" t="s">
        <v>576</v>
      </c>
    </row>
    <row r="1742" spans="1:9" x14ac:dyDescent="0.3">
      <c r="A1742" s="24">
        <v>45363</v>
      </c>
      <c r="B1742" t="s">
        <v>72</v>
      </c>
      <c r="C1742" t="s">
        <v>53</v>
      </c>
      <c r="D1742">
        <v>1.23</v>
      </c>
      <c r="E1742" t="s">
        <v>54</v>
      </c>
      <c r="F1742" t="s">
        <v>55</v>
      </c>
      <c r="G1742" t="s">
        <v>1383</v>
      </c>
      <c r="H1742" t="s">
        <v>15</v>
      </c>
      <c r="I1742" s="26" t="s">
        <v>576</v>
      </c>
    </row>
    <row r="1743" spans="1:9" x14ac:dyDescent="0.3">
      <c r="A1743" s="24">
        <v>45363</v>
      </c>
      <c r="B1743" t="s">
        <v>72</v>
      </c>
      <c r="C1743" t="s">
        <v>53</v>
      </c>
      <c r="D1743">
        <v>1.67</v>
      </c>
      <c r="E1743" t="s">
        <v>54</v>
      </c>
      <c r="F1743" t="s">
        <v>55</v>
      </c>
      <c r="G1743" t="s">
        <v>1384</v>
      </c>
      <c r="H1743" t="s">
        <v>15</v>
      </c>
      <c r="I1743" s="26" t="s">
        <v>576</v>
      </c>
    </row>
    <row r="1744" spans="1:9" x14ac:dyDescent="0.3">
      <c r="A1744" s="24">
        <v>45363</v>
      </c>
      <c r="B1744" t="s">
        <v>75</v>
      </c>
      <c r="C1744" t="s">
        <v>77</v>
      </c>
      <c r="D1744">
        <v>8</v>
      </c>
      <c r="E1744" t="s">
        <v>54</v>
      </c>
      <c r="F1744" t="s">
        <v>55</v>
      </c>
      <c r="G1744" t="s">
        <v>1385</v>
      </c>
      <c r="H1744" t="s">
        <v>15</v>
      </c>
      <c r="I1744" s="26" t="s">
        <v>576</v>
      </c>
    </row>
    <row r="1745" spans="1:9" x14ac:dyDescent="0.3">
      <c r="A1745" s="24">
        <v>45363</v>
      </c>
      <c r="B1745" t="s">
        <v>79</v>
      </c>
      <c r="C1745" t="s">
        <v>77</v>
      </c>
      <c r="D1745">
        <v>7</v>
      </c>
      <c r="E1745" t="s">
        <v>54</v>
      </c>
      <c r="F1745" t="s">
        <v>55</v>
      </c>
      <c r="H1745" t="s">
        <v>15</v>
      </c>
      <c r="I1745" s="26" t="s">
        <v>576</v>
      </c>
    </row>
    <row r="1746" spans="1:9" x14ac:dyDescent="0.3">
      <c r="A1746" s="24">
        <v>45363</v>
      </c>
      <c r="B1746" t="s">
        <v>80</v>
      </c>
      <c r="C1746" t="s">
        <v>29</v>
      </c>
      <c r="D1746">
        <v>1.47</v>
      </c>
      <c r="E1746" t="s">
        <v>81</v>
      </c>
      <c r="F1746" t="s">
        <v>31</v>
      </c>
      <c r="G1746" t="s">
        <v>1386</v>
      </c>
      <c r="H1746" t="s">
        <v>15</v>
      </c>
      <c r="I1746" s="26" t="s">
        <v>576</v>
      </c>
    </row>
    <row r="1747" spans="1:9" x14ac:dyDescent="0.3">
      <c r="A1747" s="24">
        <v>45363</v>
      </c>
      <c r="B1747" t="s">
        <v>80</v>
      </c>
      <c r="C1747" t="s">
        <v>29</v>
      </c>
      <c r="D1747">
        <v>1.75</v>
      </c>
      <c r="E1747" t="s">
        <v>81</v>
      </c>
      <c r="F1747" t="s">
        <v>31</v>
      </c>
      <c r="G1747" t="s">
        <v>1387</v>
      </c>
      <c r="H1747" t="s">
        <v>15</v>
      </c>
      <c r="I1747" s="26" t="s">
        <v>576</v>
      </c>
    </row>
    <row r="1748" spans="1:9" x14ac:dyDescent="0.3">
      <c r="A1748" s="24">
        <v>45363</v>
      </c>
      <c r="B1748" t="s">
        <v>80</v>
      </c>
      <c r="C1748" t="s">
        <v>29</v>
      </c>
      <c r="D1748">
        <v>1.78</v>
      </c>
      <c r="E1748" t="s">
        <v>81</v>
      </c>
      <c r="F1748" t="s">
        <v>31</v>
      </c>
      <c r="G1748" t="s">
        <v>83</v>
      </c>
      <c r="H1748" t="s">
        <v>15</v>
      </c>
      <c r="I1748" s="26" t="s">
        <v>576</v>
      </c>
    </row>
    <row r="1749" spans="1:9" x14ac:dyDescent="0.3">
      <c r="A1749" s="24">
        <v>45363</v>
      </c>
      <c r="B1749" t="s">
        <v>80</v>
      </c>
      <c r="C1749" t="s">
        <v>29</v>
      </c>
      <c r="D1749">
        <v>3.2</v>
      </c>
      <c r="E1749" t="s">
        <v>81</v>
      </c>
      <c r="F1749" t="s">
        <v>31</v>
      </c>
      <c r="G1749" t="s">
        <v>914</v>
      </c>
      <c r="H1749" t="s">
        <v>15</v>
      </c>
      <c r="I1749" s="26" t="s">
        <v>576</v>
      </c>
    </row>
    <row r="1750" spans="1:9" x14ac:dyDescent="0.3">
      <c r="A1750" s="24">
        <v>45363</v>
      </c>
      <c r="B1750" t="s">
        <v>88</v>
      </c>
      <c r="C1750" t="s">
        <v>89</v>
      </c>
      <c r="D1750">
        <v>8</v>
      </c>
      <c r="E1750" t="s">
        <v>54</v>
      </c>
      <c r="F1750" t="s">
        <v>55</v>
      </c>
      <c r="G1750" t="s">
        <v>1388</v>
      </c>
      <c r="H1750" t="s">
        <v>15</v>
      </c>
      <c r="I1750" s="26" t="s">
        <v>576</v>
      </c>
    </row>
    <row r="1751" spans="1:9" x14ac:dyDescent="0.3">
      <c r="A1751" s="24">
        <v>45363</v>
      </c>
      <c r="B1751" t="s">
        <v>93</v>
      </c>
      <c r="C1751" t="s">
        <v>94</v>
      </c>
      <c r="D1751">
        <v>0.02</v>
      </c>
      <c r="E1751" t="s">
        <v>1389</v>
      </c>
      <c r="F1751" t="s">
        <v>55</v>
      </c>
      <c r="H1751" t="s">
        <v>15</v>
      </c>
      <c r="I1751" s="26" t="s">
        <v>576</v>
      </c>
    </row>
    <row r="1752" spans="1:9" x14ac:dyDescent="0.3">
      <c r="A1752" s="24">
        <v>45363</v>
      </c>
      <c r="B1752" t="s">
        <v>93</v>
      </c>
      <c r="C1752" t="s">
        <v>94</v>
      </c>
      <c r="D1752">
        <v>0.02</v>
      </c>
      <c r="E1752" t="s">
        <v>1390</v>
      </c>
      <c r="F1752" t="s">
        <v>55</v>
      </c>
      <c r="H1752" t="s">
        <v>15</v>
      </c>
      <c r="I1752" s="26" t="s">
        <v>576</v>
      </c>
    </row>
    <row r="1753" spans="1:9" x14ac:dyDescent="0.3">
      <c r="A1753" s="24">
        <v>45363</v>
      </c>
      <c r="B1753" t="s">
        <v>97</v>
      </c>
      <c r="C1753" t="s">
        <v>89</v>
      </c>
      <c r="D1753">
        <v>4.5</v>
      </c>
      <c r="E1753" t="s">
        <v>54</v>
      </c>
      <c r="F1753" t="s">
        <v>55</v>
      </c>
      <c r="G1753" t="s">
        <v>1391</v>
      </c>
      <c r="H1753" t="s">
        <v>15</v>
      </c>
      <c r="I1753" s="26" t="s">
        <v>576</v>
      </c>
    </row>
    <row r="1754" spans="1:9" x14ac:dyDescent="0.3">
      <c r="A1754" s="24">
        <v>45363</v>
      </c>
      <c r="B1754" t="s">
        <v>99</v>
      </c>
      <c r="C1754" t="s">
        <v>89</v>
      </c>
      <c r="D1754">
        <v>9.25</v>
      </c>
      <c r="E1754" t="s">
        <v>54</v>
      </c>
      <c r="F1754" t="s">
        <v>55</v>
      </c>
      <c r="G1754" t="s">
        <v>1392</v>
      </c>
      <c r="H1754" t="s">
        <v>15</v>
      </c>
      <c r="I1754" s="26" t="s">
        <v>576</v>
      </c>
    </row>
    <row r="1755" spans="1:9" x14ac:dyDescent="0.3">
      <c r="A1755" s="24">
        <v>45363</v>
      </c>
      <c r="B1755" t="s">
        <v>101</v>
      </c>
      <c r="C1755" t="s">
        <v>29</v>
      </c>
      <c r="D1755">
        <v>0.17</v>
      </c>
      <c r="E1755" t="s">
        <v>195</v>
      </c>
      <c r="F1755" t="s">
        <v>31</v>
      </c>
      <c r="G1755" t="s">
        <v>1393</v>
      </c>
      <c r="H1755" t="s">
        <v>15</v>
      </c>
      <c r="I1755" s="26" t="s">
        <v>576</v>
      </c>
    </row>
    <row r="1756" spans="1:9" x14ac:dyDescent="0.3">
      <c r="A1756" s="24">
        <v>45363</v>
      </c>
      <c r="B1756" t="s">
        <v>101</v>
      </c>
      <c r="C1756" t="s">
        <v>29</v>
      </c>
      <c r="D1756">
        <v>0.42</v>
      </c>
      <c r="E1756" t="s">
        <v>108</v>
      </c>
      <c r="F1756" t="s">
        <v>31</v>
      </c>
      <c r="G1756" t="s">
        <v>1394</v>
      </c>
      <c r="H1756" t="s">
        <v>15</v>
      </c>
      <c r="I1756" s="26" t="s">
        <v>576</v>
      </c>
    </row>
    <row r="1757" spans="1:9" x14ac:dyDescent="0.3">
      <c r="A1757" s="24">
        <v>45363</v>
      </c>
      <c r="B1757" t="s">
        <v>101</v>
      </c>
      <c r="C1757" t="s">
        <v>29</v>
      </c>
      <c r="D1757">
        <v>0.92</v>
      </c>
      <c r="E1757" t="s">
        <v>725</v>
      </c>
      <c r="F1757" t="s">
        <v>31</v>
      </c>
      <c r="G1757" t="s">
        <v>1395</v>
      </c>
      <c r="H1757" t="s">
        <v>15</v>
      </c>
      <c r="I1757" s="26" t="s">
        <v>576</v>
      </c>
    </row>
    <row r="1758" spans="1:9" x14ac:dyDescent="0.3">
      <c r="A1758" s="24">
        <v>45363</v>
      </c>
      <c r="B1758" t="s">
        <v>101</v>
      </c>
      <c r="C1758" t="s">
        <v>53</v>
      </c>
      <c r="D1758">
        <v>0.5</v>
      </c>
      <c r="E1758" t="s">
        <v>54</v>
      </c>
      <c r="F1758" t="s">
        <v>55</v>
      </c>
      <c r="G1758" t="s">
        <v>110</v>
      </c>
      <c r="H1758" t="s">
        <v>15</v>
      </c>
      <c r="I1758" s="26" t="s">
        <v>576</v>
      </c>
    </row>
    <row r="1759" spans="1:9" x14ac:dyDescent="0.3">
      <c r="A1759" s="24">
        <v>45363</v>
      </c>
      <c r="B1759" t="s">
        <v>101</v>
      </c>
      <c r="C1759" t="s">
        <v>60</v>
      </c>
      <c r="D1759">
        <v>1.25</v>
      </c>
      <c r="E1759" t="s">
        <v>295</v>
      </c>
      <c r="F1759" t="s">
        <v>55</v>
      </c>
      <c r="G1759" t="s">
        <v>1396</v>
      </c>
      <c r="H1759" t="s">
        <v>15</v>
      </c>
      <c r="I1759" s="26" t="s">
        <v>576</v>
      </c>
    </row>
    <row r="1760" spans="1:9" x14ac:dyDescent="0.3">
      <c r="A1760" s="24">
        <v>45363</v>
      </c>
      <c r="B1760" t="s">
        <v>101</v>
      </c>
      <c r="C1760" t="s">
        <v>60</v>
      </c>
      <c r="D1760">
        <v>4.75</v>
      </c>
      <c r="E1760" t="s">
        <v>295</v>
      </c>
      <c r="F1760" t="s">
        <v>31</v>
      </c>
      <c r="G1760" t="s">
        <v>1397</v>
      </c>
      <c r="H1760" t="s">
        <v>15</v>
      </c>
      <c r="I1760" s="26" t="s">
        <v>576</v>
      </c>
    </row>
    <row r="1761" spans="1:9" x14ac:dyDescent="0.3">
      <c r="A1761" s="24">
        <v>45363</v>
      </c>
      <c r="B1761" t="s">
        <v>402</v>
      </c>
      <c r="C1761" t="s">
        <v>405</v>
      </c>
      <c r="D1761">
        <v>0.5</v>
      </c>
      <c r="E1761" t="s">
        <v>42</v>
      </c>
      <c r="F1761" t="s">
        <v>31</v>
      </c>
      <c r="G1761" t="s">
        <v>1398</v>
      </c>
      <c r="H1761" t="s">
        <v>15</v>
      </c>
      <c r="I1761" s="26" t="s">
        <v>576</v>
      </c>
    </row>
    <row r="1762" spans="1:9" x14ac:dyDescent="0.3">
      <c r="A1762" s="24">
        <v>45363</v>
      </c>
      <c r="B1762" t="s">
        <v>407</v>
      </c>
      <c r="C1762" t="s">
        <v>408</v>
      </c>
      <c r="D1762">
        <v>1</v>
      </c>
      <c r="E1762" t="s">
        <v>409</v>
      </c>
      <c r="F1762" t="s">
        <v>31</v>
      </c>
      <c r="G1762" t="s">
        <v>1399</v>
      </c>
      <c r="H1762" t="s">
        <v>15</v>
      </c>
      <c r="I1762" s="26" t="s">
        <v>576</v>
      </c>
    </row>
    <row r="1763" spans="1:9" x14ac:dyDescent="0.3">
      <c r="A1763" s="24">
        <v>45363</v>
      </c>
      <c r="B1763" t="s">
        <v>113</v>
      </c>
      <c r="C1763" t="s">
        <v>29</v>
      </c>
      <c r="D1763">
        <v>0.22</v>
      </c>
      <c r="E1763" t="s">
        <v>291</v>
      </c>
      <c r="F1763" t="s">
        <v>55</v>
      </c>
      <c r="G1763" t="s">
        <v>1400</v>
      </c>
      <c r="H1763" t="s">
        <v>15</v>
      </c>
      <c r="I1763" s="26" t="s">
        <v>576</v>
      </c>
    </row>
    <row r="1764" spans="1:9" x14ac:dyDescent="0.3">
      <c r="A1764" s="24">
        <v>45363</v>
      </c>
      <c r="B1764" t="s">
        <v>113</v>
      </c>
      <c r="C1764" t="s">
        <v>29</v>
      </c>
      <c r="D1764">
        <v>0.28000000000000003</v>
      </c>
      <c r="E1764" t="s">
        <v>143</v>
      </c>
      <c r="F1764" t="s">
        <v>31</v>
      </c>
      <c r="G1764" t="s">
        <v>1401</v>
      </c>
      <c r="H1764" t="s">
        <v>15</v>
      </c>
      <c r="I1764" s="26" t="s">
        <v>576</v>
      </c>
    </row>
    <row r="1765" spans="1:9" x14ac:dyDescent="0.3">
      <c r="A1765" s="24">
        <v>45363</v>
      </c>
      <c r="B1765" t="s">
        <v>113</v>
      </c>
      <c r="C1765" t="s">
        <v>29</v>
      </c>
      <c r="D1765">
        <v>0.28000000000000003</v>
      </c>
      <c r="E1765" t="s">
        <v>214</v>
      </c>
      <c r="F1765" t="s">
        <v>31</v>
      </c>
      <c r="G1765" t="s">
        <v>115</v>
      </c>
      <c r="H1765" t="s">
        <v>15</v>
      </c>
      <c r="I1765" s="26" t="s">
        <v>576</v>
      </c>
    </row>
    <row r="1766" spans="1:9" x14ac:dyDescent="0.3">
      <c r="A1766" s="24">
        <v>45363</v>
      </c>
      <c r="B1766" t="s">
        <v>113</v>
      </c>
      <c r="C1766" t="s">
        <v>29</v>
      </c>
      <c r="D1766">
        <v>0.32</v>
      </c>
      <c r="E1766" t="s">
        <v>437</v>
      </c>
      <c r="F1766" t="s">
        <v>31</v>
      </c>
      <c r="G1766" t="s">
        <v>923</v>
      </c>
      <c r="H1766" t="s">
        <v>15</v>
      </c>
      <c r="I1766" s="26" t="s">
        <v>576</v>
      </c>
    </row>
    <row r="1767" spans="1:9" x14ac:dyDescent="0.3">
      <c r="A1767" s="24">
        <v>45363</v>
      </c>
      <c r="B1767" t="s">
        <v>113</v>
      </c>
      <c r="C1767" t="s">
        <v>29</v>
      </c>
      <c r="D1767">
        <v>0.33</v>
      </c>
      <c r="E1767" t="s">
        <v>114</v>
      </c>
      <c r="F1767" t="s">
        <v>31</v>
      </c>
      <c r="G1767" t="s">
        <v>115</v>
      </c>
      <c r="H1767" t="s">
        <v>15</v>
      </c>
      <c r="I1767" s="26" t="s">
        <v>576</v>
      </c>
    </row>
    <row r="1768" spans="1:9" x14ac:dyDescent="0.3">
      <c r="A1768" s="24">
        <v>45363</v>
      </c>
      <c r="B1768" t="s">
        <v>113</v>
      </c>
      <c r="C1768" t="s">
        <v>29</v>
      </c>
      <c r="D1768">
        <v>0.35</v>
      </c>
      <c r="E1768" t="s">
        <v>127</v>
      </c>
      <c r="F1768" t="s">
        <v>31</v>
      </c>
      <c r="G1768" t="s">
        <v>1402</v>
      </c>
      <c r="H1768" t="s">
        <v>15</v>
      </c>
      <c r="I1768" s="26" t="s">
        <v>576</v>
      </c>
    </row>
    <row r="1769" spans="1:9" x14ac:dyDescent="0.3">
      <c r="A1769" s="24">
        <v>45363</v>
      </c>
      <c r="B1769" t="s">
        <v>113</v>
      </c>
      <c r="C1769" t="s">
        <v>29</v>
      </c>
      <c r="D1769">
        <v>0.45</v>
      </c>
      <c r="E1769" t="s">
        <v>114</v>
      </c>
      <c r="F1769" t="s">
        <v>31</v>
      </c>
      <c r="G1769" t="s">
        <v>1403</v>
      </c>
      <c r="H1769" t="s">
        <v>15</v>
      </c>
      <c r="I1769" s="26" t="s">
        <v>576</v>
      </c>
    </row>
    <row r="1770" spans="1:9" x14ac:dyDescent="0.3">
      <c r="A1770" s="24">
        <v>45363</v>
      </c>
      <c r="B1770" t="s">
        <v>113</v>
      </c>
      <c r="C1770" t="s">
        <v>29</v>
      </c>
      <c r="D1770">
        <v>0.56999999999999995</v>
      </c>
      <c r="E1770" t="s">
        <v>137</v>
      </c>
      <c r="F1770" t="s">
        <v>31</v>
      </c>
      <c r="G1770" t="s">
        <v>1404</v>
      </c>
      <c r="H1770" t="s">
        <v>15</v>
      </c>
      <c r="I1770" s="26" t="s">
        <v>576</v>
      </c>
    </row>
    <row r="1771" spans="1:9" x14ac:dyDescent="0.3">
      <c r="A1771" s="24">
        <v>45363</v>
      </c>
      <c r="B1771" t="s">
        <v>113</v>
      </c>
      <c r="C1771" t="s">
        <v>29</v>
      </c>
      <c r="D1771">
        <v>1.25</v>
      </c>
      <c r="E1771" t="s">
        <v>195</v>
      </c>
      <c r="F1771" t="s">
        <v>31</v>
      </c>
      <c r="G1771" t="s">
        <v>1405</v>
      </c>
      <c r="H1771" t="s">
        <v>15</v>
      </c>
      <c r="I1771" s="26" t="s">
        <v>576</v>
      </c>
    </row>
    <row r="1772" spans="1:9" x14ac:dyDescent="0.3">
      <c r="A1772" s="24">
        <v>45363</v>
      </c>
      <c r="B1772" t="s">
        <v>113</v>
      </c>
      <c r="C1772" t="s">
        <v>778</v>
      </c>
      <c r="D1772">
        <v>0.28000000000000003</v>
      </c>
      <c r="E1772" t="s">
        <v>143</v>
      </c>
      <c r="F1772" t="s">
        <v>31</v>
      </c>
      <c r="H1772" t="s">
        <v>15</v>
      </c>
      <c r="I1772" s="26" t="s">
        <v>576</v>
      </c>
    </row>
    <row r="1773" spans="1:9" x14ac:dyDescent="0.3">
      <c r="A1773" s="24">
        <v>45363</v>
      </c>
      <c r="B1773" t="s">
        <v>113</v>
      </c>
      <c r="C1773" t="s">
        <v>53</v>
      </c>
      <c r="D1773">
        <v>0.43</v>
      </c>
      <c r="E1773" t="s">
        <v>54</v>
      </c>
      <c r="F1773" t="s">
        <v>55</v>
      </c>
      <c r="G1773" t="s">
        <v>119</v>
      </c>
      <c r="H1773" t="s">
        <v>15</v>
      </c>
      <c r="I1773" s="26" t="s">
        <v>576</v>
      </c>
    </row>
    <row r="1774" spans="1:9" x14ac:dyDescent="0.3">
      <c r="A1774" s="24">
        <v>45363</v>
      </c>
      <c r="B1774" t="s">
        <v>113</v>
      </c>
      <c r="C1774" t="s">
        <v>53</v>
      </c>
      <c r="D1774">
        <v>0.5</v>
      </c>
      <c r="E1774" t="s">
        <v>54</v>
      </c>
      <c r="F1774" t="s">
        <v>55</v>
      </c>
      <c r="G1774" t="s">
        <v>110</v>
      </c>
      <c r="H1774" t="s">
        <v>15</v>
      </c>
      <c r="I1774" s="26" t="s">
        <v>576</v>
      </c>
    </row>
    <row r="1775" spans="1:9" x14ac:dyDescent="0.3">
      <c r="A1775" s="24">
        <v>45363</v>
      </c>
      <c r="B1775" t="s">
        <v>113</v>
      </c>
      <c r="C1775" t="s">
        <v>53</v>
      </c>
      <c r="D1775">
        <v>0.65</v>
      </c>
      <c r="E1775" t="s">
        <v>54</v>
      </c>
      <c r="F1775" t="s">
        <v>55</v>
      </c>
      <c r="G1775" t="s">
        <v>1406</v>
      </c>
      <c r="H1775" t="s">
        <v>15</v>
      </c>
      <c r="I1775" s="26" t="s">
        <v>576</v>
      </c>
    </row>
    <row r="1776" spans="1:9" x14ac:dyDescent="0.3">
      <c r="A1776" s="24">
        <v>45363</v>
      </c>
      <c r="B1776" t="s">
        <v>113</v>
      </c>
      <c r="C1776" t="s">
        <v>53</v>
      </c>
      <c r="D1776">
        <v>1.18</v>
      </c>
      <c r="E1776" t="s">
        <v>54</v>
      </c>
      <c r="F1776" t="s">
        <v>55</v>
      </c>
      <c r="G1776" t="s">
        <v>1407</v>
      </c>
      <c r="H1776" t="s">
        <v>15</v>
      </c>
      <c r="I1776" s="26" t="s">
        <v>576</v>
      </c>
    </row>
    <row r="1777" spans="1:9" x14ac:dyDescent="0.3">
      <c r="A1777" s="24">
        <v>45363</v>
      </c>
      <c r="B1777" t="s">
        <v>113</v>
      </c>
      <c r="C1777" t="s">
        <v>60</v>
      </c>
      <c r="D1777">
        <v>0.65</v>
      </c>
      <c r="E1777" t="s">
        <v>137</v>
      </c>
      <c r="F1777" t="s">
        <v>31</v>
      </c>
      <c r="G1777" t="s">
        <v>126</v>
      </c>
      <c r="H1777" t="s">
        <v>15</v>
      </c>
      <c r="I1777" s="26" t="s">
        <v>576</v>
      </c>
    </row>
    <row r="1778" spans="1:9" x14ac:dyDescent="0.3">
      <c r="A1778" s="24">
        <v>45363</v>
      </c>
      <c r="B1778" t="s">
        <v>113</v>
      </c>
      <c r="C1778" t="s">
        <v>1408</v>
      </c>
      <c r="D1778">
        <v>0.25</v>
      </c>
      <c r="E1778" t="s">
        <v>1409</v>
      </c>
      <c r="F1778" t="s">
        <v>31</v>
      </c>
      <c r="G1778" t="s">
        <v>1410</v>
      </c>
      <c r="H1778" t="s">
        <v>15</v>
      </c>
      <c r="I1778" s="26" t="s">
        <v>576</v>
      </c>
    </row>
    <row r="1779" spans="1:9" x14ac:dyDescent="0.3">
      <c r="A1779" s="24">
        <v>45363</v>
      </c>
      <c r="B1779" t="s">
        <v>132</v>
      </c>
      <c r="C1779" t="s">
        <v>29</v>
      </c>
      <c r="D1779">
        <v>0.32</v>
      </c>
      <c r="E1779" t="s">
        <v>81</v>
      </c>
      <c r="F1779" t="s">
        <v>31</v>
      </c>
      <c r="G1779" t="e">
        <f>- Received raw invoices.</f>
        <v>#NAME?</v>
      </c>
      <c r="H1779" t="s">
        <v>15</v>
      </c>
      <c r="I1779" s="26" t="s">
        <v>576</v>
      </c>
    </row>
    <row r="1780" spans="1:9" x14ac:dyDescent="0.3">
      <c r="A1780" s="24">
        <v>45363</v>
      </c>
      <c r="B1780" t="s">
        <v>132</v>
      </c>
      <c r="C1780" t="s">
        <v>29</v>
      </c>
      <c r="D1780">
        <v>0.48</v>
      </c>
      <c r="E1780" t="s">
        <v>81</v>
      </c>
      <c r="F1780" t="s">
        <v>31</v>
      </c>
      <c r="G1780" t="e">
        <f>- Receved raw invoices.</f>
        <v>#NAME?</v>
      </c>
      <c r="H1780" t="s">
        <v>15</v>
      </c>
      <c r="I1780" s="26" t="s">
        <v>576</v>
      </c>
    </row>
    <row r="1781" spans="1:9" x14ac:dyDescent="0.3">
      <c r="A1781" s="24">
        <v>45363</v>
      </c>
      <c r="B1781" t="s">
        <v>132</v>
      </c>
      <c r="C1781" t="s">
        <v>53</v>
      </c>
      <c r="D1781">
        <v>8.98</v>
      </c>
      <c r="E1781" t="s">
        <v>54</v>
      </c>
      <c r="F1781" t="s">
        <v>55</v>
      </c>
      <c r="G1781" t="s">
        <v>1411</v>
      </c>
      <c r="H1781" t="s">
        <v>15</v>
      </c>
      <c r="I1781" s="26" t="s">
        <v>576</v>
      </c>
    </row>
    <row r="1782" spans="1:9" x14ac:dyDescent="0.3">
      <c r="A1782" s="24">
        <v>45363</v>
      </c>
      <c r="B1782" t="s">
        <v>134</v>
      </c>
      <c r="C1782" t="s">
        <v>29</v>
      </c>
      <c r="D1782">
        <v>0.55000000000000004</v>
      </c>
      <c r="E1782" t="s">
        <v>139</v>
      </c>
      <c r="F1782" t="s">
        <v>31</v>
      </c>
      <c r="G1782" t="s">
        <v>1412</v>
      </c>
      <c r="H1782" t="s">
        <v>15</v>
      </c>
      <c r="I1782" s="26" t="s">
        <v>576</v>
      </c>
    </row>
    <row r="1783" spans="1:9" x14ac:dyDescent="0.3">
      <c r="A1783" s="24">
        <v>45363</v>
      </c>
      <c r="B1783" t="s">
        <v>134</v>
      </c>
      <c r="C1783" t="s">
        <v>29</v>
      </c>
      <c r="D1783">
        <v>0.87</v>
      </c>
      <c r="E1783" t="s">
        <v>139</v>
      </c>
      <c r="F1783" t="s">
        <v>31</v>
      </c>
      <c r="G1783" t="s">
        <v>103</v>
      </c>
      <c r="H1783" t="s">
        <v>15</v>
      </c>
      <c r="I1783" s="26" t="s">
        <v>576</v>
      </c>
    </row>
    <row r="1784" spans="1:9" x14ac:dyDescent="0.3">
      <c r="A1784" s="24">
        <v>45363</v>
      </c>
      <c r="B1784" t="s">
        <v>134</v>
      </c>
      <c r="C1784" t="s">
        <v>29</v>
      </c>
      <c r="D1784">
        <v>1.43</v>
      </c>
      <c r="E1784" t="s">
        <v>420</v>
      </c>
      <c r="F1784" t="s">
        <v>31</v>
      </c>
      <c r="G1784" t="s">
        <v>1413</v>
      </c>
      <c r="H1784" t="s">
        <v>15</v>
      </c>
      <c r="I1784" s="26" t="s">
        <v>576</v>
      </c>
    </row>
    <row r="1785" spans="1:9" x14ac:dyDescent="0.3">
      <c r="A1785" s="24">
        <v>45363</v>
      </c>
      <c r="B1785" t="s">
        <v>134</v>
      </c>
      <c r="C1785" t="s">
        <v>29</v>
      </c>
      <c r="D1785">
        <v>2.35</v>
      </c>
      <c r="E1785" t="s">
        <v>137</v>
      </c>
      <c r="F1785" t="s">
        <v>31</v>
      </c>
      <c r="G1785" t="s">
        <v>1414</v>
      </c>
      <c r="H1785" t="s">
        <v>15</v>
      </c>
      <c r="I1785" s="26" t="s">
        <v>576</v>
      </c>
    </row>
    <row r="1786" spans="1:9" x14ac:dyDescent="0.3">
      <c r="A1786" s="24">
        <v>45363</v>
      </c>
      <c r="B1786" t="s">
        <v>134</v>
      </c>
      <c r="C1786" t="s">
        <v>29</v>
      </c>
      <c r="D1786">
        <v>2.5499999999999998</v>
      </c>
      <c r="E1786" t="s">
        <v>423</v>
      </c>
      <c r="F1786" t="s">
        <v>31</v>
      </c>
      <c r="G1786" t="s">
        <v>1415</v>
      </c>
      <c r="H1786" t="s">
        <v>15</v>
      </c>
      <c r="I1786" s="26" t="s">
        <v>576</v>
      </c>
    </row>
    <row r="1787" spans="1:9" x14ac:dyDescent="0.3">
      <c r="A1787" s="24">
        <v>45363</v>
      </c>
      <c r="B1787" t="s">
        <v>134</v>
      </c>
      <c r="C1787" t="s">
        <v>53</v>
      </c>
      <c r="D1787">
        <v>0.25</v>
      </c>
      <c r="E1787" t="s">
        <v>54</v>
      </c>
      <c r="F1787" t="s">
        <v>55</v>
      </c>
      <c r="G1787" t="s">
        <v>110</v>
      </c>
      <c r="H1787" t="s">
        <v>15</v>
      </c>
      <c r="I1787" s="26" t="s">
        <v>576</v>
      </c>
    </row>
    <row r="1788" spans="1:9" x14ac:dyDescent="0.3">
      <c r="A1788" s="24">
        <v>45363</v>
      </c>
      <c r="B1788" t="s">
        <v>150</v>
      </c>
      <c r="C1788" t="s">
        <v>29</v>
      </c>
      <c r="D1788">
        <v>1.02</v>
      </c>
      <c r="E1788" t="s">
        <v>151</v>
      </c>
      <c r="F1788" t="s">
        <v>31</v>
      </c>
      <c r="G1788" t="s">
        <v>1416</v>
      </c>
      <c r="H1788" t="s">
        <v>15</v>
      </c>
      <c r="I1788" s="26" t="s">
        <v>576</v>
      </c>
    </row>
    <row r="1789" spans="1:9" x14ac:dyDescent="0.3">
      <c r="A1789" s="24">
        <v>45363</v>
      </c>
      <c r="B1789" t="s">
        <v>150</v>
      </c>
      <c r="C1789" t="s">
        <v>29</v>
      </c>
      <c r="D1789">
        <v>1.35</v>
      </c>
      <c r="E1789" t="s">
        <v>151</v>
      </c>
      <c r="F1789" t="s">
        <v>31</v>
      </c>
      <c r="G1789" t="s">
        <v>1417</v>
      </c>
      <c r="H1789" t="s">
        <v>15</v>
      </c>
      <c r="I1789" s="26" t="s">
        <v>576</v>
      </c>
    </row>
    <row r="1790" spans="1:9" x14ac:dyDescent="0.3">
      <c r="A1790" s="24">
        <v>45363</v>
      </c>
      <c r="B1790" t="s">
        <v>150</v>
      </c>
      <c r="C1790" t="s">
        <v>29</v>
      </c>
      <c r="D1790">
        <v>2.75</v>
      </c>
      <c r="E1790" t="s">
        <v>437</v>
      </c>
      <c r="F1790" t="s">
        <v>31</v>
      </c>
      <c r="G1790" t="s">
        <v>438</v>
      </c>
      <c r="H1790" t="s">
        <v>15</v>
      </c>
      <c r="I1790" s="26" t="s">
        <v>576</v>
      </c>
    </row>
    <row r="1791" spans="1:9" x14ac:dyDescent="0.3">
      <c r="A1791" s="24">
        <v>45363</v>
      </c>
      <c r="B1791" t="s">
        <v>150</v>
      </c>
      <c r="C1791" t="s">
        <v>53</v>
      </c>
      <c r="D1791">
        <v>0.17</v>
      </c>
      <c r="E1791" t="s">
        <v>54</v>
      </c>
      <c r="F1791" t="s">
        <v>55</v>
      </c>
      <c r="G1791" t="s">
        <v>1418</v>
      </c>
      <c r="H1791" t="s">
        <v>15</v>
      </c>
      <c r="I1791" s="26" t="s">
        <v>576</v>
      </c>
    </row>
    <row r="1792" spans="1:9" x14ac:dyDescent="0.3">
      <c r="A1792" s="24">
        <v>45363</v>
      </c>
      <c r="B1792" t="s">
        <v>150</v>
      </c>
      <c r="C1792" t="s">
        <v>159</v>
      </c>
      <c r="D1792">
        <v>0.5</v>
      </c>
      <c r="E1792" t="s">
        <v>114</v>
      </c>
      <c r="F1792" t="s">
        <v>31</v>
      </c>
      <c r="G1792" t="s">
        <v>1261</v>
      </c>
      <c r="H1792" t="s">
        <v>15</v>
      </c>
      <c r="I1792" s="26" t="s">
        <v>576</v>
      </c>
    </row>
    <row r="1793" spans="1:9" x14ac:dyDescent="0.3">
      <c r="A1793" s="24">
        <v>45363</v>
      </c>
      <c r="B1793" t="s">
        <v>150</v>
      </c>
      <c r="C1793" t="s">
        <v>159</v>
      </c>
      <c r="D1793">
        <v>0.7</v>
      </c>
      <c r="E1793" t="s">
        <v>437</v>
      </c>
      <c r="F1793" t="s">
        <v>31</v>
      </c>
      <c r="G1793" t="s">
        <v>1419</v>
      </c>
      <c r="H1793" t="s">
        <v>15</v>
      </c>
      <c r="I1793" s="26" t="s">
        <v>576</v>
      </c>
    </row>
    <row r="1794" spans="1:9" x14ac:dyDescent="0.3">
      <c r="A1794" s="24">
        <v>45363</v>
      </c>
      <c r="B1794" t="s">
        <v>150</v>
      </c>
      <c r="C1794" t="s">
        <v>60</v>
      </c>
      <c r="D1794">
        <v>1.6</v>
      </c>
      <c r="E1794" t="s">
        <v>162</v>
      </c>
      <c r="F1794" t="s">
        <v>31</v>
      </c>
      <c r="G1794" t="s">
        <v>1420</v>
      </c>
      <c r="H1794" t="s">
        <v>15</v>
      </c>
      <c r="I1794" s="26" t="s">
        <v>576</v>
      </c>
    </row>
    <row r="1795" spans="1:9" x14ac:dyDescent="0.3">
      <c r="A1795" s="24">
        <v>45363</v>
      </c>
      <c r="B1795" t="s">
        <v>164</v>
      </c>
      <c r="C1795" t="s">
        <v>29</v>
      </c>
      <c r="D1795">
        <v>0.48</v>
      </c>
      <c r="E1795" t="s">
        <v>1216</v>
      </c>
      <c r="F1795" t="s">
        <v>31</v>
      </c>
      <c r="G1795" t="s">
        <v>1421</v>
      </c>
      <c r="H1795" t="s">
        <v>15</v>
      </c>
      <c r="I1795" s="26" t="s">
        <v>576</v>
      </c>
    </row>
    <row r="1796" spans="1:9" x14ac:dyDescent="0.3">
      <c r="A1796" s="24">
        <v>45363</v>
      </c>
      <c r="B1796" t="s">
        <v>164</v>
      </c>
      <c r="C1796" t="s">
        <v>29</v>
      </c>
      <c r="D1796">
        <v>0.98</v>
      </c>
      <c r="E1796" t="s">
        <v>104</v>
      </c>
      <c r="F1796" t="s">
        <v>31</v>
      </c>
      <c r="G1796" t="s">
        <v>1422</v>
      </c>
      <c r="H1796" t="s">
        <v>15</v>
      </c>
      <c r="I1796" s="26" t="s">
        <v>576</v>
      </c>
    </row>
    <row r="1797" spans="1:9" x14ac:dyDescent="0.3">
      <c r="A1797" s="24">
        <v>45363</v>
      </c>
      <c r="B1797" t="s">
        <v>164</v>
      </c>
      <c r="C1797" t="s">
        <v>29</v>
      </c>
      <c r="D1797">
        <v>1.45</v>
      </c>
      <c r="E1797" t="s">
        <v>1216</v>
      </c>
      <c r="F1797" t="s">
        <v>31</v>
      </c>
      <c r="G1797" t="s">
        <v>1423</v>
      </c>
      <c r="H1797" t="s">
        <v>15</v>
      </c>
      <c r="I1797" s="26" t="s">
        <v>576</v>
      </c>
    </row>
    <row r="1798" spans="1:9" x14ac:dyDescent="0.3">
      <c r="A1798" s="24">
        <v>45363</v>
      </c>
      <c r="B1798" t="s">
        <v>164</v>
      </c>
      <c r="C1798" t="s">
        <v>29</v>
      </c>
      <c r="D1798">
        <v>1.5</v>
      </c>
      <c r="E1798" t="s">
        <v>229</v>
      </c>
      <c r="F1798" t="s">
        <v>31</v>
      </c>
      <c r="G1798" t="s">
        <v>1424</v>
      </c>
      <c r="H1798" t="s">
        <v>15</v>
      </c>
      <c r="I1798" s="26" t="s">
        <v>576</v>
      </c>
    </row>
    <row r="1799" spans="1:9" x14ac:dyDescent="0.3">
      <c r="A1799" s="24">
        <v>45363</v>
      </c>
      <c r="B1799" t="s">
        <v>164</v>
      </c>
      <c r="C1799" t="s">
        <v>53</v>
      </c>
      <c r="D1799">
        <v>0.33</v>
      </c>
      <c r="E1799" t="s">
        <v>54</v>
      </c>
      <c r="F1799" t="s">
        <v>55</v>
      </c>
      <c r="G1799" t="s">
        <v>1425</v>
      </c>
      <c r="H1799" t="s">
        <v>15</v>
      </c>
      <c r="I1799" s="26" t="s">
        <v>576</v>
      </c>
    </row>
    <row r="1800" spans="1:9" x14ac:dyDescent="0.3">
      <c r="A1800" s="24">
        <v>45363</v>
      </c>
      <c r="B1800" t="s">
        <v>164</v>
      </c>
      <c r="C1800" t="s">
        <v>53</v>
      </c>
      <c r="D1800">
        <v>1.63</v>
      </c>
      <c r="E1800" t="s">
        <v>54</v>
      </c>
      <c r="F1800" t="s">
        <v>55</v>
      </c>
      <c r="G1800" t="s">
        <v>1426</v>
      </c>
      <c r="H1800" t="s">
        <v>15</v>
      </c>
      <c r="I1800" s="26" t="s">
        <v>576</v>
      </c>
    </row>
    <row r="1801" spans="1:9" x14ac:dyDescent="0.3">
      <c r="A1801" s="24">
        <v>45363</v>
      </c>
      <c r="B1801" t="s">
        <v>164</v>
      </c>
      <c r="C1801" t="s">
        <v>225</v>
      </c>
      <c r="D1801">
        <v>0.35</v>
      </c>
      <c r="E1801" t="s">
        <v>1074</v>
      </c>
      <c r="F1801" t="s">
        <v>31</v>
      </c>
      <c r="G1801" t="s">
        <v>1427</v>
      </c>
      <c r="H1801" t="s">
        <v>15</v>
      </c>
      <c r="I1801" s="26" t="s">
        <v>576</v>
      </c>
    </row>
    <row r="1802" spans="1:9" x14ac:dyDescent="0.3">
      <c r="A1802" s="24">
        <v>45363</v>
      </c>
      <c r="B1802" t="s">
        <v>164</v>
      </c>
      <c r="C1802" t="s">
        <v>148</v>
      </c>
      <c r="D1802">
        <v>1.33</v>
      </c>
      <c r="E1802" t="s">
        <v>54</v>
      </c>
      <c r="F1802" t="s">
        <v>55</v>
      </c>
      <c r="G1802" t="s">
        <v>1428</v>
      </c>
      <c r="H1802" t="s">
        <v>15</v>
      </c>
      <c r="I1802" s="26" t="s">
        <v>576</v>
      </c>
    </row>
    <row r="1803" spans="1:9" x14ac:dyDescent="0.3">
      <c r="A1803" s="24">
        <v>45363</v>
      </c>
      <c r="B1803" t="s">
        <v>164</v>
      </c>
      <c r="C1803" t="s">
        <v>159</v>
      </c>
      <c r="D1803">
        <v>0.28000000000000003</v>
      </c>
      <c r="E1803" t="s">
        <v>170</v>
      </c>
      <c r="F1803" t="s">
        <v>55</v>
      </c>
      <c r="G1803" t="s">
        <v>1429</v>
      </c>
      <c r="H1803" t="s">
        <v>15</v>
      </c>
      <c r="I1803" s="26" t="s">
        <v>576</v>
      </c>
    </row>
    <row r="1804" spans="1:9" x14ac:dyDescent="0.3">
      <c r="A1804" s="24">
        <v>45363</v>
      </c>
      <c r="B1804" t="s">
        <v>169</v>
      </c>
      <c r="C1804" t="s">
        <v>29</v>
      </c>
      <c r="D1804">
        <v>7.92</v>
      </c>
      <c r="E1804" t="s">
        <v>170</v>
      </c>
      <c r="F1804" t="s">
        <v>31</v>
      </c>
      <c r="H1804" t="s">
        <v>15</v>
      </c>
      <c r="I1804" s="26" t="s">
        <v>576</v>
      </c>
    </row>
    <row r="1805" spans="1:9" x14ac:dyDescent="0.3">
      <c r="A1805" s="24">
        <v>45363</v>
      </c>
      <c r="B1805" t="s">
        <v>169</v>
      </c>
      <c r="C1805" t="s">
        <v>60</v>
      </c>
      <c r="D1805">
        <v>0.23</v>
      </c>
      <c r="E1805" t="s">
        <v>35</v>
      </c>
      <c r="F1805" t="s">
        <v>31</v>
      </c>
      <c r="G1805" t="s">
        <v>1430</v>
      </c>
      <c r="H1805" t="s">
        <v>15</v>
      </c>
      <c r="I1805" s="26" t="s">
        <v>576</v>
      </c>
    </row>
    <row r="1806" spans="1:9" x14ac:dyDescent="0.3">
      <c r="A1806" s="24">
        <v>45363</v>
      </c>
      <c r="B1806" t="s">
        <v>172</v>
      </c>
      <c r="C1806" t="s">
        <v>173</v>
      </c>
      <c r="D1806">
        <v>7.5</v>
      </c>
      <c r="E1806" t="s">
        <v>162</v>
      </c>
      <c r="F1806" t="s">
        <v>31</v>
      </c>
      <c r="G1806" t="s">
        <v>1431</v>
      </c>
      <c r="H1806" t="s">
        <v>15</v>
      </c>
      <c r="I1806" s="26" t="s">
        <v>576</v>
      </c>
    </row>
    <row r="1807" spans="1:9" x14ac:dyDescent="0.3">
      <c r="A1807" s="24">
        <v>45363</v>
      </c>
      <c r="B1807" t="s">
        <v>175</v>
      </c>
      <c r="C1807" t="s">
        <v>29</v>
      </c>
      <c r="D1807">
        <v>0.32</v>
      </c>
      <c r="E1807" t="s">
        <v>185</v>
      </c>
      <c r="F1807" t="s">
        <v>31</v>
      </c>
      <c r="H1807" t="s">
        <v>15</v>
      </c>
      <c r="I1807" s="26" t="s">
        <v>576</v>
      </c>
    </row>
    <row r="1808" spans="1:9" x14ac:dyDescent="0.3">
      <c r="A1808" s="24">
        <v>45363</v>
      </c>
      <c r="B1808" t="s">
        <v>175</v>
      </c>
      <c r="C1808" t="s">
        <v>29</v>
      </c>
      <c r="D1808">
        <v>0.35</v>
      </c>
      <c r="E1808" t="s">
        <v>176</v>
      </c>
      <c r="F1808" t="s">
        <v>31</v>
      </c>
      <c r="H1808" t="s">
        <v>15</v>
      </c>
      <c r="I1808" s="26" t="s">
        <v>576</v>
      </c>
    </row>
    <row r="1809" spans="1:9" x14ac:dyDescent="0.3">
      <c r="A1809" s="24">
        <v>45363</v>
      </c>
      <c r="B1809" t="s">
        <v>175</v>
      </c>
      <c r="C1809" t="s">
        <v>29</v>
      </c>
      <c r="D1809">
        <v>0.75</v>
      </c>
      <c r="E1809" t="s">
        <v>177</v>
      </c>
      <c r="F1809" t="s">
        <v>31</v>
      </c>
      <c r="H1809" t="s">
        <v>15</v>
      </c>
      <c r="I1809" s="26" t="s">
        <v>576</v>
      </c>
    </row>
    <row r="1810" spans="1:9" x14ac:dyDescent="0.3">
      <c r="A1810" s="24">
        <v>45363</v>
      </c>
      <c r="B1810" t="s">
        <v>175</v>
      </c>
      <c r="C1810" t="s">
        <v>29</v>
      </c>
      <c r="D1810">
        <v>0.78</v>
      </c>
      <c r="E1810" t="s">
        <v>179</v>
      </c>
      <c r="F1810" t="s">
        <v>31</v>
      </c>
      <c r="G1810" t="s">
        <v>1432</v>
      </c>
      <c r="H1810" t="s">
        <v>15</v>
      </c>
      <c r="I1810" s="26" t="s">
        <v>576</v>
      </c>
    </row>
    <row r="1811" spans="1:9" x14ac:dyDescent="0.3">
      <c r="A1811" s="24">
        <v>45363</v>
      </c>
      <c r="B1811" t="s">
        <v>175</v>
      </c>
      <c r="C1811" t="s">
        <v>29</v>
      </c>
      <c r="D1811">
        <v>1.3</v>
      </c>
      <c r="E1811" t="s">
        <v>182</v>
      </c>
      <c r="F1811" t="s">
        <v>31</v>
      </c>
      <c r="H1811" t="s">
        <v>15</v>
      </c>
      <c r="I1811" s="26" t="s">
        <v>576</v>
      </c>
    </row>
    <row r="1812" spans="1:9" x14ac:dyDescent="0.3">
      <c r="A1812" s="24">
        <v>45363</v>
      </c>
      <c r="B1812" t="s">
        <v>175</v>
      </c>
      <c r="C1812" t="s">
        <v>29</v>
      </c>
      <c r="D1812">
        <v>1.37</v>
      </c>
      <c r="E1812" t="s">
        <v>127</v>
      </c>
      <c r="F1812" t="s">
        <v>31</v>
      </c>
      <c r="H1812" t="s">
        <v>15</v>
      </c>
      <c r="I1812" s="26" t="s">
        <v>576</v>
      </c>
    </row>
    <row r="1813" spans="1:9" x14ac:dyDescent="0.3">
      <c r="A1813" s="24">
        <v>45363</v>
      </c>
      <c r="B1813" t="s">
        <v>175</v>
      </c>
      <c r="C1813" t="s">
        <v>29</v>
      </c>
      <c r="D1813">
        <v>1.57</v>
      </c>
      <c r="E1813" t="s">
        <v>127</v>
      </c>
      <c r="F1813" t="s">
        <v>31</v>
      </c>
      <c r="G1813" t="s">
        <v>1433</v>
      </c>
      <c r="H1813" t="s">
        <v>15</v>
      </c>
      <c r="I1813" s="26" t="s">
        <v>576</v>
      </c>
    </row>
    <row r="1814" spans="1:9" x14ac:dyDescent="0.3">
      <c r="A1814" s="24">
        <v>45363</v>
      </c>
      <c r="B1814" t="s">
        <v>175</v>
      </c>
      <c r="C1814" t="s">
        <v>29</v>
      </c>
      <c r="D1814">
        <v>1.65</v>
      </c>
      <c r="E1814" t="s">
        <v>127</v>
      </c>
      <c r="F1814" t="s">
        <v>31</v>
      </c>
      <c r="G1814" t="s">
        <v>1434</v>
      </c>
      <c r="H1814" t="s">
        <v>15</v>
      </c>
      <c r="I1814" s="26" t="s">
        <v>576</v>
      </c>
    </row>
    <row r="1815" spans="1:9" x14ac:dyDescent="0.3">
      <c r="A1815" s="24">
        <v>45363</v>
      </c>
      <c r="B1815" t="s">
        <v>188</v>
      </c>
      <c r="C1815" t="s">
        <v>454</v>
      </c>
      <c r="D1815">
        <v>8</v>
      </c>
      <c r="E1815" t="s">
        <v>54</v>
      </c>
      <c r="F1815" t="s">
        <v>55</v>
      </c>
      <c r="G1815" t="s">
        <v>1277</v>
      </c>
      <c r="H1815" t="s">
        <v>15</v>
      </c>
      <c r="I1815" s="26" t="s">
        <v>576</v>
      </c>
    </row>
    <row r="1816" spans="1:9" x14ac:dyDescent="0.3">
      <c r="A1816" s="24">
        <v>45363</v>
      </c>
      <c r="B1816" t="s">
        <v>190</v>
      </c>
      <c r="C1816" t="s">
        <v>442</v>
      </c>
      <c r="D1816">
        <v>8</v>
      </c>
      <c r="E1816" t="s">
        <v>54</v>
      </c>
      <c r="F1816" t="s">
        <v>55</v>
      </c>
      <c r="H1816" t="s">
        <v>15</v>
      </c>
      <c r="I1816" s="26" t="s">
        <v>576</v>
      </c>
    </row>
    <row r="1817" spans="1:9" x14ac:dyDescent="0.3">
      <c r="A1817" s="24">
        <v>45363</v>
      </c>
      <c r="B1817" t="s">
        <v>191</v>
      </c>
      <c r="C1817" t="s">
        <v>89</v>
      </c>
      <c r="D1817">
        <v>8</v>
      </c>
      <c r="E1817" t="s">
        <v>54</v>
      </c>
      <c r="F1817" t="s">
        <v>55</v>
      </c>
      <c r="G1817" t="s">
        <v>1435</v>
      </c>
      <c r="H1817" t="s">
        <v>15</v>
      </c>
      <c r="I1817" s="26" t="s">
        <v>576</v>
      </c>
    </row>
    <row r="1818" spans="1:9" x14ac:dyDescent="0.3">
      <c r="A1818" s="24">
        <v>45363</v>
      </c>
      <c r="B1818" t="s">
        <v>193</v>
      </c>
      <c r="C1818" t="s">
        <v>29</v>
      </c>
      <c r="D1818">
        <v>0.05</v>
      </c>
      <c r="E1818" t="s">
        <v>106</v>
      </c>
      <c r="F1818" t="s">
        <v>31</v>
      </c>
      <c r="G1818" t="s">
        <v>1436</v>
      </c>
      <c r="H1818" t="s">
        <v>15</v>
      </c>
      <c r="I1818" s="26" t="s">
        <v>576</v>
      </c>
    </row>
    <row r="1819" spans="1:9" x14ac:dyDescent="0.3">
      <c r="A1819" s="24">
        <v>45363</v>
      </c>
      <c r="B1819" t="s">
        <v>193</v>
      </c>
      <c r="C1819" t="s">
        <v>29</v>
      </c>
      <c r="D1819">
        <v>0.08</v>
      </c>
      <c r="E1819" t="s">
        <v>657</v>
      </c>
      <c r="F1819" t="s">
        <v>31</v>
      </c>
      <c r="G1819" t="s">
        <v>1437</v>
      </c>
      <c r="H1819" t="s">
        <v>15</v>
      </c>
      <c r="I1819" s="26" t="s">
        <v>576</v>
      </c>
    </row>
    <row r="1820" spans="1:9" x14ac:dyDescent="0.3">
      <c r="A1820" s="24">
        <v>45363</v>
      </c>
      <c r="B1820" t="s">
        <v>193</v>
      </c>
      <c r="C1820" t="s">
        <v>29</v>
      </c>
      <c r="D1820">
        <v>0.33</v>
      </c>
      <c r="E1820" t="s">
        <v>195</v>
      </c>
      <c r="F1820" t="s">
        <v>31</v>
      </c>
      <c r="G1820" t="s">
        <v>1438</v>
      </c>
      <c r="H1820" t="s">
        <v>15</v>
      </c>
      <c r="I1820" s="26" t="s">
        <v>576</v>
      </c>
    </row>
    <row r="1821" spans="1:9" x14ac:dyDescent="0.3">
      <c r="A1821" s="24">
        <v>45363</v>
      </c>
      <c r="B1821" t="s">
        <v>193</v>
      </c>
      <c r="C1821" t="s">
        <v>29</v>
      </c>
      <c r="D1821">
        <v>0.77</v>
      </c>
      <c r="E1821" t="s">
        <v>205</v>
      </c>
      <c r="F1821" t="s">
        <v>31</v>
      </c>
      <c r="G1821" t="s">
        <v>1439</v>
      </c>
      <c r="H1821" t="s">
        <v>15</v>
      </c>
      <c r="I1821" s="26" t="s">
        <v>576</v>
      </c>
    </row>
    <row r="1822" spans="1:9" x14ac:dyDescent="0.3">
      <c r="A1822" s="24">
        <v>45363</v>
      </c>
      <c r="B1822" t="s">
        <v>193</v>
      </c>
      <c r="C1822" t="s">
        <v>29</v>
      </c>
      <c r="D1822">
        <v>0.77</v>
      </c>
      <c r="E1822" t="s">
        <v>102</v>
      </c>
      <c r="F1822" t="s">
        <v>31</v>
      </c>
      <c r="G1822" t="s">
        <v>1440</v>
      </c>
      <c r="H1822" t="s">
        <v>15</v>
      </c>
      <c r="I1822" s="26" t="s">
        <v>576</v>
      </c>
    </row>
    <row r="1823" spans="1:9" x14ac:dyDescent="0.3">
      <c r="A1823" s="24">
        <v>45363</v>
      </c>
      <c r="B1823" t="s">
        <v>193</v>
      </c>
      <c r="C1823" t="s">
        <v>29</v>
      </c>
      <c r="D1823">
        <v>0.77</v>
      </c>
      <c r="E1823" t="s">
        <v>104</v>
      </c>
      <c r="F1823" t="s">
        <v>31</v>
      </c>
      <c r="G1823" t="s">
        <v>1441</v>
      </c>
      <c r="H1823" t="s">
        <v>15</v>
      </c>
      <c r="I1823" s="26" t="s">
        <v>576</v>
      </c>
    </row>
    <row r="1824" spans="1:9" x14ac:dyDescent="0.3">
      <c r="A1824" s="24">
        <v>45363</v>
      </c>
      <c r="B1824" t="s">
        <v>193</v>
      </c>
      <c r="C1824" t="s">
        <v>29</v>
      </c>
      <c r="D1824">
        <v>0.82</v>
      </c>
      <c r="E1824" t="s">
        <v>195</v>
      </c>
      <c r="F1824" t="s">
        <v>31</v>
      </c>
      <c r="G1824" t="s">
        <v>1442</v>
      </c>
      <c r="H1824" t="s">
        <v>15</v>
      </c>
      <c r="I1824" s="26" t="s">
        <v>576</v>
      </c>
    </row>
    <row r="1825" spans="1:9" x14ac:dyDescent="0.3">
      <c r="A1825" s="24">
        <v>45363</v>
      </c>
      <c r="B1825" t="s">
        <v>193</v>
      </c>
      <c r="C1825" t="s">
        <v>197</v>
      </c>
      <c r="D1825">
        <v>0.17</v>
      </c>
      <c r="E1825" t="s">
        <v>54</v>
      </c>
      <c r="F1825" t="s">
        <v>55</v>
      </c>
      <c r="G1825" t="s">
        <v>1443</v>
      </c>
      <c r="H1825" t="s">
        <v>15</v>
      </c>
      <c r="I1825" s="26" t="s">
        <v>576</v>
      </c>
    </row>
    <row r="1826" spans="1:9" x14ac:dyDescent="0.3">
      <c r="A1826" s="24">
        <v>45363</v>
      </c>
      <c r="B1826" t="s">
        <v>193</v>
      </c>
      <c r="C1826" t="s">
        <v>197</v>
      </c>
      <c r="D1826">
        <v>0.22</v>
      </c>
      <c r="E1826" t="s">
        <v>54</v>
      </c>
      <c r="F1826" t="s">
        <v>55</v>
      </c>
      <c r="G1826" t="s">
        <v>1444</v>
      </c>
      <c r="H1826" t="s">
        <v>15</v>
      </c>
      <c r="I1826" s="26" t="s">
        <v>576</v>
      </c>
    </row>
    <row r="1827" spans="1:9" x14ac:dyDescent="0.3">
      <c r="A1827" s="24">
        <v>45363</v>
      </c>
      <c r="B1827" t="s">
        <v>193</v>
      </c>
      <c r="C1827" t="s">
        <v>197</v>
      </c>
      <c r="D1827">
        <v>0.22</v>
      </c>
      <c r="E1827" t="s">
        <v>54</v>
      </c>
      <c r="F1827" t="s">
        <v>55</v>
      </c>
      <c r="G1827" t="s">
        <v>1445</v>
      </c>
      <c r="H1827" t="s">
        <v>15</v>
      </c>
      <c r="I1827" s="26" t="s">
        <v>576</v>
      </c>
    </row>
    <row r="1828" spans="1:9" x14ac:dyDescent="0.3">
      <c r="A1828" s="24">
        <v>45363</v>
      </c>
      <c r="B1828" t="s">
        <v>193</v>
      </c>
      <c r="C1828" t="s">
        <v>197</v>
      </c>
      <c r="D1828">
        <v>0.27</v>
      </c>
      <c r="E1828" t="s">
        <v>54</v>
      </c>
      <c r="F1828" t="s">
        <v>55</v>
      </c>
      <c r="G1828" t="s">
        <v>1446</v>
      </c>
      <c r="H1828" t="s">
        <v>15</v>
      </c>
      <c r="I1828" s="26" t="s">
        <v>576</v>
      </c>
    </row>
    <row r="1829" spans="1:9" x14ac:dyDescent="0.3">
      <c r="A1829" s="24">
        <v>45363</v>
      </c>
      <c r="B1829" t="s">
        <v>193</v>
      </c>
      <c r="C1829" t="s">
        <v>197</v>
      </c>
      <c r="D1829">
        <v>0.33</v>
      </c>
      <c r="E1829" t="s">
        <v>54</v>
      </c>
      <c r="F1829" t="s">
        <v>55</v>
      </c>
      <c r="G1829" t="s">
        <v>1447</v>
      </c>
      <c r="H1829" t="s">
        <v>15</v>
      </c>
      <c r="I1829" s="26" t="s">
        <v>576</v>
      </c>
    </row>
    <row r="1830" spans="1:9" x14ac:dyDescent="0.3">
      <c r="A1830" s="24">
        <v>45363</v>
      </c>
      <c r="B1830" t="s">
        <v>193</v>
      </c>
      <c r="C1830" t="s">
        <v>197</v>
      </c>
      <c r="D1830">
        <v>0.42</v>
      </c>
      <c r="E1830" t="s">
        <v>54</v>
      </c>
      <c r="F1830" t="s">
        <v>55</v>
      </c>
      <c r="G1830" t="s">
        <v>1448</v>
      </c>
      <c r="H1830" t="s">
        <v>15</v>
      </c>
      <c r="I1830" s="26" t="s">
        <v>576</v>
      </c>
    </row>
    <row r="1831" spans="1:9" x14ac:dyDescent="0.3">
      <c r="A1831" s="24">
        <v>45363</v>
      </c>
      <c r="B1831" t="s">
        <v>193</v>
      </c>
      <c r="C1831" t="s">
        <v>202</v>
      </c>
      <c r="D1831">
        <v>0.03</v>
      </c>
      <c r="E1831" t="s">
        <v>953</v>
      </c>
      <c r="F1831" t="s">
        <v>31</v>
      </c>
      <c r="G1831" t="s">
        <v>1449</v>
      </c>
      <c r="H1831" t="s">
        <v>15</v>
      </c>
      <c r="I1831" s="26" t="s">
        <v>576</v>
      </c>
    </row>
    <row r="1832" spans="1:9" x14ac:dyDescent="0.3">
      <c r="A1832" s="24">
        <v>45363</v>
      </c>
      <c r="B1832" t="s">
        <v>193</v>
      </c>
      <c r="C1832" t="s">
        <v>53</v>
      </c>
      <c r="D1832">
        <v>0.17</v>
      </c>
      <c r="E1832" t="s">
        <v>54</v>
      </c>
      <c r="F1832" t="s">
        <v>55</v>
      </c>
      <c r="G1832" t="s">
        <v>1450</v>
      </c>
      <c r="H1832" t="s">
        <v>15</v>
      </c>
      <c r="I1832" s="26" t="s">
        <v>576</v>
      </c>
    </row>
    <row r="1833" spans="1:9" x14ac:dyDescent="0.3">
      <c r="A1833" s="24">
        <v>45363</v>
      </c>
      <c r="B1833" t="s">
        <v>193</v>
      </c>
      <c r="C1833" t="s">
        <v>60</v>
      </c>
      <c r="D1833">
        <v>0.32</v>
      </c>
      <c r="E1833" t="s">
        <v>162</v>
      </c>
      <c r="F1833" t="s">
        <v>31</v>
      </c>
      <c r="G1833" t="s">
        <v>1451</v>
      </c>
      <c r="H1833" t="s">
        <v>15</v>
      </c>
      <c r="I1833" s="26" t="s">
        <v>576</v>
      </c>
    </row>
    <row r="1834" spans="1:9" x14ac:dyDescent="0.3">
      <c r="A1834" s="24">
        <v>45363</v>
      </c>
      <c r="B1834" t="s">
        <v>193</v>
      </c>
      <c r="C1834" t="s">
        <v>60</v>
      </c>
      <c r="D1834">
        <v>0.45</v>
      </c>
      <c r="E1834" t="s">
        <v>162</v>
      </c>
      <c r="F1834" t="s">
        <v>31</v>
      </c>
      <c r="G1834" t="s">
        <v>1452</v>
      </c>
      <c r="H1834" t="s">
        <v>15</v>
      </c>
      <c r="I1834" s="26" t="s">
        <v>576</v>
      </c>
    </row>
    <row r="1835" spans="1:9" x14ac:dyDescent="0.3">
      <c r="A1835" s="24">
        <v>45363</v>
      </c>
      <c r="B1835" t="s">
        <v>193</v>
      </c>
      <c r="C1835" t="s">
        <v>60</v>
      </c>
      <c r="D1835">
        <v>0.55000000000000004</v>
      </c>
      <c r="E1835" t="s">
        <v>162</v>
      </c>
      <c r="F1835" t="s">
        <v>31</v>
      </c>
      <c r="G1835" t="s">
        <v>1453</v>
      </c>
      <c r="H1835" t="s">
        <v>15</v>
      </c>
      <c r="I1835" s="26" t="s">
        <v>576</v>
      </c>
    </row>
    <row r="1836" spans="1:9" x14ac:dyDescent="0.3">
      <c r="A1836" s="24">
        <v>45363</v>
      </c>
      <c r="B1836" t="s">
        <v>193</v>
      </c>
      <c r="C1836" t="s">
        <v>60</v>
      </c>
      <c r="D1836">
        <v>0.67</v>
      </c>
      <c r="E1836" t="s">
        <v>1246</v>
      </c>
      <c r="F1836" t="s">
        <v>31</v>
      </c>
      <c r="G1836" t="s">
        <v>1454</v>
      </c>
      <c r="H1836" t="s">
        <v>15</v>
      </c>
      <c r="I1836" s="26" t="s">
        <v>576</v>
      </c>
    </row>
    <row r="1837" spans="1:9" x14ac:dyDescent="0.3">
      <c r="A1837" s="24">
        <v>45363</v>
      </c>
      <c r="B1837" t="s">
        <v>193</v>
      </c>
      <c r="C1837" t="s">
        <v>60</v>
      </c>
      <c r="D1837">
        <v>0.78</v>
      </c>
      <c r="E1837" t="s">
        <v>162</v>
      </c>
      <c r="F1837" t="s">
        <v>31</v>
      </c>
      <c r="G1837" t="s">
        <v>1455</v>
      </c>
      <c r="H1837" t="s">
        <v>15</v>
      </c>
      <c r="I1837" s="26" t="s">
        <v>576</v>
      </c>
    </row>
    <row r="1838" spans="1:9" x14ac:dyDescent="0.3">
      <c r="A1838" s="24">
        <v>45363</v>
      </c>
      <c r="B1838" t="s">
        <v>212</v>
      </c>
      <c r="C1838" t="s">
        <v>89</v>
      </c>
      <c r="D1838">
        <v>0.1</v>
      </c>
      <c r="E1838" t="s">
        <v>54</v>
      </c>
      <c r="F1838" t="s">
        <v>55</v>
      </c>
      <c r="G1838" t="s">
        <v>1456</v>
      </c>
      <c r="H1838" t="s">
        <v>15</v>
      </c>
      <c r="I1838" s="26" t="s">
        <v>576</v>
      </c>
    </row>
    <row r="1839" spans="1:9" x14ac:dyDescent="0.3">
      <c r="A1839" s="24">
        <v>45363</v>
      </c>
      <c r="B1839" t="s">
        <v>212</v>
      </c>
      <c r="C1839" t="s">
        <v>85</v>
      </c>
      <c r="D1839">
        <v>0.05</v>
      </c>
      <c r="E1839" t="s">
        <v>1457</v>
      </c>
      <c r="F1839" t="s">
        <v>55</v>
      </c>
      <c r="G1839" t="s">
        <v>489</v>
      </c>
      <c r="H1839" t="s">
        <v>15</v>
      </c>
      <c r="I1839" s="26" t="s">
        <v>576</v>
      </c>
    </row>
    <row r="1840" spans="1:9" x14ac:dyDescent="0.3">
      <c r="A1840" s="24">
        <v>45363</v>
      </c>
      <c r="B1840" t="s">
        <v>212</v>
      </c>
      <c r="C1840" t="s">
        <v>85</v>
      </c>
      <c r="D1840">
        <v>7.0000000000000007E-2</v>
      </c>
      <c r="E1840" t="s">
        <v>304</v>
      </c>
      <c r="F1840" t="s">
        <v>55</v>
      </c>
      <c r="G1840" t="s">
        <v>489</v>
      </c>
      <c r="H1840" t="s">
        <v>15</v>
      </c>
      <c r="I1840" s="26" t="s">
        <v>576</v>
      </c>
    </row>
    <row r="1841" spans="1:9" x14ac:dyDescent="0.3">
      <c r="A1841" s="24">
        <v>45363</v>
      </c>
      <c r="B1841" t="s">
        <v>212</v>
      </c>
      <c r="C1841" t="s">
        <v>85</v>
      </c>
      <c r="D1841">
        <v>0.08</v>
      </c>
      <c r="E1841" t="s">
        <v>91</v>
      </c>
      <c r="F1841" t="s">
        <v>55</v>
      </c>
      <c r="G1841" t="s">
        <v>489</v>
      </c>
      <c r="H1841" t="s">
        <v>15</v>
      </c>
      <c r="I1841" s="26" t="s">
        <v>576</v>
      </c>
    </row>
    <row r="1842" spans="1:9" x14ac:dyDescent="0.3">
      <c r="A1842" s="24">
        <v>45363</v>
      </c>
      <c r="B1842" t="s">
        <v>212</v>
      </c>
      <c r="C1842" t="s">
        <v>85</v>
      </c>
      <c r="D1842">
        <v>0.08</v>
      </c>
      <c r="E1842" t="s">
        <v>524</v>
      </c>
      <c r="F1842" t="s">
        <v>55</v>
      </c>
      <c r="G1842" t="s">
        <v>973</v>
      </c>
      <c r="H1842" t="s">
        <v>15</v>
      </c>
      <c r="I1842" s="26" t="s">
        <v>576</v>
      </c>
    </row>
    <row r="1843" spans="1:9" x14ac:dyDescent="0.3">
      <c r="A1843" s="24">
        <v>45363</v>
      </c>
      <c r="B1843" t="s">
        <v>212</v>
      </c>
      <c r="C1843" t="s">
        <v>85</v>
      </c>
      <c r="D1843">
        <v>0.08</v>
      </c>
      <c r="E1843" t="s">
        <v>967</v>
      </c>
      <c r="F1843" t="s">
        <v>55</v>
      </c>
      <c r="G1843" t="s">
        <v>489</v>
      </c>
      <c r="H1843" t="s">
        <v>15</v>
      </c>
      <c r="I1843" s="26" t="s">
        <v>576</v>
      </c>
    </row>
    <row r="1844" spans="1:9" x14ac:dyDescent="0.3">
      <c r="A1844" s="24">
        <v>45363</v>
      </c>
      <c r="B1844" t="s">
        <v>212</v>
      </c>
      <c r="C1844" t="s">
        <v>85</v>
      </c>
      <c r="D1844">
        <v>0.08</v>
      </c>
      <c r="E1844" t="s">
        <v>229</v>
      </c>
      <c r="F1844" t="s">
        <v>55</v>
      </c>
      <c r="G1844" t="s">
        <v>489</v>
      </c>
      <c r="H1844" t="s">
        <v>15</v>
      </c>
      <c r="I1844" s="26" t="s">
        <v>576</v>
      </c>
    </row>
    <row r="1845" spans="1:9" x14ac:dyDescent="0.3">
      <c r="A1845" s="24">
        <v>45363</v>
      </c>
      <c r="B1845" t="s">
        <v>212</v>
      </c>
      <c r="C1845" t="s">
        <v>85</v>
      </c>
      <c r="D1845">
        <v>0.08</v>
      </c>
      <c r="E1845" t="s">
        <v>108</v>
      </c>
      <c r="F1845" t="s">
        <v>55</v>
      </c>
      <c r="G1845" t="s">
        <v>489</v>
      </c>
      <c r="H1845" t="s">
        <v>15</v>
      </c>
      <c r="I1845" s="26" t="s">
        <v>576</v>
      </c>
    </row>
    <row r="1846" spans="1:9" x14ac:dyDescent="0.3">
      <c r="A1846" s="24">
        <v>45363</v>
      </c>
      <c r="B1846" t="s">
        <v>212</v>
      </c>
      <c r="C1846" t="s">
        <v>85</v>
      </c>
      <c r="D1846">
        <v>0.08</v>
      </c>
      <c r="E1846" t="s">
        <v>156</v>
      </c>
      <c r="F1846" t="s">
        <v>55</v>
      </c>
      <c r="G1846" t="s">
        <v>489</v>
      </c>
      <c r="H1846" t="s">
        <v>15</v>
      </c>
      <c r="I1846" s="26" t="s">
        <v>576</v>
      </c>
    </row>
    <row r="1847" spans="1:9" x14ac:dyDescent="0.3">
      <c r="A1847" s="24">
        <v>45363</v>
      </c>
      <c r="B1847" t="s">
        <v>212</v>
      </c>
      <c r="C1847" t="s">
        <v>85</v>
      </c>
      <c r="D1847">
        <v>0.08</v>
      </c>
      <c r="E1847" t="s">
        <v>1458</v>
      </c>
      <c r="F1847" t="s">
        <v>55</v>
      </c>
      <c r="G1847" t="s">
        <v>489</v>
      </c>
      <c r="H1847" t="s">
        <v>15</v>
      </c>
      <c r="I1847" s="26" t="s">
        <v>576</v>
      </c>
    </row>
    <row r="1848" spans="1:9" x14ac:dyDescent="0.3">
      <c r="A1848" s="24">
        <v>45363</v>
      </c>
      <c r="B1848" t="s">
        <v>212</v>
      </c>
      <c r="C1848" t="s">
        <v>85</v>
      </c>
      <c r="D1848">
        <v>0.1</v>
      </c>
      <c r="E1848" t="s">
        <v>106</v>
      </c>
      <c r="F1848" t="s">
        <v>55</v>
      </c>
      <c r="G1848" t="s">
        <v>1459</v>
      </c>
      <c r="H1848" t="s">
        <v>15</v>
      </c>
      <c r="I1848" s="26" t="s">
        <v>576</v>
      </c>
    </row>
    <row r="1849" spans="1:9" x14ac:dyDescent="0.3">
      <c r="A1849" s="24">
        <v>45363</v>
      </c>
      <c r="B1849" t="s">
        <v>212</v>
      </c>
      <c r="C1849" t="s">
        <v>85</v>
      </c>
      <c r="D1849">
        <v>0.12</v>
      </c>
      <c r="E1849" t="s">
        <v>106</v>
      </c>
      <c r="F1849" t="s">
        <v>55</v>
      </c>
      <c r="G1849" t="s">
        <v>32</v>
      </c>
      <c r="H1849" t="s">
        <v>15</v>
      </c>
      <c r="I1849" s="26" t="s">
        <v>576</v>
      </c>
    </row>
    <row r="1850" spans="1:9" x14ac:dyDescent="0.3">
      <c r="A1850" s="24">
        <v>45363</v>
      </c>
      <c r="B1850" t="s">
        <v>212</v>
      </c>
      <c r="C1850" t="s">
        <v>85</v>
      </c>
      <c r="D1850">
        <v>0.15</v>
      </c>
      <c r="E1850" t="s">
        <v>54</v>
      </c>
      <c r="F1850" t="s">
        <v>55</v>
      </c>
      <c r="G1850" t="s">
        <v>1460</v>
      </c>
      <c r="H1850" t="s">
        <v>15</v>
      </c>
      <c r="I1850" s="26" t="s">
        <v>576</v>
      </c>
    </row>
    <row r="1851" spans="1:9" x14ac:dyDescent="0.3">
      <c r="A1851" s="24">
        <v>45363</v>
      </c>
      <c r="B1851" t="s">
        <v>212</v>
      </c>
      <c r="C1851" t="s">
        <v>85</v>
      </c>
      <c r="D1851">
        <v>0.17</v>
      </c>
      <c r="E1851" t="s">
        <v>112</v>
      </c>
      <c r="F1851" t="s">
        <v>55</v>
      </c>
      <c r="G1851" t="s">
        <v>1461</v>
      </c>
      <c r="H1851" t="s">
        <v>15</v>
      </c>
      <c r="I1851" s="26" t="s">
        <v>576</v>
      </c>
    </row>
    <row r="1852" spans="1:9" x14ac:dyDescent="0.3">
      <c r="A1852" s="24">
        <v>45363</v>
      </c>
      <c r="B1852" t="s">
        <v>212</v>
      </c>
      <c r="C1852" t="s">
        <v>85</v>
      </c>
      <c r="D1852">
        <v>0.18</v>
      </c>
      <c r="E1852" t="s">
        <v>139</v>
      </c>
      <c r="F1852" t="s">
        <v>55</v>
      </c>
      <c r="G1852" t="s">
        <v>489</v>
      </c>
      <c r="H1852" t="s">
        <v>15</v>
      </c>
      <c r="I1852" s="26" t="s">
        <v>576</v>
      </c>
    </row>
    <row r="1853" spans="1:9" x14ac:dyDescent="0.3">
      <c r="A1853" s="24">
        <v>45363</v>
      </c>
      <c r="B1853" t="s">
        <v>212</v>
      </c>
      <c r="C1853" t="s">
        <v>85</v>
      </c>
      <c r="D1853">
        <v>0.48</v>
      </c>
      <c r="E1853" t="s">
        <v>54</v>
      </c>
      <c r="F1853" t="s">
        <v>55</v>
      </c>
      <c r="G1853" t="s">
        <v>1462</v>
      </c>
      <c r="H1853" t="s">
        <v>15</v>
      </c>
      <c r="I1853" s="26" t="s">
        <v>576</v>
      </c>
    </row>
    <row r="1854" spans="1:9" x14ac:dyDescent="0.3">
      <c r="A1854" s="24">
        <v>45363</v>
      </c>
      <c r="B1854" t="s">
        <v>212</v>
      </c>
      <c r="C1854" t="s">
        <v>53</v>
      </c>
      <c r="D1854">
        <v>0.25</v>
      </c>
      <c r="E1854" t="s">
        <v>54</v>
      </c>
      <c r="F1854" t="s">
        <v>55</v>
      </c>
      <c r="G1854" t="s">
        <v>221</v>
      </c>
      <c r="H1854" t="s">
        <v>15</v>
      </c>
      <c r="I1854" s="26" t="s">
        <v>576</v>
      </c>
    </row>
    <row r="1855" spans="1:9" x14ac:dyDescent="0.3">
      <c r="A1855" s="24">
        <v>45363</v>
      </c>
      <c r="B1855" t="s">
        <v>212</v>
      </c>
      <c r="C1855" t="s">
        <v>53</v>
      </c>
      <c r="D1855">
        <v>0.25</v>
      </c>
      <c r="E1855" t="s">
        <v>54</v>
      </c>
      <c r="F1855" t="s">
        <v>55</v>
      </c>
      <c r="G1855" t="s">
        <v>978</v>
      </c>
      <c r="H1855" t="s">
        <v>15</v>
      </c>
      <c r="I1855" s="26" t="s">
        <v>576</v>
      </c>
    </row>
    <row r="1856" spans="1:9" x14ac:dyDescent="0.3">
      <c r="A1856" s="24">
        <v>45363</v>
      </c>
      <c r="B1856" t="s">
        <v>212</v>
      </c>
      <c r="C1856" t="s">
        <v>53</v>
      </c>
      <c r="D1856">
        <v>0.53</v>
      </c>
      <c r="E1856" t="s">
        <v>54</v>
      </c>
      <c r="F1856" t="s">
        <v>55</v>
      </c>
      <c r="H1856" t="s">
        <v>15</v>
      </c>
      <c r="I1856" s="26" t="s">
        <v>576</v>
      </c>
    </row>
    <row r="1857" spans="1:9" x14ac:dyDescent="0.3">
      <c r="A1857" s="24">
        <v>45363</v>
      </c>
      <c r="B1857" t="s">
        <v>212</v>
      </c>
      <c r="C1857" t="s">
        <v>53</v>
      </c>
      <c r="D1857">
        <v>0.78</v>
      </c>
      <c r="E1857" t="s">
        <v>54</v>
      </c>
      <c r="F1857" t="s">
        <v>55</v>
      </c>
      <c r="G1857" t="s">
        <v>1463</v>
      </c>
      <c r="H1857" t="s">
        <v>15</v>
      </c>
      <c r="I1857" s="26" t="s">
        <v>576</v>
      </c>
    </row>
    <row r="1858" spans="1:9" x14ac:dyDescent="0.3">
      <c r="A1858" s="24">
        <v>45363</v>
      </c>
      <c r="B1858" t="s">
        <v>212</v>
      </c>
      <c r="C1858" t="s">
        <v>53</v>
      </c>
      <c r="D1858">
        <v>0.87</v>
      </c>
      <c r="E1858" t="s">
        <v>54</v>
      </c>
      <c r="F1858" t="s">
        <v>55</v>
      </c>
      <c r="G1858" t="s">
        <v>1464</v>
      </c>
      <c r="H1858" t="s">
        <v>15</v>
      </c>
      <c r="I1858" s="26" t="s">
        <v>576</v>
      </c>
    </row>
    <row r="1859" spans="1:9" x14ac:dyDescent="0.3">
      <c r="A1859" s="24">
        <v>45363</v>
      </c>
      <c r="B1859" t="s">
        <v>212</v>
      </c>
      <c r="C1859" t="s">
        <v>53</v>
      </c>
      <c r="D1859">
        <v>1.1000000000000001</v>
      </c>
      <c r="E1859" t="s">
        <v>54</v>
      </c>
      <c r="F1859" t="s">
        <v>55</v>
      </c>
      <c r="G1859" t="s">
        <v>1465</v>
      </c>
      <c r="H1859" t="s">
        <v>15</v>
      </c>
      <c r="I1859" s="26" t="s">
        <v>576</v>
      </c>
    </row>
    <row r="1860" spans="1:9" x14ac:dyDescent="0.3">
      <c r="A1860" s="24">
        <v>45363</v>
      </c>
      <c r="B1860" t="s">
        <v>212</v>
      </c>
      <c r="C1860" t="s">
        <v>491</v>
      </c>
      <c r="D1860">
        <v>0.47</v>
      </c>
      <c r="E1860" t="s">
        <v>112</v>
      </c>
      <c r="F1860" t="s">
        <v>55</v>
      </c>
      <c r="G1860" t="s">
        <v>1466</v>
      </c>
      <c r="H1860" t="s">
        <v>15</v>
      </c>
      <c r="I1860" s="26" t="s">
        <v>576</v>
      </c>
    </row>
    <row r="1861" spans="1:9" x14ac:dyDescent="0.3">
      <c r="A1861" s="24">
        <v>45363</v>
      </c>
      <c r="B1861" t="s">
        <v>212</v>
      </c>
      <c r="C1861" t="s">
        <v>225</v>
      </c>
      <c r="D1861">
        <v>0.18</v>
      </c>
      <c r="E1861" t="s">
        <v>217</v>
      </c>
      <c r="F1861" t="s">
        <v>31</v>
      </c>
      <c r="H1861" t="s">
        <v>15</v>
      </c>
      <c r="I1861" s="26" t="s">
        <v>576</v>
      </c>
    </row>
    <row r="1862" spans="1:9" x14ac:dyDescent="0.3">
      <c r="A1862" s="24">
        <v>45363</v>
      </c>
      <c r="B1862" t="s">
        <v>212</v>
      </c>
      <c r="C1862" t="s">
        <v>225</v>
      </c>
      <c r="D1862">
        <v>0.22</v>
      </c>
      <c r="E1862" t="s">
        <v>304</v>
      </c>
      <c r="F1862" t="s">
        <v>31</v>
      </c>
      <c r="G1862" t="s">
        <v>228</v>
      </c>
      <c r="H1862" t="s">
        <v>15</v>
      </c>
      <c r="I1862" s="26" t="s">
        <v>576</v>
      </c>
    </row>
    <row r="1863" spans="1:9" x14ac:dyDescent="0.3">
      <c r="A1863" s="24">
        <v>45363</v>
      </c>
      <c r="B1863" t="s">
        <v>212</v>
      </c>
      <c r="C1863" t="s">
        <v>267</v>
      </c>
      <c r="D1863">
        <v>1.37</v>
      </c>
      <c r="E1863" t="s">
        <v>54</v>
      </c>
      <c r="F1863" t="s">
        <v>55</v>
      </c>
      <c r="G1863" t="s">
        <v>1467</v>
      </c>
      <c r="H1863" t="s">
        <v>15</v>
      </c>
      <c r="I1863" s="26" t="s">
        <v>576</v>
      </c>
    </row>
    <row r="1864" spans="1:9" x14ac:dyDescent="0.3">
      <c r="A1864" s="24">
        <v>45363</v>
      </c>
      <c r="B1864" t="s">
        <v>498</v>
      </c>
      <c r="C1864" t="s">
        <v>123</v>
      </c>
      <c r="D1864">
        <v>1</v>
      </c>
      <c r="E1864" t="s">
        <v>54</v>
      </c>
      <c r="F1864" t="s">
        <v>55</v>
      </c>
      <c r="G1864" t="s">
        <v>1468</v>
      </c>
      <c r="H1864" t="s">
        <v>15</v>
      </c>
      <c r="I1864" s="26" t="s">
        <v>576</v>
      </c>
    </row>
    <row r="1865" spans="1:9" x14ac:dyDescent="0.3">
      <c r="A1865" s="24">
        <v>45363</v>
      </c>
      <c r="B1865" t="s">
        <v>498</v>
      </c>
      <c r="C1865" t="s">
        <v>173</v>
      </c>
      <c r="D1865">
        <v>6.5</v>
      </c>
      <c r="E1865" t="s">
        <v>49</v>
      </c>
      <c r="F1865" t="s">
        <v>31</v>
      </c>
      <c r="G1865" t="s">
        <v>1469</v>
      </c>
      <c r="H1865" t="s">
        <v>15</v>
      </c>
      <c r="I1865" s="26" t="s">
        <v>576</v>
      </c>
    </row>
    <row r="1866" spans="1:9" x14ac:dyDescent="0.3">
      <c r="A1866" s="24">
        <v>45363</v>
      </c>
      <c r="B1866" t="s">
        <v>240</v>
      </c>
      <c r="C1866" t="s">
        <v>29</v>
      </c>
      <c r="D1866">
        <v>1.5</v>
      </c>
      <c r="E1866" t="s">
        <v>241</v>
      </c>
      <c r="F1866" t="s">
        <v>31</v>
      </c>
      <c r="H1866" t="s">
        <v>15</v>
      </c>
      <c r="I1866" s="26" t="s">
        <v>576</v>
      </c>
    </row>
    <row r="1867" spans="1:9" x14ac:dyDescent="0.3">
      <c r="A1867" s="24">
        <v>45363</v>
      </c>
      <c r="B1867" t="s">
        <v>240</v>
      </c>
      <c r="C1867" t="s">
        <v>29</v>
      </c>
      <c r="D1867">
        <v>6.12</v>
      </c>
      <c r="E1867" t="s">
        <v>81</v>
      </c>
      <c r="F1867" t="s">
        <v>31</v>
      </c>
      <c r="H1867" t="s">
        <v>15</v>
      </c>
      <c r="I1867" s="26" t="s">
        <v>576</v>
      </c>
    </row>
    <row r="1868" spans="1:9" x14ac:dyDescent="0.3">
      <c r="A1868" s="24">
        <v>45363</v>
      </c>
      <c r="B1868" t="s">
        <v>240</v>
      </c>
      <c r="C1868" t="s">
        <v>53</v>
      </c>
      <c r="D1868">
        <v>0.15</v>
      </c>
      <c r="E1868" t="s">
        <v>54</v>
      </c>
      <c r="F1868" t="s">
        <v>55</v>
      </c>
      <c r="G1868" t="s">
        <v>1470</v>
      </c>
      <c r="H1868" t="s">
        <v>15</v>
      </c>
      <c r="I1868" s="26" t="s">
        <v>576</v>
      </c>
    </row>
    <row r="1869" spans="1:9" x14ac:dyDescent="0.3">
      <c r="A1869" s="24">
        <v>45363</v>
      </c>
      <c r="B1869" t="s">
        <v>240</v>
      </c>
      <c r="C1869" t="s">
        <v>60</v>
      </c>
      <c r="D1869">
        <v>0.32</v>
      </c>
      <c r="E1869" t="s">
        <v>139</v>
      </c>
      <c r="F1869" t="s">
        <v>31</v>
      </c>
      <c r="H1869" t="s">
        <v>15</v>
      </c>
      <c r="I1869" s="26" t="s">
        <v>576</v>
      </c>
    </row>
    <row r="1870" spans="1:9" x14ac:dyDescent="0.3">
      <c r="A1870" s="24">
        <v>45363</v>
      </c>
      <c r="B1870" t="s">
        <v>245</v>
      </c>
      <c r="C1870" t="s">
        <v>29</v>
      </c>
      <c r="D1870">
        <v>1</v>
      </c>
      <c r="E1870" t="s">
        <v>91</v>
      </c>
      <c r="F1870" t="s">
        <v>31</v>
      </c>
      <c r="G1870" t="s">
        <v>1471</v>
      </c>
      <c r="H1870" t="s">
        <v>15</v>
      </c>
      <c r="I1870" s="26" t="s">
        <v>576</v>
      </c>
    </row>
    <row r="1871" spans="1:9" x14ac:dyDescent="0.3">
      <c r="A1871" s="24">
        <v>45363</v>
      </c>
      <c r="B1871" t="s">
        <v>249</v>
      </c>
      <c r="C1871" t="s">
        <v>252</v>
      </c>
      <c r="D1871">
        <v>2.5</v>
      </c>
      <c r="E1871" t="s">
        <v>54</v>
      </c>
      <c r="F1871" t="s">
        <v>55</v>
      </c>
      <c r="H1871" t="s">
        <v>15</v>
      </c>
      <c r="I1871" s="26" t="s">
        <v>576</v>
      </c>
    </row>
    <row r="1872" spans="1:9" x14ac:dyDescent="0.3">
      <c r="A1872" s="24">
        <v>45363</v>
      </c>
      <c r="B1872" t="s">
        <v>249</v>
      </c>
      <c r="C1872" t="s">
        <v>252</v>
      </c>
      <c r="D1872">
        <v>5</v>
      </c>
      <c r="E1872" t="s">
        <v>81</v>
      </c>
      <c r="F1872" t="s">
        <v>31</v>
      </c>
      <c r="H1872" t="s">
        <v>15</v>
      </c>
      <c r="I1872" s="26" t="s">
        <v>576</v>
      </c>
    </row>
    <row r="1873" spans="1:9" x14ac:dyDescent="0.3">
      <c r="A1873" s="24">
        <v>45363</v>
      </c>
      <c r="B1873" t="s">
        <v>249</v>
      </c>
      <c r="C1873" t="s">
        <v>53</v>
      </c>
      <c r="D1873">
        <v>0.5</v>
      </c>
      <c r="E1873" t="s">
        <v>54</v>
      </c>
      <c r="F1873" t="s">
        <v>55</v>
      </c>
      <c r="G1873" t="s">
        <v>110</v>
      </c>
      <c r="H1873" t="s">
        <v>15</v>
      </c>
      <c r="I1873" s="26" t="s">
        <v>576</v>
      </c>
    </row>
    <row r="1874" spans="1:9" x14ac:dyDescent="0.3">
      <c r="A1874" s="24">
        <v>45363</v>
      </c>
      <c r="B1874" t="s">
        <v>256</v>
      </c>
      <c r="C1874" t="s">
        <v>159</v>
      </c>
      <c r="D1874">
        <v>1.23</v>
      </c>
      <c r="E1874" t="s">
        <v>54</v>
      </c>
      <c r="F1874" t="s">
        <v>55</v>
      </c>
      <c r="G1874" t="s">
        <v>1472</v>
      </c>
      <c r="H1874" t="s">
        <v>15</v>
      </c>
      <c r="I1874" s="26" t="s">
        <v>576</v>
      </c>
    </row>
    <row r="1875" spans="1:9" x14ac:dyDescent="0.3">
      <c r="A1875" s="24">
        <v>45363</v>
      </c>
      <c r="B1875" t="s">
        <v>256</v>
      </c>
      <c r="C1875" t="s">
        <v>159</v>
      </c>
      <c r="D1875">
        <v>2.2000000000000002</v>
      </c>
      <c r="E1875" t="s">
        <v>81</v>
      </c>
      <c r="F1875" t="s">
        <v>31</v>
      </c>
      <c r="G1875" t="s">
        <v>504</v>
      </c>
      <c r="H1875" t="s">
        <v>15</v>
      </c>
      <c r="I1875" s="26" t="s">
        <v>576</v>
      </c>
    </row>
    <row r="1876" spans="1:9" x14ac:dyDescent="0.3">
      <c r="A1876" s="24">
        <v>45363</v>
      </c>
      <c r="B1876" t="s">
        <v>256</v>
      </c>
      <c r="C1876" t="s">
        <v>159</v>
      </c>
      <c r="D1876">
        <v>5.83</v>
      </c>
      <c r="E1876" t="s">
        <v>81</v>
      </c>
      <c r="F1876" t="s">
        <v>31</v>
      </c>
      <c r="G1876" t="s">
        <v>1314</v>
      </c>
      <c r="H1876" t="s">
        <v>15</v>
      </c>
      <c r="I1876" s="26" t="s">
        <v>576</v>
      </c>
    </row>
    <row r="1877" spans="1:9" x14ac:dyDescent="0.3">
      <c r="A1877" s="24">
        <v>45363</v>
      </c>
      <c r="B1877" t="s">
        <v>262</v>
      </c>
      <c r="C1877" t="s">
        <v>29</v>
      </c>
      <c r="D1877">
        <v>1.05</v>
      </c>
      <c r="E1877" t="s">
        <v>263</v>
      </c>
      <c r="F1877" t="s">
        <v>31</v>
      </c>
      <c r="G1877" t="s">
        <v>1473</v>
      </c>
      <c r="H1877" t="s">
        <v>15</v>
      </c>
      <c r="I1877" s="26" t="s">
        <v>576</v>
      </c>
    </row>
    <row r="1878" spans="1:9" x14ac:dyDescent="0.3">
      <c r="A1878" s="24">
        <v>45363</v>
      </c>
      <c r="B1878" t="s">
        <v>262</v>
      </c>
      <c r="C1878" t="s">
        <v>29</v>
      </c>
      <c r="D1878">
        <v>2.0299999999999998</v>
      </c>
      <c r="E1878" t="s">
        <v>263</v>
      </c>
      <c r="F1878" t="s">
        <v>31</v>
      </c>
      <c r="G1878" t="s">
        <v>1474</v>
      </c>
      <c r="H1878" t="s">
        <v>15</v>
      </c>
      <c r="I1878" s="26" t="s">
        <v>576</v>
      </c>
    </row>
    <row r="1879" spans="1:9" x14ac:dyDescent="0.3">
      <c r="A1879" s="24">
        <v>45363</v>
      </c>
      <c r="B1879" t="s">
        <v>262</v>
      </c>
      <c r="C1879" t="s">
        <v>29</v>
      </c>
      <c r="D1879">
        <v>4.43</v>
      </c>
      <c r="E1879" t="s">
        <v>263</v>
      </c>
      <c r="F1879" t="s">
        <v>31</v>
      </c>
      <c r="G1879" t="s">
        <v>1475</v>
      </c>
      <c r="H1879" t="s">
        <v>15</v>
      </c>
      <c r="I1879" s="26" t="s">
        <v>576</v>
      </c>
    </row>
    <row r="1880" spans="1:9" x14ac:dyDescent="0.3">
      <c r="A1880" s="24">
        <v>45363</v>
      </c>
      <c r="B1880" t="s">
        <v>262</v>
      </c>
      <c r="C1880" t="s">
        <v>53</v>
      </c>
      <c r="D1880">
        <v>0.5</v>
      </c>
      <c r="E1880" t="s">
        <v>54</v>
      </c>
      <c r="F1880" t="s">
        <v>55</v>
      </c>
      <c r="G1880" t="s">
        <v>253</v>
      </c>
      <c r="H1880" t="s">
        <v>15</v>
      </c>
      <c r="I1880" s="26" t="s">
        <v>576</v>
      </c>
    </row>
    <row r="1881" spans="1:9" x14ac:dyDescent="0.3">
      <c r="A1881" s="24">
        <v>45363</v>
      </c>
      <c r="B1881" t="s">
        <v>266</v>
      </c>
      <c r="C1881" t="s">
        <v>267</v>
      </c>
      <c r="D1881">
        <v>9</v>
      </c>
      <c r="E1881" t="s">
        <v>54</v>
      </c>
      <c r="F1881" t="s">
        <v>55</v>
      </c>
      <c r="G1881" t="s">
        <v>1318</v>
      </c>
      <c r="H1881" t="s">
        <v>15</v>
      </c>
      <c r="I1881" s="26" t="s">
        <v>576</v>
      </c>
    </row>
    <row r="1882" spans="1:9" x14ac:dyDescent="0.3">
      <c r="A1882" s="24">
        <v>45363</v>
      </c>
      <c r="B1882" t="s">
        <v>269</v>
      </c>
      <c r="C1882" t="s">
        <v>442</v>
      </c>
      <c r="D1882">
        <v>8</v>
      </c>
      <c r="E1882" t="s">
        <v>54</v>
      </c>
      <c r="F1882" t="s">
        <v>55</v>
      </c>
      <c r="H1882" t="s">
        <v>15</v>
      </c>
      <c r="I1882" s="26" t="s">
        <v>576</v>
      </c>
    </row>
    <row r="1883" spans="1:9" x14ac:dyDescent="0.3">
      <c r="A1883" s="24">
        <v>45363</v>
      </c>
      <c r="B1883" t="s">
        <v>278</v>
      </c>
      <c r="C1883" t="s">
        <v>279</v>
      </c>
      <c r="D1883">
        <v>0.4</v>
      </c>
      <c r="E1883" t="s">
        <v>54</v>
      </c>
      <c r="F1883" t="s">
        <v>55</v>
      </c>
      <c r="G1883" t="s">
        <v>1476</v>
      </c>
      <c r="H1883" t="s">
        <v>15</v>
      </c>
      <c r="I1883" s="26" t="s">
        <v>576</v>
      </c>
    </row>
    <row r="1884" spans="1:9" x14ac:dyDescent="0.3">
      <c r="A1884" s="24">
        <v>45363</v>
      </c>
      <c r="B1884" t="s">
        <v>278</v>
      </c>
      <c r="C1884" t="s">
        <v>279</v>
      </c>
      <c r="D1884">
        <v>4.2699999999999996</v>
      </c>
      <c r="E1884" t="s">
        <v>54</v>
      </c>
      <c r="F1884" t="s">
        <v>55</v>
      </c>
      <c r="G1884" t="s">
        <v>1477</v>
      </c>
      <c r="H1884" t="s">
        <v>15</v>
      </c>
      <c r="I1884" s="26" t="s">
        <v>576</v>
      </c>
    </row>
    <row r="1885" spans="1:9" x14ac:dyDescent="0.3">
      <c r="A1885" s="24">
        <v>45363</v>
      </c>
      <c r="B1885" t="s">
        <v>278</v>
      </c>
      <c r="C1885" t="s">
        <v>29</v>
      </c>
      <c r="D1885">
        <v>1.02</v>
      </c>
      <c r="E1885" t="s">
        <v>54</v>
      </c>
      <c r="F1885" t="s">
        <v>55</v>
      </c>
      <c r="G1885" t="s">
        <v>1478</v>
      </c>
      <c r="H1885" t="s">
        <v>15</v>
      </c>
      <c r="I1885" s="26" t="s">
        <v>576</v>
      </c>
    </row>
    <row r="1886" spans="1:9" x14ac:dyDescent="0.3">
      <c r="A1886" s="24">
        <v>45363</v>
      </c>
      <c r="B1886" t="s">
        <v>278</v>
      </c>
      <c r="C1886" t="s">
        <v>53</v>
      </c>
      <c r="D1886">
        <v>0.55000000000000004</v>
      </c>
      <c r="E1886" t="s">
        <v>254</v>
      </c>
      <c r="F1886" t="s">
        <v>55</v>
      </c>
      <c r="G1886" t="s">
        <v>1479</v>
      </c>
      <c r="H1886" t="s">
        <v>15</v>
      </c>
      <c r="I1886" s="26" t="s">
        <v>576</v>
      </c>
    </row>
    <row r="1887" spans="1:9" x14ac:dyDescent="0.3">
      <c r="A1887" s="24">
        <v>45363</v>
      </c>
      <c r="B1887" t="s">
        <v>278</v>
      </c>
      <c r="C1887" t="s">
        <v>58</v>
      </c>
      <c r="D1887">
        <v>0.33</v>
      </c>
      <c r="E1887" t="s">
        <v>254</v>
      </c>
      <c r="F1887" t="s">
        <v>55</v>
      </c>
      <c r="G1887" t="s">
        <v>1480</v>
      </c>
      <c r="H1887" t="s">
        <v>15</v>
      </c>
      <c r="I1887" s="26" t="s">
        <v>576</v>
      </c>
    </row>
    <row r="1888" spans="1:9" x14ac:dyDescent="0.3">
      <c r="A1888" s="24">
        <v>45363</v>
      </c>
      <c r="B1888" t="s">
        <v>278</v>
      </c>
      <c r="C1888" t="s">
        <v>60</v>
      </c>
      <c r="D1888">
        <v>2.6</v>
      </c>
      <c r="E1888" t="s">
        <v>254</v>
      </c>
      <c r="F1888" t="s">
        <v>55</v>
      </c>
      <c r="G1888" t="s">
        <v>1481</v>
      </c>
      <c r="H1888" t="s">
        <v>15</v>
      </c>
      <c r="I1888" s="26" t="s">
        <v>576</v>
      </c>
    </row>
    <row r="1889" spans="1:9" x14ac:dyDescent="0.3">
      <c r="A1889" s="24">
        <v>45363</v>
      </c>
      <c r="B1889" t="s">
        <v>286</v>
      </c>
      <c r="C1889" t="s">
        <v>287</v>
      </c>
      <c r="D1889">
        <v>10</v>
      </c>
      <c r="E1889" t="s">
        <v>54</v>
      </c>
      <c r="F1889" t="s">
        <v>55</v>
      </c>
      <c r="G1889" t="s">
        <v>1327</v>
      </c>
      <c r="H1889" t="s">
        <v>15</v>
      </c>
      <c r="I1889" s="26" t="s">
        <v>576</v>
      </c>
    </row>
    <row r="1890" spans="1:9" x14ac:dyDescent="0.3">
      <c r="A1890" s="24">
        <v>45363</v>
      </c>
      <c r="B1890" t="s">
        <v>289</v>
      </c>
      <c r="C1890" t="s">
        <v>29</v>
      </c>
      <c r="D1890">
        <v>0.25</v>
      </c>
      <c r="E1890" t="s">
        <v>524</v>
      </c>
      <c r="F1890" t="s">
        <v>31</v>
      </c>
      <c r="H1890" t="s">
        <v>15</v>
      </c>
      <c r="I1890" s="26" t="s">
        <v>576</v>
      </c>
    </row>
    <row r="1891" spans="1:9" x14ac:dyDescent="0.3">
      <c r="A1891" s="24">
        <v>45363</v>
      </c>
      <c r="B1891" t="s">
        <v>289</v>
      </c>
      <c r="C1891" t="s">
        <v>29</v>
      </c>
      <c r="D1891">
        <v>0.25</v>
      </c>
      <c r="E1891" t="s">
        <v>226</v>
      </c>
      <c r="F1891" t="s">
        <v>31</v>
      </c>
      <c r="H1891" t="s">
        <v>15</v>
      </c>
      <c r="I1891" s="26" t="s">
        <v>576</v>
      </c>
    </row>
    <row r="1892" spans="1:9" x14ac:dyDescent="0.3">
      <c r="A1892" s="24">
        <v>45363</v>
      </c>
      <c r="B1892" t="s">
        <v>289</v>
      </c>
      <c r="C1892" t="s">
        <v>29</v>
      </c>
      <c r="D1892">
        <v>0.5</v>
      </c>
      <c r="E1892" t="s">
        <v>291</v>
      </c>
      <c r="F1892" t="s">
        <v>31</v>
      </c>
      <c r="H1892" t="s">
        <v>15</v>
      </c>
      <c r="I1892" s="26" t="s">
        <v>576</v>
      </c>
    </row>
    <row r="1893" spans="1:9" x14ac:dyDescent="0.3">
      <c r="A1893" s="24">
        <v>45363</v>
      </c>
      <c r="B1893" t="s">
        <v>289</v>
      </c>
      <c r="C1893" t="s">
        <v>29</v>
      </c>
      <c r="D1893">
        <v>0.5</v>
      </c>
      <c r="E1893" t="s">
        <v>290</v>
      </c>
      <c r="F1893" t="s">
        <v>31</v>
      </c>
      <c r="H1893" t="s">
        <v>15</v>
      </c>
      <c r="I1893" s="26" t="s">
        <v>576</v>
      </c>
    </row>
    <row r="1894" spans="1:9" x14ac:dyDescent="0.3">
      <c r="A1894" s="24">
        <v>45363</v>
      </c>
      <c r="B1894" t="s">
        <v>289</v>
      </c>
      <c r="C1894" t="s">
        <v>29</v>
      </c>
      <c r="D1894">
        <v>2.5</v>
      </c>
      <c r="E1894" t="s">
        <v>49</v>
      </c>
      <c r="F1894" t="s">
        <v>31</v>
      </c>
      <c r="H1894" t="s">
        <v>15</v>
      </c>
      <c r="I1894" s="26" t="s">
        <v>576</v>
      </c>
    </row>
    <row r="1895" spans="1:9" x14ac:dyDescent="0.3">
      <c r="A1895" s="24">
        <v>45363</v>
      </c>
      <c r="B1895" t="s">
        <v>289</v>
      </c>
      <c r="C1895" t="s">
        <v>58</v>
      </c>
      <c r="D1895">
        <v>0.25</v>
      </c>
      <c r="E1895" t="s">
        <v>54</v>
      </c>
      <c r="F1895" t="s">
        <v>55</v>
      </c>
      <c r="G1895" t="s">
        <v>1482</v>
      </c>
      <c r="H1895" t="s">
        <v>15</v>
      </c>
      <c r="I1895" s="26" t="s">
        <v>576</v>
      </c>
    </row>
    <row r="1896" spans="1:9" x14ac:dyDescent="0.3">
      <c r="A1896" s="24">
        <v>45363</v>
      </c>
      <c r="B1896" t="s">
        <v>289</v>
      </c>
      <c r="C1896" t="s">
        <v>60</v>
      </c>
      <c r="D1896">
        <v>0.25</v>
      </c>
      <c r="E1896" t="s">
        <v>1021</v>
      </c>
      <c r="F1896" t="s">
        <v>31</v>
      </c>
      <c r="H1896" t="s">
        <v>15</v>
      </c>
      <c r="I1896" s="26" t="s">
        <v>576</v>
      </c>
    </row>
    <row r="1897" spans="1:9" x14ac:dyDescent="0.3">
      <c r="A1897" s="24">
        <v>45363</v>
      </c>
      <c r="B1897" t="s">
        <v>289</v>
      </c>
      <c r="C1897" t="s">
        <v>60</v>
      </c>
      <c r="D1897">
        <v>0.5</v>
      </c>
      <c r="E1897" t="s">
        <v>848</v>
      </c>
      <c r="F1897" t="s">
        <v>31</v>
      </c>
      <c r="H1897" t="s">
        <v>15</v>
      </c>
      <c r="I1897" s="26" t="s">
        <v>576</v>
      </c>
    </row>
    <row r="1898" spans="1:9" x14ac:dyDescent="0.3">
      <c r="A1898" s="24">
        <v>45363</v>
      </c>
      <c r="B1898" t="s">
        <v>294</v>
      </c>
      <c r="C1898" t="s">
        <v>202</v>
      </c>
      <c r="D1898">
        <v>0.05</v>
      </c>
      <c r="E1898" t="s">
        <v>295</v>
      </c>
      <c r="F1898" t="s">
        <v>55</v>
      </c>
      <c r="G1898" t="s">
        <v>1483</v>
      </c>
      <c r="H1898" t="s">
        <v>15</v>
      </c>
      <c r="I1898" s="26" t="s">
        <v>576</v>
      </c>
    </row>
    <row r="1899" spans="1:9" x14ac:dyDescent="0.3">
      <c r="A1899" s="24">
        <v>45363</v>
      </c>
      <c r="B1899" t="s">
        <v>294</v>
      </c>
      <c r="C1899" t="s">
        <v>202</v>
      </c>
      <c r="D1899">
        <v>0.08</v>
      </c>
      <c r="E1899" t="s">
        <v>1022</v>
      </c>
      <c r="F1899" t="s">
        <v>55</v>
      </c>
      <c r="G1899" t="s">
        <v>1484</v>
      </c>
      <c r="H1899" t="s">
        <v>15</v>
      </c>
      <c r="I1899" s="26" t="s">
        <v>576</v>
      </c>
    </row>
    <row r="1900" spans="1:9" x14ac:dyDescent="0.3">
      <c r="A1900" s="24">
        <v>45363</v>
      </c>
      <c r="B1900" t="s">
        <v>294</v>
      </c>
      <c r="C1900" t="s">
        <v>202</v>
      </c>
      <c r="D1900">
        <v>0.68</v>
      </c>
      <c r="E1900" t="s">
        <v>30</v>
      </c>
      <c r="F1900" t="s">
        <v>31</v>
      </c>
      <c r="G1900" t="s">
        <v>1485</v>
      </c>
      <c r="H1900" t="s">
        <v>15</v>
      </c>
      <c r="I1900" s="26" t="s">
        <v>576</v>
      </c>
    </row>
    <row r="1901" spans="1:9" x14ac:dyDescent="0.3">
      <c r="A1901" s="24">
        <v>45363</v>
      </c>
      <c r="B1901" t="s">
        <v>294</v>
      </c>
      <c r="C1901" t="s">
        <v>202</v>
      </c>
      <c r="D1901">
        <v>2.4500000000000002</v>
      </c>
      <c r="E1901" t="s">
        <v>30</v>
      </c>
      <c r="F1901" t="s">
        <v>55</v>
      </c>
      <c r="G1901" t="s">
        <v>1483</v>
      </c>
      <c r="H1901" t="s">
        <v>15</v>
      </c>
      <c r="I1901" s="26" t="s">
        <v>576</v>
      </c>
    </row>
    <row r="1902" spans="1:9" x14ac:dyDescent="0.3">
      <c r="A1902" s="24">
        <v>45363</v>
      </c>
      <c r="B1902" t="s">
        <v>294</v>
      </c>
      <c r="C1902" t="s">
        <v>53</v>
      </c>
      <c r="D1902">
        <v>0.4</v>
      </c>
      <c r="E1902" t="s">
        <v>54</v>
      </c>
      <c r="F1902" t="s">
        <v>55</v>
      </c>
      <c r="G1902" t="s">
        <v>300</v>
      </c>
      <c r="H1902" t="s">
        <v>15</v>
      </c>
      <c r="I1902" s="26" t="s">
        <v>576</v>
      </c>
    </row>
    <row r="1903" spans="1:9" x14ac:dyDescent="0.3">
      <c r="A1903" s="24">
        <v>45363</v>
      </c>
      <c r="B1903" t="s">
        <v>294</v>
      </c>
      <c r="C1903" t="s">
        <v>58</v>
      </c>
      <c r="D1903">
        <v>0.28000000000000003</v>
      </c>
      <c r="E1903" t="s">
        <v>54</v>
      </c>
      <c r="F1903" t="s">
        <v>55</v>
      </c>
      <c r="G1903" t="s">
        <v>1486</v>
      </c>
      <c r="H1903" t="s">
        <v>15</v>
      </c>
      <c r="I1903" s="26" t="s">
        <v>576</v>
      </c>
    </row>
    <row r="1904" spans="1:9" x14ac:dyDescent="0.3">
      <c r="A1904" s="24">
        <v>45363</v>
      </c>
      <c r="B1904" t="s">
        <v>301</v>
      </c>
      <c r="C1904" t="s">
        <v>29</v>
      </c>
      <c r="D1904">
        <v>0.6</v>
      </c>
      <c r="E1904" t="s">
        <v>156</v>
      </c>
      <c r="F1904" t="s">
        <v>31</v>
      </c>
      <c r="G1904" t="s">
        <v>1487</v>
      </c>
      <c r="H1904" t="s">
        <v>15</v>
      </c>
      <c r="I1904" s="26" t="s">
        <v>576</v>
      </c>
    </row>
    <row r="1905" spans="1:9" x14ac:dyDescent="0.3">
      <c r="A1905" s="24">
        <v>45363</v>
      </c>
      <c r="B1905" t="s">
        <v>301</v>
      </c>
      <c r="C1905" t="s">
        <v>29</v>
      </c>
      <c r="D1905">
        <v>0.78</v>
      </c>
      <c r="E1905" t="s">
        <v>156</v>
      </c>
      <c r="F1905" t="s">
        <v>31</v>
      </c>
      <c r="G1905" t="s">
        <v>1488</v>
      </c>
      <c r="H1905" t="s">
        <v>15</v>
      </c>
      <c r="I1905" s="26" t="s">
        <v>576</v>
      </c>
    </row>
    <row r="1906" spans="1:9" x14ac:dyDescent="0.3">
      <c r="A1906" s="24">
        <v>45363</v>
      </c>
      <c r="B1906" t="s">
        <v>301</v>
      </c>
      <c r="C1906" t="s">
        <v>29</v>
      </c>
      <c r="D1906">
        <v>1.42</v>
      </c>
      <c r="E1906" t="s">
        <v>156</v>
      </c>
      <c r="F1906" t="s">
        <v>31</v>
      </c>
      <c r="G1906" t="s">
        <v>852</v>
      </c>
      <c r="H1906" t="s">
        <v>15</v>
      </c>
      <c r="I1906" s="26" t="s">
        <v>576</v>
      </c>
    </row>
    <row r="1907" spans="1:9" x14ac:dyDescent="0.3">
      <c r="A1907" s="24">
        <v>45363</v>
      </c>
      <c r="B1907" t="s">
        <v>301</v>
      </c>
      <c r="C1907" t="s">
        <v>29</v>
      </c>
      <c r="D1907">
        <v>1.6</v>
      </c>
      <c r="E1907" t="s">
        <v>304</v>
      </c>
      <c r="F1907" t="s">
        <v>31</v>
      </c>
      <c r="G1907" t="s">
        <v>852</v>
      </c>
      <c r="H1907" t="s">
        <v>15</v>
      </c>
      <c r="I1907" s="26" t="s">
        <v>576</v>
      </c>
    </row>
    <row r="1908" spans="1:9" x14ac:dyDescent="0.3">
      <c r="A1908" s="24">
        <v>45363</v>
      </c>
      <c r="B1908" t="s">
        <v>301</v>
      </c>
      <c r="C1908" t="s">
        <v>53</v>
      </c>
      <c r="D1908">
        <v>0.93</v>
      </c>
      <c r="E1908" t="s">
        <v>54</v>
      </c>
      <c r="F1908" t="s">
        <v>55</v>
      </c>
      <c r="G1908" t="s">
        <v>1489</v>
      </c>
      <c r="H1908" t="s">
        <v>15</v>
      </c>
      <c r="I1908" s="26" t="s">
        <v>576</v>
      </c>
    </row>
    <row r="1909" spans="1:9" x14ac:dyDescent="0.3">
      <c r="A1909" s="24">
        <v>45363</v>
      </c>
      <c r="B1909" t="s">
        <v>301</v>
      </c>
      <c r="C1909" t="s">
        <v>267</v>
      </c>
      <c r="D1909">
        <v>1.17</v>
      </c>
      <c r="E1909" t="s">
        <v>54</v>
      </c>
      <c r="F1909" t="s">
        <v>55</v>
      </c>
      <c r="G1909" t="s">
        <v>1490</v>
      </c>
      <c r="H1909" t="s">
        <v>15</v>
      </c>
      <c r="I1909" s="26" t="s">
        <v>576</v>
      </c>
    </row>
    <row r="1910" spans="1:9" x14ac:dyDescent="0.3">
      <c r="A1910" s="24">
        <v>45363</v>
      </c>
      <c r="B1910" t="s">
        <v>301</v>
      </c>
      <c r="C1910" t="s">
        <v>60</v>
      </c>
      <c r="D1910">
        <v>1.45</v>
      </c>
      <c r="E1910" t="s">
        <v>137</v>
      </c>
      <c r="F1910" t="s">
        <v>31</v>
      </c>
      <c r="H1910" t="s">
        <v>15</v>
      </c>
      <c r="I1910" s="26" t="s">
        <v>576</v>
      </c>
    </row>
    <row r="1911" spans="1:9" x14ac:dyDescent="0.3">
      <c r="A1911" s="24">
        <v>45363</v>
      </c>
      <c r="B1911" t="s">
        <v>313</v>
      </c>
      <c r="C1911" t="s">
        <v>29</v>
      </c>
      <c r="D1911">
        <v>1.85</v>
      </c>
      <c r="E1911" t="s">
        <v>91</v>
      </c>
      <c r="F1911" t="s">
        <v>31</v>
      </c>
      <c r="G1911" t="s">
        <v>1491</v>
      </c>
      <c r="H1911" t="s">
        <v>15</v>
      </c>
      <c r="I1911" s="26" t="s">
        <v>576</v>
      </c>
    </row>
    <row r="1912" spans="1:9" x14ac:dyDescent="0.3">
      <c r="A1912" s="24">
        <v>45363</v>
      </c>
      <c r="B1912" t="s">
        <v>313</v>
      </c>
      <c r="C1912" t="s">
        <v>29</v>
      </c>
      <c r="D1912">
        <v>5.47</v>
      </c>
      <c r="E1912" t="s">
        <v>91</v>
      </c>
      <c r="F1912" t="s">
        <v>31</v>
      </c>
      <c r="G1912" t="s">
        <v>617</v>
      </c>
      <c r="H1912" t="s">
        <v>15</v>
      </c>
      <c r="I1912" s="26" t="s">
        <v>576</v>
      </c>
    </row>
    <row r="1913" spans="1:9" x14ac:dyDescent="0.3">
      <c r="A1913" s="24">
        <v>45363</v>
      </c>
      <c r="B1913" t="s">
        <v>313</v>
      </c>
      <c r="C1913" t="s">
        <v>53</v>
      </c>
      <c r="D1913">
        <v>0.3</v>
      </c>
      <c r="E1913" t="s">
        <v>54</v>
      </c>
      <c r="F1913" t="s">
        <v>55</v>
      </c>
      <c r="G1913" t="s">
        <v>1492</v>
      </c>
      <c r="H1913" t="s">
        <v>15</v>
      </c>
      <c r="I1913" s="26" t="s">
        <v>576</v>
      </c>
    </row>
    <row r="1914" spans="1:9" x14ac:dyDescent="0.3">
      <c r="A1914" s="24">
        <v>45363</v>
      </c>
      <c r="B1914" t="s">
        <v>313</v>
      </c>
      <c r="C1914" t="s">
        <v>159</v>
      </c>
      <c r="D1914">
        <v>1.22</v>
      </c>
      <c r="E1914" t="s">
        <v>170</v>
      </c>
      <c r="F1914" t="s">
        <v>31</v>
      </c>
      <c r="G1914" t="s">
        <v>1493</v>
      </c>
      <c r="H1914" t="s">
        <v>15</v>
      </c>
      <c r="I1914" s="26" t="s">
        <v>576</v>
      </c>
    </row>
    <row r="1915" spans="1:9" x14ac:dyDescent="0.3">
      <c r="A1915" s="24">
        <v>45363</v>
      </c>
      <c r="B1915" t="s">
        <v>313</v>
      </c>
      <c r="C1915" t="s">
        <v>58</v>
      </c>
      <c r="D1915">
        <v>0.25</v>
      </c>
      <c r="E1915" t="s">
        <v>54</v>
      </c>
      <c r="F1915" t="s">
        <v>55</v>
      </c>
      <c r="G1915" t="s">
        <v>1494</v>
      </c>
      <c r="H1915" t="s">
        <v>15</v>
      </c>
      <c r="I1915" s="26" t="s">
        <v>576</v>
      </c>
    </row>
    <row r="1916" spans="1:9" x14ac:dyDescent="0.3">
      <c r="A1916" s="24">
        <v>45363</v>
      </c>
      <c r="B1916" t="s">
        <v>318</v>
      </c>
      <c r="C1916" t="s">
        <v>53</v>
      </c>
      <c r="D1916">
        <v>1.72</v>
      </c>
      <c r="E1916" t="s">
        <v>54</v>
      </c>
      <c r="F1916" t="s">
        <v>55</v>
      </c>
      <c r="G1916" t="s">
        <v>1495</v>
      </c>
      <c r="H1916" t="s">
        <v>15</v>
      </c>
      <c r="I1916" s="26" t="s">
        <v>576</v>
      </c>
    </row>
    <row r="1917" spans="1:9" x14ac:dyDescent="0.3">
      <c r="A1917" s="24">
        <v>45363</v>
      </c>
      <c r="B1917" t="s">
        <v>318</v>
      </c>
      <c r="C1917" t="s">
        <v>53</v>
      </c>
      <c r="D1917">
        <v>2.1800000000000002</v>
      </c>
      <c r="E1917" t="s">
        <v>54</v>
      </c>
      <c r="F1917" t="s">
        <v>55</v>
      </c>
      <c r="G1917" t="s">
        <v>564</v>
      </c>
      <c r="H1917" t="s">
        <v>15</v>
      </c>
      <c r="I1917" s="26" t="s">
        <v>576</v>
      </c>
    </row>
    <row r="1918" spans="1:9" x14ac:dyDescent="0.3">
      <c r="A1918" s="24">
        <v>45363</v>
      </c>
      <c r="B1918" t="s">
        <v>318</v>
      </c>
      <c r="C1918" t="s">
        <v>53</v>
      </c>
      <c r="D1918">
        <v>3.83</v>
      </c>
      <c r="E1918" t="s">
        <v>54</v>
      </c>
      <c r="F1918" t="s">
        <v>55</v>
      </c>
      <c r="G1918" t="s">
        <v>1496</v>
      </c>
      <c r="H1918" t="s">
        <v>15</v>
      </c>
      <c r="I1918" s="26" t="s">
        <v>576</v>
      </c>
    </row>
    <row r="1919" spans="1:9" x14ac:dyDescent="0.3">
      <c r="A1919" s="24">
        <v>45363</v>
      </c>
      <c r="B1919" t="s">
        <v>318</v>
      </c>
      <c r="C1919" t="s">
        <v>58</v>
      </c>
      <c r="D1919">
        <v>0.32</v>
      </c>
      <c r="E1919" t="s">
        <v>54</v>
      </c>
      <c r="F1919" t="s">
        <v>55</v>
      </c>
      <c r="G1919" t="s">
        <v>1497</v>
      </c>
      <c r="H1919" t="s">
        <v>15</v>
      </c>
      <c r="I1919" s="26" t="s">
        <v>576</v>
      </c>
    </row>
    <row r="1920" spans="1:9" x14ac:dyDescent="0.3">
      <c r="A1920" s="24">
        <v>45363</v>
      </c>
      <c r="B1920" t="s">
        <v>318</v>
      </c>
      <c r="C1920" t="s">
        <v>58</v>
      </c>
      <c r="D1920">
        <v>0.55000000000000004</v>
      </c>
      <c r="E1920" t="s">
        <v>54</v>
      </c>
      <c r="F1920" t="s">
        <v>55</v>
      </c>
      <c r="G1920" t="s">
        <v>1498</v>
      </c>
      <c r="H1920" t="s">
        <v>15</v>
      </c>
      <c r="I1920" s="26" t="s">
        <v>576</v>
      </c>
    </row>
    <row r="1921" spans="1:9" x14ac:dyDescent="0.3">
      <c r="A1921" s="24">
        <v>45363</v>
      </c>
      <c r="B1921" t="s">
        <v>324</v>
      </c>
      <c r="C1921" t="s">
        <v>29</v>
      </c>
      <c r="D1921">
        <v>8.73</v>
      </c>
      <c r="E1921" t="s">
        <v>81</v>
      </c>
      <c r="F1921" t="s">
        <v>31</v>
      </c>
      <c r="H1921" t="s">
        <v>15</v>
      </c>
      <c r="I1921" s="26" t="s">
        <v>576</v>
      </c>
    </row>
    <row r="1922" spans="1:9" x14ac:dyDescent="0.3">
      <c r="A1922" s="24">
        <v>45363</v>
      </c>
      <c r="B1922" t="s">
        <v>328</v>
      </c>
      <c r="C1922" t="s">
        <v>29</v>
      </c>
      <c r="D1922">
        <v>0.92</v>
      </c>
      <c r="E1922" t="s">
        <v>135</v>
      </c>
      <c r="F1922" t="s">
        <v>31</v>
      </c>
      <c r="G1922" t="s">
        <v>1499</v>
      </c>
      <c r="H1922" t="s">
        <v>15</v>
      </c>
      <c r="I1922" s="26" t="s">
        <v>576</v>
      </c>
    </row>
    <row r="1923" spans="1:9" x14ac:dyDescent="0.3">
      <c r="A1923" s="24">
        <v>45363</v>
      </c>
      <c r="B1923" t="s">
        <v>328</v>
      </c>
      <c r="C1923" t="s">
        <v>29</v>
      </c>
      <c r="D1923">
        <v>0.98</v>
      </c>
      <c r="E1923" t="s">
        <v>263</v>
      </c>
      <c r="F1923" t="s">
        <v>31</v>
      </c>
      <c r="G1923" t="s">
        <v>1500</v>
      </c>
      <c r="H1923" t="s">
        <v>15</v>
      </c>
      <c r="I1923" s="26" t="s">
        <v>576</v>
      </c>
    </row>
    <row r="1924" spans="1:9" x14ac:dyDescent="0.3">
      <c r="A1924" s="24">
        <v>45363</v>
      </c>
      <c r="B1924" t="s">
        <v>328</v>
      </c>
      <c r="C1924" t="s">
        <v>53</v>
      </c>
      <c r="D1924">
        <v>0.5</v>
      </c>
      <c r="E1924" t="s">
        <v>54</v>
      </c>
      <c r="F1924" t="s">
        <v>55</v>
      </c>
      <c r="G1924" t="s">
        <v>253</v>
      </c>
      <c r="H1924" t="s">
        <v>15</v>
      </c>
      <c r="I1924" s="26" t="s">
        <v>576</v>
      </c>
    </row>
    <row r="1925" spans="1:9" x14ac:dyDescent="0.3">
      <c r="A1925" s="24">
        <v>45363</v>
      </c>
      <c r="B1925" t="s">
        <v>328</v>
      </c>
      <c r="C1925" t="s">
        <v>53</v>
      </c>
      <c r="D1925">
        <v>0.83</v>
      </c>
      <c r="E1925" t="s">
        <v>54</v>
      </c>
      <c r="F1925" t="s">
        <v>55</v>
      </c>
      <c r="G1925" t="s">
        <v>1501</v>
      </c>
      <c r="H1925" t="s">
        <v>15</v>
      </c>
      <c r="I1925" s="26" t="s">
        <v>576</v>
      </c>
    </row>
    <row r="1926" spans="1:9" x14ac:dyDescent="0.3">
      <c r="A1926" s="24">
        <v>45363</v>
      </c>
      <c r="B1926" t="s">
        <v>328</v>
      </c>
      <c r="C1926" t="s">
        <v>58</v>
      </c>
      <c r="D1926">
        <v>0.25</v>
      </c>
      <c r="E1926" t="s">
        <v>54</v>
      </c>
      <c r="F1926" t="s">
        <v>55</v>
      </c>
      <c r="G1926" t="s">
        <v>1502</v>
      </c>
      <c r="H1926" t="s">
        <v>15</v>
      </c>
      <c r="I1926" s="26" t="s">
        <v>576</v>
      </c>
    </row>
    <row r="1927" spans="1:9" x14ac:dyDescent="0.3">
      <c r="A1927" s="24">
        <v>45363</v>
      </c>
      <c r="B1927" t="s">
        <v>328</v>
      </c>
      <c r="C1927" t="s">
        <v>58</v>
      </c>
      <c r="D1927">
        <v>0.52</v>
      </c>
      <c r="E1927" t="s">
        <v>54</v>
      </c>
      <c r="F1927" t="s">
        <v>55</v>
      </c>
      <c r="G1927" t="s">
        <v>1503</v>
      </c>
      <c r="H1927" t="s">
        <v>15</v>
      </c>
      <c r="I1927" s="26" t="s">
        <v>576</v>
      </c>
    </row>
    <row r="1928" spans="1:9" x14ac:dyDescent="0.3">
      <c r="A1928" s="24">
        <v>45363</v>
      </c>
      <c r="B1928" t="s">
        <v>328</v>
      </c>
      <c r="C1928" t="s">
        <v>60</v>
      </c>
      <c r="D1928">
        <v>0.08</v>
      </c>
      <c r="E1928" t="s">
        <v>848</v>
      </c>
      <c r="F1928" t="s">
        <v>31</v>
      </c>
      <c r="G1928" t="s">
        <v>1504</v>
      </c>
      <c r="H1928" t="s">
        <v>15</v>
      </c>
      <c r="I1928" s="26" t="s">
        <v>576</v>
      </c>
    </row>
    <row r="1929" spans="1:9" x14ac:dyDescent="0.3">
      <c r="A1929" s="24">
        <v>45363</v>
      </c>
      <c r="B1929" t="s">
        <v>328</v>
      </c>
      <c r="C1929" t="s">
        <v>60</v>
      </c>
      <c r="D1929">
        <v>0.23</v>
      </c>
      <c r="E1929" t="s">
        <v>162</v>
      </c>
      <c r="F1929" t="s">
        <v>31</v>
      </c>
      <c r="G1929" t="s">
        <v>1505</v>
      </c>
      <c r="H1929" t="s">
        <v>15</v>
      </c>
      <c r="I1929" s="26" t="s">
        <v>576</v>
      </c>
    </row>
    <row r="1930" spans="1:9" x14ac:dyDescent="0.3">
      <c r="A1930" s="24">
        <v>45363</v>
      </c>
      <c r="B1930" t="s">
        <v>328</v>
      </c>
      <c r="C1930" t="s">
        <v>60</v>
      </c>
      <c r="D1930">
        <v>0.37</v>
      </c>
      <c r="E1930" t="s">
        <v>81</v>
      </c>
      <c r="F1930" t="s">
        <v>31</v>
      </c>
      <c r="G1930" t="s">
        <v>1506</v>
      </c>
      <c r="H1930" t="s">
        <v>15</v>
      </c>
      <c r="I1930" s="26" t="s">
        <v>576</v>
      </c>
    </row>
    <row r="1931" spans="1:9" x14ac:dyDescent="0.3">
      <c r="A1931" s="24">
        <v>45363</v>
      </c>
      <c r="B1931" t="s">
        <v>328</v>
      </c>
      <c r="C1931" t="s">
        <v>60</v>
      </c>
      <c r="D1931">
        <v>0.57999999999999996</v>
      </c>
      <c r="E1931" t="s">
        <v>81</v>
      </c>
      <c r="F1931" t="s">
        <v>31</v>
      </c>
      <c r="G1931" t="s">
        <v>1507</v>
      </c>
      <c r="H1931" t="s">
        <v>15</v>
      </c>
      <c r="I1931" s="26" t="s">
        <v>576</v>
      </c>
    </row>
    <row r="1932" spans="1:9" x14ac:dyDescent="0.3">
      <c r="A1932" s="24">
        <v>45363</v>
      </c>
      <c r="B1932" t="s">
        <v>328</v>
      </c>
      <c r="C1932" t="s">
        <v>60</v>
      </c>
      <c r="D1932">
        <v>1.27</v>
      </c>
      <c r="E1932" t="s">
        <v>162</v>
      </c>
      <c r="F1932" t="s">
        <v>31</v>
      </c>
      <c r="G1932" t="s">
        <v>1508</v>
      </c>
      <c r="H1932" t="s">
        <v>15</v>
      </c>
      <c r="I1932" s="26" t="s">
        <v>576</v>
      </c>
    </row>
    <row r="1933" spans="1:9" x14ac:dyDescent="0.3">
      <c r="A1933" s="24">
        <v>45363</v>
      </c>
      <c r="B1933" t="s">
        <v>328</v>
      </c>
      <c r="C1933" t="s">
        <v>60</v>
      </c>
      <c r="D1933">
        <v>1.47</v>
      </c>
      <c r="E1933" t="s">
        <v>162</v>
      </c>
      <c r="F1933" t="s">
        <v>31</v>
      </c>
      <c r="G1933" t="s">
        <v>716</v>
      </c>
      <c r="H1933" t="s">
        <v>15</v>
      </c>
      <c r="I1933" s="26" t="s">
        <v>576</v>
      </c>
    </row>
    <row r="1934" spans="1:9" x14ac:dyDescent="0.3">
      <c r="A1934" s="24">
        <v>45363</v>
      </c>
      <c r="B1934" t="s">
        <v>331</v>
      </c>
      <c r="C1934" t="s">
        <v>29</v>
      </c>
      <c r="D1934">
        <v>1.17</v>
      </c>
      <c r="E1934" t="s">
        <v>176</v>
      </c>
      <c r="F1934" t="s">
        <v>31</v>
      </c>
      <c r="G1934" t="s">
        <v>1509</v>
      </c>
      <c r="H1934" t="s">
        <v>15</v>
      </c>
      <c r="I1934" s="26" t="s">
        <v>576</v>
      </c>
    </row>
    <row r="1935" spans="1:9" x14ac:dyDescent="0.3">
      <c r="A1935" s="24">
        <v>45363</v>
      </c>
      <c r="B1935" t="s">
        <v>331</v>
      </c>
      <c r="C1935" t="s">
        <v>29</v>
      </c>
      <c r="D1935">
        <v>1.78</v>
      </c>
      <c r="E1935" t="s">
        <v>91</v>
      </c>
      <c r="F1935" t="s">
        <v>31</v>
      </c>
      <c r="G1935" t="s">
        <v>1510</v>
      </c>
      <c r="H1935" t="s">
        <v>15</v>
      </c>
      <c r="I1935" s="26" t="s">
        <v>576</v>
      </c>
    </row>
    <row r="1936" spans="1:9" x14ac:dyDescent="0.3">
      <c r="A1936" s="24">
        <v>45363</v>
      </c>
      <c r="B1936" t="s">
        <v>331</v>
      </c>
      <c r="C1936" t="s">
        <v>29</v>
      </c>
      <c r="D1936">
        <v>1.93</v>
      </c>
      <c r="E1936" t="s">
        <v>91</v>
      </c>
      <c r="F1936" t="s">
        <v>31</v>
      </c>
      <c r="G1936" t="s">
        <v>1511</v>
      </c>
      <c r="H1936" t="s">
        <v>15</v>
      </c>
      <c r="I1936" s="26" t="s">
        <v>576</v>
      </c>
    </row>
    <row r="1937" spans="1:9" x14ac:dyDescent="0.3">
      <c r="A1937" s="24">
        <v>45363</v>
      </c>
      <c r="B1937" t="s">
        <v>331</v>
      </c>
      <c r="C1937" t="s">
        <v>29</v>
      </c>
      <c r="D1937">
        <v>2.4</v>
      </c>
      <c r="E1937" t="s">
        <v>91</v>
      </c>
      <c r="F1937" t="s">
        <v>31</v>
      </c>
      <c r="G1937" t="s">
        <v>1512</v>
      </c>
      <c r="H1937" t="s">
        <v>15</v>
      </c>
      <c r="I1937" s="26" t="s">
        <v>576</v>
      </c>
    </row>
    <row r="1938" spans="1:9" x14ac:dyDescent="0.3">
      <c r="A1938" s="24">
        <v>45363</v>
      </c>
      <c r="B1938" t="s">
        <v>331</v>
      </c>
      <c r="C1938" t="s">
        <v>53</v>
      </c>
      <c r="D1938">
        <v>0.5</v>
      </c>
      <c r="E1938" t="s">
        <v>54</v>
      </c>
      <c r="F1938" t="s">
        <v>55</v>
      </c>
      <c r="G1938" t="s">
        <v>332</v>
      </c>
      <c r="H1938" t="s">
        <v>15</v>
      </c>
      <c r="I1938" s="26" t="s">
        <v>576</v>
      </c>
    </row>
    <row r="1939" spans="1:9" x14ac:dyDescent="0.3">
      <c r="A1939" s="24">
        <v>45363</v>
      </c>
      <c r="B1939" t="s">
        <v>331</v>
      </c>
      <c r="C1939" t="s">
        <v>58</v>
      </c>
      <c r="D1939">
        <v>0.25</v>
      </c>
      <c r="E1939" t="s">
        <v>54</v>
      </c>
      <c r="F1939" t="s">
        <v>55</v>
      </c>
      <c r="G1939" t="s">
        <v>1513</v>
      </c>
      <c r="H1939" t="s">
        <v>15</v>
      </c>
      <c r="I1939" s="26" t="s">
        <v>576</v>
      </c>
    </row>
    <row r="1940" spans="1:9" x14ac:dyDescent="0.3">
      <c r="A1940" s="24">
        <v>45363</v>
      </c>
      <c r="B1940" t="s">
        <v>340</v>
      </c>
      <c r="C1940" t="s">
        <v>202</v>
      </c>
      <c r="D1940">
        <v>0.25</v>
      </c>
      <c r="E1940" t="s">
        <v>176</v>
      </c>
      <c r="F1940" t="s">
        <v>31</v>
      </c>
      <c r="G1940" t="s">
        <v>1514</v>
      </c>
      <c r="H1940" t="s">
        <v>15</v>
      </c>
      <c r="I1940" s="26" t="s">
        <v>576</v>
      </c>
    </row>
    <row r="1941" spans="1:9" x14ac:dyDescent="0.3">
      <c r="A1941" s="24">
        <v>45363</v>
      </c>
      <c r="B1941" t="s">
        <v>340</v>
      </c>
      <c r="C1941" t="s">
        <v>202</v>
      </c>
      <c r="D1941">
        <v>0.25</v>
      </c>
      <c r="E1941" t="s">
        <v>156</v>
      </c>
      <c r="F1941" t="s">
        <v>31</v>
      </c>
      <c r="G1941" t="s">
        <v>1515</v>
      </c>
      <c r="H1941" t="s">
        <v>15</v>
      </c>
      <c r="I1941" s="26" t="s">
        <v>576</v>
      </c>
    </row>
    <row r="1942" spans="1:9" x14ac:dyDescent="0.3">
      <c r="A1942" s="24">
        <v>45363</v>
      </c>
      <c r="B1942" t="s">
        <v>340</v>
      </c>
      <c r="C1942" t="s">
        <v>202</v>
      </c>
      <c r="D1942">
        <v>8</v>
      </c>
      <c r="E1942" t="s">
        <v>1216</v>
      </c>
      <c r="F1942" t="s">
        <v>31</v>
      </c>
      <c r="G1942" t="s">
        <v>1516</v>
      </c>
      <c r="H1942" t="s">
        <v>15</v>
      </c>
      <c r="I1942" s="26" t="s">
        <v>576</v>
      </c>
    </row>
    <row r="1943" spans="1:9" x14ac:dyDescent="0.3">
      <c r="A1943" s="24">
        <v>45363</v>
      </c>
      <c r="B1943" t="s">
        <v>351</v>
      </c>
      <c r="C1943" t="s">
        <v>159</v>
      </c>
      <c r="D1943">
        <v>8</v>
      </c>
      <c r="E1943" t="s">
        <v>81</v>
      </c>
      <c r="F1943" t="s">
        <v>31</v>
      </c>
      <c r="G1943" t="s">
        <v>1517</v>
      </c>
      <c r="H1943" t="s">
        <v>15</v>
      </c>
      <c r="I1943" s="26" t="s">
        <v>576</v>
      </c>
    </row>
    <row r="1944" spans="1:9" x14ac:dyDescent="0.3">
      <c r="A1944" s="24">
        <v>45363</v>
      </c>
      <c r="B1944" t="s">
        <v>355</v>
      </c>
      <c r="C1944" t="s">
        <v>29</v>
      </c>
      <c r="D1944">
        <v>0.2</v>
      </c>
      <c r="E1944" t="s">
        <v>91</v>
      </c>
      <c r="F1944" t="s">
        <v>31</v>
      </c>
      <c r="G1944" t="s">
        <v>1518</v>
      </c>
      <c r="H1944" t="s">
        <v>15</v>
      </c>
      <c r="I1944" s="26" t="s">
        <v>576</v>
      </c>
    </row>
    <row r="1945" spans="1:9" x14ac:dyDescent="0.3">
      <c r="A1945" s="24">
        <v>45363</v>
      </c>
      <c r="B1945" t="s">
        <v>355</v>
      </c>
      <c r="C1945" t="s">
        <v>29</v>
      </c>
      <c r="D1945">
        <v>0.3</v>
      </c>
      <c r="E1945" t="s">
        <v>91</v>
      </c>
      <c r="F1945" t="s">
        <v>31</v>
      </c>
      <c r="G1945" t="s">
        <v>1519</v>
      </c>
      <c r="H1945" t="s">
        <v>15</v>
      </c>
      <c r="I1945" s="26" t="s">
        <v>576</v>
      </c>
    </row>
    <row r="1946" spans="1:9" x14ac:dyDescent="0.3">
      <c r="A1946" s="24">
        <v>45363</v>
      </c>
      <c r="B1946" t="s">
        <v>355</v>
      </c>
      <c r="C1946" t="s">
        <v>29</v>
      </c>
      <c r="D1946">
        <v>0.3</v>
      </c>
      <c r="E1946" t="s">
        <v>91</v>
      </c>
      <c r="F1946" t="s">
        <v>31</v>
      </c>
      <c r="G1946" t="s">
        <v>1520</v>
      </c>
      <c r="H1946" t="s">
        <v>15</v>
      </c>
      <c r="I1946" s="26" t="s">
        <v>576</v>
      </c>
    </row>
    <row r="1947" spans="1:9" x14ac:dyDescent="0.3">
      <c r="A1947" s="24">
        <v>45363</v>
      </c>
      <c r="B1947" t="s">
        <v>355</v>
      </c>
      <c r="C1947" t="s">
        <v>29</v>
      </c>
      <c r="D1947">
        <v>0.3</v>
      </c>
      <c r="E1947" t="s">
        <v>91</v>
      </c>
      <c r="F1947" t="s">
        <v>31</v>
      </c>
      <c r="G1947" t="s">
        <v>1521</v>
      </c>
      <c r="H1947" t="s">
        <v>15</v>
      </c>
      <c r="I1947" s="26" t="s">
        <v>576</v>
      </c>
    </row>
    <row r="1948" spans="1:9" x14ac:dyDescent="0.3">
      <c r="A1948" s="24">
        <v>45363</v>
      </c>
      <c r="B1948" t="s">
        <v>355</v>
      </c>
      <c r="C1948" t="s">
        <v>29</v>
      </c>
      <c r="D1948">
        <v>0.4</v>
      </c>
      <c r="E1948" t="s">
        <v>91</v>
      </c>
      <c r="F1948" t="s">
        <v>31</v>
      </c>
      <c r="G1948" t="s">
        <v>1522</v>
      </c>
      <c r="H1948" t="s">
        <v>15</v>
      </c>
      <c r="I1948" s="26" t="s">
        <v>576</v>
      </c>
    </row>
    <row r="1949" spans="1:9" x14ac:dyDescent="0.3">
      <c r="A1949" s="24">
        <v>45363</v>
      </c>
      <c r="B1949" t="s">
        <v>355</v>
      </c>
      <c r="C1949" t="s">
        <v>29</v>
      </c>
      <c r="D1949">
        <v>0.5</v>
      </c>
      <c r="E1949" t="s">
        <v>91</v>
      </c>
      <c r="F1949" t="s">
        <v>31</v>
      </c>
      <c r="G1949" t="s">
        <v>1523</v>
      </c>
      <c r="H1949" t="s">
        <v>15</v>
      </c>
      <c r="I1949" s="26" t="s">
        <v>576</v>
      </c>
    </row>
    <row r="1950" spans="1:9" x14ac:dyDescent="0.3">
      <c r="A1950" s="24">
        <v>45363</v>
      </c>
      <c r="B1950" t="s">
        <v>355</v>
      </c>
      <c r="C1950" t="s">
        <v>29</v>
      </c>
      <c r="D1950">
        <v>1.4</v>
      </c>
      <c r="E1950" t="s">
        <v>44</v>
      </c>
      <c r="F1950" t="s">
        <v>31</v>
      </c>
      <c r="G1950" t="s">
        <v>1524</v>
      </c>
      <c r="H1950" t="s">
        <v>15</v>
      </c>
      <c r="I1950" s="26" t="s">
        <v>576</v>
      </c>
    </row>
    <row r="1951" spans="1:9" x14ac:dyDescent="0.3">
      <c r="A1951" s="24">
        <v>45363</v>
      </c>
      <c r="B1951" t="s">
        <v>355</v>
      </c>
      <c r="C1951" t="s">
        <v>29</v>
      </c>
      <c r="D1951">
        <v>2.2000000000000002</v>
      </c>
      <c r="E1951" t="s">
        <v>91</v>
      </c>
      <c r="F1951" t="s">
        <v>31</v>
      </c>
      <c r="G1951" t="s">
        <v>1525</v>
      </c>
      <c r="H1951" t="s">
        <v>15</v>
      </c>
      <c r="I1951" s="26" t="s">
        <v>576</v>
      </c>
    </row>
    <row r="1952" spans="1:9" x14ac:dyDescent="0.3">
      <c r="A1952" s="24">
        <v>45363</v>
      </c>
      <c r="B1952" t="s">
        <v>355</v>
      </c>
      <c r="C1952" t="s">
        <v>197</v>
      </c>
      <c r="D1952">
        <v>0.4</v>
      </c>
      <c r="E1952" t="s">
        <v>54</v>
      </c>
      <c r="F1952" t="s">
        <v>55</v>
      </c>
      <c r="G1952" t="s">
        <v>1526</v>
      </c>
      <c r="H1952" t="s">
        <v>15</v>
      </c>
      <c r="I1952" s="26" t="s">
        <v>576</v>
      </c>
    </row>
    <row r="1953" spans="1:9" x14ac:dyDescent="0.3">
      <c r="A1953" s="24">
        <v>45363</v>
      </c>
      <c r="B1953" t="s">
        <v>355</v>
      </c>
      <c r="C1953" t="s">
        <v>202</v>
      </c>
      <c r="D1953">
        <v>0.8</v>
      </c>
      <c r="E1953" t="s">
        <v>91</v>
      </c>
      <c r="F1953" t="s">
        <v>31</v>
      </c>
      <c r="G1953" t="s">
        <v>1527</v>
      </c>
      <c r="H1953" t="s">
        <v>15</v>
      </c>
      <c r="I1953" s="26" t="s">
        <v>576</v>
      </c>
    </row>
    <row r="1954" spans="1:9" x14ac:dyDescent="0.3">
      <c r="A1954" s="24">
        <v>45363</v>
      </c>
      <c r="B1954" t="s">
        <v>355</v>
      </c>
      <c r="C1954" t="s">
        <v>202</v>
      </c>
      <c r="D1954">
        <v>0.8</v>
      </c>
      <c r="E1954" t="s">
        <v>44</v>
      </c>
      <c r="F1954" t="s">
        <v>31</v>
      </c>
      <c r="G1954" t="s">
        <v>1528</v>
      </c>
      <c r="H1954" t="s">
        <v>15</v>
      </c>
      <c r="I1954" s="26" t="s">
        <v>576</v>
      </c>
    </row>
    <row r="1955" spans="1:9" x14ac:dyDescent="0.3">
      <c r="A1955" s="24">
        <v>45363</v>
      </c>
      <c r="B1955" t="s">
        <v>355</v>
      </c>
      <c r="C1955" t="s">
        <v>370</v>
      </c>
      <c r="D1955">
        <v>0.2</v>
      </c>
      <c r="E1955" t="s">
        <v>371</v>
      </c>
      <c r="F1955" t="s">
        <v>31</v>
      </c>
      <c r="G1955" t="s">
        <v>1529</v>
      </c>
      <c r="H1955" t="s">
        <v>15</v>
      </c>
      <c r="I1955" s="26" t="s">
        <v>576</v>
      </c>
    </row>
    <row r="1956" spans="1:9" x14ac:dyDescent="0.3">
      <c r="A1956" s="24">
        <v>45363</v>
      </c>
      <c r="B1956" t="s">
        <v>355</v>
      </c>
      <c r="C1956" t="s">
        <v>53</v>
      </c>
      <c r="D1956">
        <v>0.1</v>
      </c>
      <c r="E1956" t="s">
        <v>54</v>
      </c>
      <c r="F1956" t="s">
        <v>55</v>
      </c>
      <c r="G1956" t="s">
        <v>1530</v>
      </c>
      <c r="H1956" t="s">
        <v>15</v>
      </c>
      <c r="I1956" s="26" t="s">
        <v>576</v>
      </c>
    </row>
    <row r="1957" spans="1:9" x14ac:dyDescent="0.3">
      <c r="A1957" s="24">
        <v>45363</v>
      </c>
      <c r="B1957" t="s">
        <v>355</v>
      </c>
      <c r="C1957" t="s">
        <v>53</v>
      </c>
      <c r="D1957">
        <v>1</v>
      </c>
      <c r="E1957" t="s">
        <v>54</v>
      </c>
      <c r="F1957" t="s">
        <v>55</v>
      </c>
      <c r="G1957" t="s">
        <v>1531</v>
      </c>
      <c r="H1957" t="s">
        <v>15</v>
      </c>
      <c r="I1957" s="26" t="s">
        <v>576</v>
      </c>
    </row>
    <row r="1958" spans="1:9" x14ac:dyDescent="0.3">
      <c r="A1958" s="24">
        <v>45363</v>
      </c>
      <c r="B1958" t="s">
        <v>355</v>
      </c>
      <c r="C1958" t="s">
        <v>225</v>
      </c>
      <c r="D1958">
        <v>0.25</v>
      </c>
      <c r="E1958" t="s">
        <v>1074</v>
      </c>
      <c r="F1958" t="s">
        <v>31</v>
      </c>
      <c r="G1958" t="s">
        <v>1532</v>
      </c>
      <c r="H1958" t="s">
        <v>15</v>
      </c>
      <c r="I1958" s="26" t="s">
        <v>576</v>
      </c>
    </row>
    <row r="1959" spans="1:9" x14ac:dyDescent="0.3">
      <c r="A1959" s="24">
        <v>45363</v>
      </c>
      <c r="B1959" t="s">
        <v>355</v>
      </c>
      <c r="C1959" t="s">
        <v>159</v>
      </c>
      <c r="D1959">
        <v>0.42</v>
      </c>
      <c r="E1959" t="s">
        <v>44</v>
      </c>
      <c r="F1959" t="s">
        <v>31</v>
      </c>
      <c r="G1959" t="s">
        <v>1533</v>
      </c>
      <c r="H1959" t="s">
        <v>15</v>
      </c>
      <c r="I1959" s="26" t="s">
        <v>576</v>
      </c>
    </row>
    <row r="1960" spans="1:9" x14ac:dyDescent="0.3">
      <c r="A1960" s="24">
        <v>45363</v>
      </c>
      <c r="B1960" t="s">
        <v>355</v>
      </c>
      <c r="C1960" t="s">
        <v>60</v>
      </c>
      <c r="D1960">
        <v>0.2</v>
      </c>
      <c r="E1960" t="s">
        <v>44</v>
      </c>
      <c r="F1960" t="s">
        <v>31</v>
      </c>
      <c r="G1960" t="s">
        <v>1534</v>
      </c>
      <c r="H1960" t="s">
        <v>15</v>
      </c>
      <c r="I1960" s="26" t="s">
        <v>576</v>
      </c>
    </row>
    <row r="1961" spans="1:9" x14ac:dyDescent="0.3">
      <c r="A1961" s="24">
        <v>45363</v>
      </c>
      <c r="B1961" t="s">
        <v>374</v>
      </c>
      <c r="C1961" t="s">
        <v>123</v>
      </c>
      <c r="D1961">
        <v>4</v>
      </c>
      <c r="E1961" t="s">
        <v>54</v>
      </c>
      <c r="F1961" t="s">
        <v>55</v>
      </c>
      <c r="G1961" t="e">
        <f>- prepare Induction plan for Shane (AP Specialist) -check Background check results and reach out to Talentprobe - check requirements of payroll Specialist - General Admin</f>
        <v>#NAME?</v>
      </c>
      <c r="H1961" t="s">
        <v>15</v>
      </c>
      <c r="I1961" s="26" t="s">
        <v>576</v>
      </c>
    </row>
    <row r="1962" spans="1:9" x14ac:dyDescent="0.3">
      <c r="A1962" s="24">
        <v>45363</v>
      </c>
      <c r="B1962" t="s">
        <v>374</v>
      </c>
      <c r="C1962" t="s">
        <v>123</v>
      </c>
      <c r="D1962">
        <v>4</v>
      </c>
      <c r="E1962" t="s">
        <v>54</v>
      </c>
      <c r="F1962" t="s">
        <v>55</v>
      </c>
      <c r="G1962" t="e">
        <f>- send out rejection letter to Applicants - Resume browsing - schedule AP candidates for interview</f>
        <v>#NAME?</v>
      </c>
      <c r="H1962" t="s">
        <v>15</v>
      </c>
      <c r="I1962" s="26" t="s">
        <v>576</v>
      </c>
    </row>
    <row r="1963" spans="1:9" x14ac:dyDescent="0.3">
      <c r="A1963" s="24">
        <v>45364</v>
      </c>
      <c r="B1963" t="s">
        <v>28</v>
      </c>
      <c r="C1963" t="s">
        <v>29</v>
      </c>
      <c r="D1963">
        <v>0.05</v>
      </c>
      <c r="E1963" t="s">
        <v>40</v>
      </c>
      <c r="F1963" t="s">
        <v>31</v>
      </c>
      <c r="G1963" t="s">
        <v>32</v>
      </c>
      <c r="H1963" t="s">
        <v>15</v>
      </c>
      <c r="I1963" s="26" t="s">
        <v>747</v>
      </c>
    </row>
    <row r="1964" spans="1:9" x14ac:dyDescent="0.3">
      <c r="A1964" s="24">
        <v>45364</v>
      </c>
      <c r="B1964" t="s">
        <v>28</v>
      </c>
      <c r="C1964" t="s">
        <v>29</v>
      </c>
      <c r="D1964">
        <v>7.0000000000000007E-2</v>
      </c>
      <c r="E1964" t="s">
        <v>40</v>
      </c>
      <c r="F1964" t="s">
        <v>31</v>
      </c>
      <c r="G1964" t="s">
        <v>1535</v>
      </c>
      <c r="H1964" t="s">
        <v>15</v>
      </c>
      <c r="I1964" s="26" t="s">
        <v>747</v>
      </c>
    </row>
    <row r="1965" spans="1:9" x14ac:dyDescent="0.3">
      <c r="A1965" s="24">
        <v>45364</v>
      </c>
      <c r="B1965" t="s">
        <v>28</v>
      </c>
      <c r="C1965" t="s">
        <v>29</v>
      </c>
      <c r="D1965">
        <v>7.0000000000000007E-2</v>
      </c>
      <c r="E1965" t="s">
        <v>44</v>
      </c>
      <c r="F1965" t="s">
        <v>31</v>
      </c>
      <c r="G1965" t="s">
        <v>32</v>
      </c>
      <c r="H1965" t="s">
        <v>15</v>
      </c>
      <c r="I1965" s="26" t="s">
        <v>747</v>
      </c>
    </row>
    <row r="1966" spans="1:9" x14ac:dyDescent="0.3">
      <c r="A1966" s="24">
        <v>45364</v>
      </c>
      <c r="B1966" t="s">
        <v>28</v>
      </c>
      <c r="C1966" t="s">
        <v>29</v>
      </c>
      <c r="D1966">
        <v>0.08</v>
      </c>
      <c r="E1966" t="s">
        <v>44</v>
      </c>
      <c r="F1966" t="s">
        <v>31</v>
      </c>
      <c r="G1966" t="s">
        <v>1535</v>
      </c>
      <c r="H1966" t="s">
        <v>15</v>
      </c>
      <c r="I1966" s="26" t="s">
        <v>747</v>
      </c>
    </row>
    <row r="1967" spans="1:9" x14ac:dyDescent="0.3">
      <c r="A1967" s="24">
        <v>45364</v>
      </c>
      <c r="B1967" t="s">
        <v>28</v>
      </c>
      <c r="C1967" t="s">
        <v>29</v>
      </c>
      <c r="D1967">
        <v>0.08</v>
      </c>
      <c r="E1967" t="s">
        <v>30</v>
      </c>
      <c r="F1967" t="s">
        <v>31</v>
      </c>
      <c r="G1967" t="s">
        <v>32</v>
      </c>
      <c r="H1967" t="s">
        <v>15</v>
      </c>
      <c r="I1967" s="26" t="s">
        <v>747</v>
      </c>
    </row>
    <row r="1968" spans="1:9" x14ac:dyDescent="0.3">
      <c r="A1968" s="24">
        <v>45364</v>
      </c>
      <c r="B1968" t="s">
        <v>28</v>
      </c>
      <c r="C1968" t="s">
        <v>29</v>
      </c>
      <c r="D1968">
        <v>0.08</v>
      </c>
      <c r="E1968" t="s">
        <v>30</v>
      </c>
      <c r="F1968" t="s">
        <v>31</v>
      </c>
      <c r="G1968" t="s">
        <v>34</v>
      </c>
      <c r="H1968" t="s">
        <v>15</v>
      </c>
      <c r="I1968" s="26" t="s">
        <v>747</v>
      </c>
    </row>
    <row r="1969" spans="1:9" x14ac:dyDescent="0.3">
      <c r="A1969" s="24">
        <v>45364</v>
      </c>
      <c r="B1969" t="s">
        <v>28</v>
      </c>
      <c r="C1969" t="s">
        <v>29</v>
      </c>
      <c r="D1969">
        <v>0.13</v>
      </c>
      <c r="E1969" t="s">
        <v>42</v>
      </c>
      <c r="F1969" t="s">
        <v>31</v>
      </c>
      <c r="G1969" t="s">
        <v>38</v>
      </c>
      <c r="H1969" t="s">
        <v>15</v>
      </c>
      <c r="I1969" s="26" t="s">
        <v>747</v>
      </c>
    </row>
    <row r="1970" spans="1:9" x14ac:dyDescent="0.3">
      <c r="A1970" s="24">
        <v>45364</v>
      </c>
      <c r="B1970" t="s">
        <v>28</v>
      </c>
      <c r="C1970" t="s">
        <v>29</v>
      </c>
      <c r="D1970">
        <v>0.15</v>
      </c>
      <c r="E1970" t="s">
        <v>39</v>
      </c>
      <c r="F1970" t="s">
        <v>31</v>
      </c>
      <c r="G1970" t="s">
        <v>579</v>
      </c>
      <c r="H1970" t="s">
        <v>15</v>
      </c>
      <c r="I1970" s="26" t="s">
        <v>747</v>
      </c>
    </row>
    <row r="1971" spans="1:9" x14ac:dyDescent="0.3">
      <c r="A1971" s="24">
        <v>45364</v>
      </c>
      <c r="B1971" t="s">
        <v>28</v>
      </c>
      <c r="C1971" t="s">
        <v>29</v>
      </c>
      <c r="D1971">
        <v>0.18</v>
      </c>
      <c r="E1971" t="s">
        <v>35</v>
      </c>
      <c r="F1971" t="s">
        <v>31</v>
      </c>
      <c r="G1971" t="s">
        <v>47</v>
      </c>
      <c r="H1971" t="s">
        <v>15</v>
      </c>
      <c r="I1971" s="26" t="s">
        <v>747</v>
      </c>
    </row>
    <row r="1972" spans="1:9" x14ac:dyDescent="0.3">
      <c r="A1972" s="24">
        <v>45364</v>
      </c>
      <c r="B1972" t="s">
        <v>28</v>
      </c>
      <c r="C1972" t="s">
        <v>29</v>
      </c>
      <c r="D1972">
        <v>0.22</v>
      </c>
      <c r="E1972" t="s">
        <v>42</v>
      </c>
      <c r="F1972" t="s">
        <v>31</v>
      </c>
      <c r="G1972" t="s">
        <v>32</v>
      </c>
      <c r="H1972" t="s">
        <v>15</v>
      </c>
      <c r="I1972" s="26" t="s">
        <v>747</v>
      </c>
    </row>
    <row r="1973" spans="1:9" x14ac:dyDescent="0.3">
      <c r="A1973" s="24">
        <v>45364</v>
      </c>
      <c r="B1973" t="s">
        <v>28</v>
      </c>
      <c r="C1973" t="s">
        <v>29</v>
      </c>
      <c r="D1973">
        <v>0.28000000000000003</v>
      </c>
      <c r="E1973" t="s">
        <v>42</v>
      </c>
      <c r="F1973" t="s">
        <v>31</v>
      </c>
      <c r="G1973" t="s">
        <v>43</v>
      </c>
      <c r="H1973" t="s">
        <v>15</v>
      </c>
      <c r="I1973" s="26" t="s">
        <v>747</v>
      </c>
    </row>
    <row r="1974" spans="1:9" x14ac:dyDescent="0.3">
      <c r="A1974" s="24">
        <v>45364</v>
      </c>
      <c r="B1974" t="s">
        <v>28</v>
      </c>
      <c r="C1974" t="s">
        <v>29</v>
      </c>
      <c r="D1974">
        <v>0.32</v>
      </c>
      <c r="E1974" t="s">
        <v>30</v>
      </c>
      <c r="F1974" t="s">
        <v>31</v>
      </c>
      <c r="G1974" t="s">
        <v>38</v>
      </c>
      <c r="H1974" t="s">
        <v>15</v>
      </c>
      <c r="I1974" s="26" t="s">
        <v>747</v>
      </c>
    </row>
    <row r="1975" spans="1:9" x14ac:dyDescent="0.3">
      <c r="A1975" s="24">
        <v>45364</v>
      </c>
      <c r="B1975" t="s">
        <v>28</v>
      </c>
      <c r="C1975" t="s">
        <v>29</v>
      </c>
      <c r="D1975">
        <v>0.38</v>
      </c>
      <c r="E1975" t="s">
        <v>62</v>
      </c>
      <c r="F1975" t="s">
        <v>31</v>
      </c>
      <c r="G1975" t="s">
        <v>38</v>
      </c>
      <c r="H1975" t="s">
        <v>15</v>
      </c>
      <c r="I1975" s="26" t="s">
        <v>747</v>
      </c>
    </row>
    <row r="1976" spans="1:9" x14ac:dyDescent="0.3">
      <c r="A1976" s="24">
        <v>45364</v>
      </c>
      <c r="B1976" t="s">
        <v>28</v>
      </c>
      <c r="C1976" t="s">
        <v>29</v>
      </c>
      <c r="D1976">
        <v>0.5</v>
      </c>
      <c r="E1976" t="s">
        <v>42</v>
      </c>
      <c r="F1976" t="s">
        <v>31</v>
      </c>
      <c r="G1976" t="s">
        <v>579</v>
      </c>
      <c r="H1976" t="s">
        <v>15</v>
      </c>
      <c r="I1976" s="26" t="s">
        <v>747</v>
      </c>
    </row>
    <row r="1977" spans="1:9" x14ac:dyDescent="0.3">
      <c r="A1977" s="24">
        <v>45364</v>
      </c>
      <c r="B1977" t="s">
        <v>28</v>
      </c>
      <c r="C1977" t="s">
        <v>29</v>
      </c>
      <c r="D1977">
        <v>0.65</v>
      </c>
      <c r="E1977" t="s">
        <v>44</v>
      </c>
      <c r="F1977" t="s">
        <v>31</v>
      </c>
      <c r="G1977" t="s">
        <v>38</v>
      </c>
      <c r="H1977" t="s">
        <v>15</v>
      </c>
      <c r="I1977" s="26" t="s">
        <v>747</v>
      </c>
    </row>
    <row r="1978" spans="1:9" x14ac:dyDescent="0.3">
      <c r="A1978" s="24">
        <v>45364</v>
      </c>
      <c r="B1978" t="s">
        <v>28</v>
      </c>
      <c r="C1978" t="s">
        <v>29</v>
      </c>
      <c r="D1978">
        <v>1.17</v>
      </c>
      <c r="E1978" t="s">
        <v>49</v>
      </c>
      <c r="F1978" t="s">
        <v>31</v>
      </c>
      <c r="G1978" t="s">
        <v>43</v>
      </c>
      <c r="H1978" t="s">
        <v>15</v>
      </c>
      <c r="I1978" s="26" t="s">
        <v>747</v>
      </c>
    </row>
    <row r="1979" spans="1:9" x14ac:dyDescent="0.3">
      <c r="A1979" s="24">
        <v>45364</v>
      </c>
      <c r="B1979" t="s">
        <v>28</v>
      </c>
      <c r="C1979" t="s">
        <v>29</v>
      </c>
      <c r="D1979">
        <v>1.33</v>
      </c>
      <c r="E1979" t="s">
        <v>49</v>
      </c>
      <c r="F1979" t="s">
        <v>31</v>
      </c>
      <c r="G1979" t="s">
        <v>579</v>
      </c>
      <c r="H1979" t="s">
        <v>15</v>
      </c>
      <c r="I1979" s="26" t="s">
        <v>747</v>
      </c>
    </row>
    <row r="1980" spans="1:9" x14ac:dyDescent="0.3">
      <c r="A1980" s="24">
        <v>45364</v>
      </c>
      <c r="B1980" t="s">
        <v>28</v>
      </c>
      <c r="C1980" t="s">
        <v>29</v>
      </c>
      <c r="D1980">
        <v>1.48</v>
      </c>
      <c r="E1980" t="s">
        <v>48</v>
      </c>
      <c r="F1980" t="s">
        <v>31</v>
      </c>
      <c r="G1980" t="s">
        <v>38</v>
      </c>
      <c r="H1980" t="s">
        <v>15</v>
      </c>
      <c r="I1980" s="26" t="s">
        <v>747</v>
      </c>
    </row>
    <row r="1981" spans="1:9" x14ac:dyDescent="0.3">
      <c r="A1981" s="24">
        <v>45364</v>
      </c>
      <c r="B1981" t="s">
        <v>28</v>
      </c>
      <c r="C1981" t="s">
        <v>53</v>
      </c>
      <c r="D1981">
        <v>0.25</v>
      </c>
      <c r="E1981" t="s">
        <v>54</v>
      </c>
      <c r="F1981" t="s">
        <v>55</v>
      </c>
      <c r="G1981" t="s">
        <v>56</v>
      </c>
      <c r="H1981" t="s">
        <v>15</v>
      </c>
      <c r="I1981" s="26" t="s">
        <v>747</v>
      </c>
    </row>
    <row r="1982" spans="1:9" x14ac:dyDescent="0.3">
      <c r="A1982" s="24">
        <v>45364</v>
      </c>
      <c r="B1982" t="s">
        <v>28</v>
      </c>
      <c r="C1982" t="s">
        <v>53</v>
      </c>
      <c r="D1982">
        <v>0.25</v>
      </c>
      <c r="E1982" t="s">
        <v>54</v>
      </c>
      <c r="F1982" t="s">
        <v>55</v>
      </c>
      <c r="G1982" t="s">
        <v>57</v>
      </c>
      <c r="H1982" t="s">
        <v>15</v>
      </c>
      <c r="I1982" s="26" t="s">
        <v>747</v>
      </c>
    </row>
    <row r="1983" spans="1:9" x14ac:dyDescent="0.3">
      <c r="A1983" s="24">
        <v>45364</v>
      </c>
      <c r="B1983" t="s">
        <v>28</v>
      </c>
      <c r="C1983" t="s">
        <v>60</v>
      </c>
      <c r="D1983">
        <v>0.27</v>
      </c>
      <c r="E1983" t="s">
        <v>44</v>
      </c>
      <c r="F1983" t="s">
        <v>31</v>
      </c>
      <c r="H1983" t="s">
        <v>15</v>
      </c>
      <c r="I1983" s="26" t="s">
        <v>747</v>
      </c>
    </row>
    <row r="1984" spans="1:9" x14ac:dyDescent="0.3">
      <c r="A1984" s="24">
        <v>45364</v>
      </c>
      <c r="B1984" t="s">
        <v>64</v>
      </c>
      <c r="C1984" t="s">
        <v>173</v>
      </c>
      <c r="D1984">
        <v>1.5</v>
      </c>
      <c r="E1984" t="s">
        <v>162</v>
      </c>
      <c r="F1984" t="s">
        <v>55</v>
      </c>
      <c r="G1984" t="s">
        <v>1536</v>
      </c>
      <c r="H1984" t="s">
        <v>15</v>
      </c>
      <c r="I1984" s="26" t="s">
        <v>747</v>
      </c>
    </row>
    <row r="1985" spans="1:9" x14ac:dyDescent="0.3">
      <c r="A1985" s="24">
        <v>45364</v>
      </c>
      <c r="B1985" t="s">
        <v>64</v>
      </c>
      <c r="C1985" t="s">
        <v>65</v>
      </c>
      <c r="D1985">
        <v>1.75</v>
      </c>
      <c r="E1985" t="s">
        <v>66</v>
      </c>
      <c r="F1985" t="s">
        <v>31</v>
      </c>
      <c r="G1985" t="s">
        <v>1537</v>
      </c>
      <c r="H1985" t="s">
        <v>15</v>
      </c>
      <c r="I1985" s="26" t="s">
        <v>747</v>
      </c>
    </row>
    <row r="1986" spans="1:9" x14ac:dyDescent="0.3">
      <c r="A1986" s="24">
        <v>45364</v>
      </c>
      <c r="B1986" t="s">
        <v>64</v>
      </c>
      <c r="C1986" t="s">
        <v>70</v>
      </c>
      <c r="D1986">
        <v>0.8</v>
      </c>
      <c r="E1986" t="s">
        <v>66</v>
      </c>
      <c r="F1986" t="s">
        <v>31</v>
      </c>
      <c r="G1986" t="s">
        <v>1538</v>
      </c>
      <c r="H1986" t="s">
        <v>15</v>
      </c>
      <c r="I1986" s="26" t="s">
        <v>747</v>
      </c>
    </row>
    <row r="1987" spans="1:9" x14ac:dyDescent="0.3">
      <c r="A1987" s="24">
        <v>45364</v>
      </c>
      <c r="B1987" t="s">
        <v>72</v>
      </c>
      <c r="C1987" t="s">
        <v>73</v>
      </c>
      <c r="D1987">
        <v>4</v>
      </c>
      <c r="E1987" t="s">
        <v>54</v>
      </c>
      <c r="F1987" t="s">
        <v>55</v>
      </c>
      <c r="H1987" t="s">
        <v>15</v>
      </c>
      <c r="I1987" s="26" t="s">
        <v>747</v>
      </c>
    </row>
    <row r="1988" spans="1:9" x14ac:dyDescent="0.3">
      <c r="A1988" s="24">
        <v>45364</v>
      </c>
      <c r="B1988" t="s">
        <v>72</v>
      </c>
      <c r="C1988" t="s">
        <v>29</v>
      </c>
      <c r="D1988">
        <v>0.42</v>
      </c>
      <c r="E1988" t="s">
        <v>271</v>
      </c>
      <c r="F1988" t="s">
        <v>31</v>
      </c>
      <c r="H1988" t="s">
        <v>15</v>
      </c>
      <c r="I1988" s="26" t="s">
        <v>747</v>
      </c>
    </row>
    <row r="1989" spans="1:9" x14ac:dyDescent="0.3">
      <c r="A1989" s="24">
        <v>45364</v>
      </c>
      <c r="B1989" t="s">
        <v>72</v>
      </c>
      <c r="C1989" t="s">
        <v>29</v>
      </c>
      <c r="D1989">
        <v>3.05</v>
      </c>
      <c r="E1989" t="s">
        <v>358</v>
      </c>
      <c r="F1989" t="s">
        <v>31</v>
      </c>
      <c r="G1989" t="s">
        <v>1236</v>
      </c>
      <c r="H1989" t="s">
        <v>15</v>
      </c>
      <c r="I1989" s="26" t="s">
        <v>747</v>
      </c>
    </row>
    <row r="1990" spans="1:9" x14ac:dyDescent="0.3">
      <c r="A1990" s="24">
        <v>45364</v>
      </c>
      <c r="B1990" t="s">
        <v>72</v>
      </c>
      <c r="C1990" t="s">
        <v>53</v>
      </c>
      <c r="D1990">
        <v>0.38</v>
      </c>
      <c r="E1990" t="s">
        <v>54</v>
      </c>
      <c r="F1990" t="s">
        <v>55</v>
      </c>
      <c r="H1990" t="s">
        <v>15</v>
      </c>
      <c r="I1990" s="26" t="s">
        <v>747</v>
      </c>
    </row>
    <row r="1991" spans="1:9" x14ac:dyDescent="0.3">
      <c r="A1991" s="24">
        <v>45364</v>
      </c>
      <c r="B1991" t="s">
        <v>72</v>
      </c>
      <c r="C1991" t="s">
        <v>58</v>
      </c>
      <c r="D1991">
        <v>0.2</v>
      </c>
      <c r="E1991" t="s">
        <v>54</v>
      </c>
      <c r="F1991" t="s">
        <v>55</v>
      </c>
      <c r="G1991" t="s">
        <v>1539</v>
      </c>
      <c r="H1991" t="s">
        <v>15</v>
      </c>
      <c r="I1991" s="26" t="s">
        <v>747</v>
      </c>
    </row>
    <row r="1992" spans="1:9" x14ac:dyDescent="0.3">
      <c r="A1992" s="24">
        <v>45364</v>
      </c>
      <c r="B1992" t="s">
        <v>75</v>
      </c>
      <c r="C1992" t="s">
        <v>77</v>
      </c>
      <c r="D1992">
        <v>8</v>
      </c>
      <c r="E1992" t="s">
        <v>54</v>
      </c>
      <c r="F1992" t="s">
        <v>55</v>
      </c>
      <c r="G1992" t="s">
        <v>1540</v>
      </c>
      <c r="H1992" t="s">
        <v>15</v>
      </c>
      <c r="I1992" s="26" t="s">
        <v>747</v>
      </c>
    </row>
    <row r="1993" spans="1:9" x14ac:dyDescent="0.3">
      <c r="A1993" s="24">
        <v>45364</v>
      </c>
      <c r="B1993" t="s">
        <v>79</v>
      </c>
      <c r="C1993" t="s">
        <v>77</v>
      </c>
      <c r="D1993">
        <v>8</v>
      </c>
      <c r="E1993" t="s">
        <v>54</v>
      </c>
      <c r="F1993" t="s">
        <v>55</v>
      </c>
      <c r="H1993" t="s">
        <v>15</v>
      </c>
      <c r="I1993" s="26" t="s">
        <v>747</v>
      </c>
    </row>
    <row r="1994" spans="1:9" x14ac:dyDescent="0.3">
      <c r="A1994" s="24">
        <v>45364</v>
      </c>
      <c r="B1994" t="s">
        <v>80</v>
      </c>
      <c r="C1994" t="s">
        <v>29</v>
      </c>
      <c r="D1994">
        <v>0.28000000000000003</v>
      </c>
      <c r="E1994" t="s">
        <v>81</v>
      </c>
      <c r="F1994" t="s">
        <v>31</v>
      </c>
      <c r="G1994" t="s">
        <v>1541</v>
      </c>
      <c r="H1994" t="s">
        <v>15</v>
      </c>
      <c r="I1994" s="26" t="s">
        <v>747</v>
      </c>
    </row>
    <row r="1995" spans="1:9" x14ac:dyDescent="0.3">
      <c r="A1995" s="24">
        <v>45364</v>
      </c>
      <c r="B1995" t="s">
        <v>80</v>
      </c>
      <c r="C1995" t="s">
        <v>29</v>
      </c>
      <c r="D1995">
        <v>0.42</v>
      </c>
      <c r="E1995" t="s">
        <v>81</v>
      </c>
      <c r="F1995" t="s">
        <v>31</v>
      </c>
      <c r="G1995" t="s">
        <v>1542</v>
      </c>
      <c r="H1995" t="s">
        <v>15</v>
      </c>
      <c r="I1995" s="26" t="s">
        <v>747</v>
      </c>
    </row>
    <row r="1996" spans="1:9" x14ac:dyDescent="0.3">
      <c r="A1996" s="24">
        <v>45364</v>
      </c>
      <c r="B1996" t="s">
        <v>80</v>
      </c>
      <c r="C1996" t="s">
        <v>29</v>
      </c>
      <c r="D1996">
        <v>0.56999999999999995</v>
      </c>
      <c r="E1996" t="s">
        <v>81</v>
      </c>
      <c r="F1996" t="s">
        <v>31</v>
      </c>
      <c r="G1996" t="s">
        <v>1543</v>
      </c>
      <c r="H1996" t="s">
        <v>15</v>
      </c>
      <c r="I1996" s="26" t="s">
        <v>747</v>
      </c>
    </row>
    <row r="1997" spans="1:9" x14ac:dyDescent="0.3">
      <c r="A1997" s="24">
        <v>45364</v>
      </c>
      <c r="B1997" t="s">
        <v>80</v>
      </c>
      <c r="C1997" t="s">
        <v>29</v>
      </c>
      <c r="D1997">
        <v>1.8</v>
      </c>
      <c r="E1997" t="s">
        <v>81</v>
      </c>
      <c r="F1997" t="s">
        <v>31</v>
      </c>
      <c r="G1997" t="s">
        <v>83</v>
      </c>
      <c r="H1997" t="s">
        <v>15</v>
      </c>
      <c r="I1997" s="26" t="s">
        <v>747</v>
      </c>
    </row>
    <row r="1998" spans="1:9" x14ac:dyDescent="0.3">
      <c r="A1998" s="24">
        <v>45364</v>
      </c>
      <c r="B1998" t="s">
        <v>80</v>
      </c>
      <c r="C1998" t="s">
        <v>29</v>
      </c>
      <c r="D1998">
        <v>5.0199999999999996</v>
      </c>
      <c r="E1998" t="s">
        <v>81</v>
      </c>
      <c r="F1998" t="s">
        <v>31</v>
      </c>
      <c r="G1998" t="s">
        <v>764</v>
      </c>
      <c r="H1998" t="s">
        <v>15</v>
      </c>
      <c r="I1998" s="26" t="s">
        <v>747</v>
      </c>
    </row>
    <row r="1999" spans="1:9" x14ac:dyDescent="0.3">
      <c r="A1999" s="24">
        <v>45364</v>
      </c>
      <c r="B1999" t="s">
        <v>88</v>
      </c>
      <c r="C1999" t="s">
        <v>394</v>
      </c>
      <c r="D1999">
        <v>8</v>
      </c>
      <c r="E1999" t="s">
        <v>54</v>
      </c>
      <c r="F1999" t="s">
        <v>55</v>
      </c>
      <c r="G1999" t="s">
        <v>1388</v>
      </c>
      <c r="H1999" t="s">
        <v>15</v>
      </c>
      <c r="I1999" s="26" t="s">
        <v>747</v>
      </c>
    </row>
    <row r="2000" spans="1:9" x14ac:dyDescent="0.3">
      <c r="A2000" s="24">
        <v>45364</v>
      </c>
      <c r="B2000" t="s">
        <v>93</v>
      </c>
      <c r="C2000" t="s">
        <v>94</v>
      </c>
      <c r="D2000">
        <v>0.02</v>
      </c>
      <c r="E2000" t="s">
        <v>30</v>
      </c>
      <c r="F2000" t="s">
        <v>55</v>
      </c>
      <c r="H2000" t="s">
        <v>15</v>
      </c>
      <c r="I2000" s="26" t="s">
        <v>747</v>
      </c>
    </row>
    <row r="2001" spans="1:9" x14ac:dyDescent="0.3">
      <c r="A2001" s="24">
        <v>45364</v>
      </c>
      <c r="B2001" t="s">
        <v>97</v>
      </c>
      <c r="C2001" t="s">
        <v>89</v>
      </c>
      <c r="D2001">
        <v>3.5</v>
      </c>
      <c r="E2001" t="s">
        <v>54</v>
      </c>
      <c r="F2001" t="s">
        <v>55</v>
      </c>
      <c r="G2001" t="s">
        <v>1544</v>
      </c>
      <c r="H2001" t="s">
        <v>15</v>
      </c>
      <c r="I2001" s="26" t="s">
        <v>747</v>
      </c>
    </row>
    <row r="2002" spans="1:9" x14ac:dyDescent="0.3">
      <c r="A2002" s="24">
        <v>45364</v>
      </c>
      <c r="B2002" t="s">
        <v>99</v>
      </c>
      <c r="C2002" t="s">
        <v>89</v>
      </c>
      <c r="D2002">
        <v>9.02</v>
      </c>
      <c r="E2002" t="s">
        <v>54</v>
      </c>
      <c r="F2002" t="s">
        <v>55</v>
      </c>
      <c r="G2002" t="s">
        <v>1545</v>
      </c>
      <c r="H2002" t="s">
        <v>15</v>
      </c>
      <c r="I2002" s="26" t="s">
        <v>747</v>
      </c>
    </row>
    <row r="2003" spans="1:9" x14ac:dyDescent="0.3">
      <c r="A2003" s="24">
        <v>45364</v>
      </c>
      <c r="B2003" t="s">
        <v>101</v>
      </c>
      <c r="C2003" t="s">
        <v>29</v>
      </c>
      <c r="D2003">
        <v>0.25</v>
      </c>
      <c r="E2003" t="s">
        <v>195</v>
      </c>
      <c r="F2003" t="s">
        <v>55</v>
      </c>
      <c r="G2003" t="s">
        <v>1546</v>
      </c>
      <c r="H2003" t="s">
        <v>15</v>
      </c>
      <c r="I2003" s="26" t="s">
        <v>747</v>
      </c>
    </row>
    <row r="2004" spans="1:9" x14ac:dyDescent="0.3">
      <c r="A2004" s="24">
        <v>45364</v>
      </c>
      <c r="B2004" t="s">
        <v>101</v>
      </c>
      <c r="C2004" t="s">
        <v>29</v>
      </c>
      <c r="D2004">
        <v>0.33</v>
      </c>
      <c r="E2004" t="s">
        <v>229</v>
      </c>
      <c r="F2004" t="s">
        <v>55</v>
      </c>
      <c r="G2004" t="s">
        <v>1547</v>
      </c>
      <c r="H2004" t="s">
        <v>15</v>
      </c>
      <c r="I2004" s="26" t="s">
        <v>747</v>
      </c>
    </row>
    <row r="2005" spans="1:9" x14ac:dyDescent="0.3">
      <c r="A2005" s="24">
        <v>45364</v>
      </c>
      <c r="B2005" t="s">
        <v>101</v>
      </c>
      <c r="C2005" t="s">
        <v>29</v>
      </c>
      <c r="D2005">
        <v>2.42</v>
      </c>
      <c r="E2005" t="s">
        <v>108</v>
      </c>
      <c r="F2005" t="s">
        <v>31</v>
      </c>
      <c r="G2005" t="s">
        <v>1548</v>
      </c>
      <c r="H2005" t="s">
        <v>15</v>
      </c>
      <c r="I2005" s="26" t="s">
        <v>747</v>
      </c>
    </row>
    <row r="2006" spans="1:9" x14ac:dyDescent="0.3">
      <c r="A2006" s="24">
        <v>45364</v>
      </c>
      <c r="B2006" t="s">
        <v>101</v>
      </c>
      <c r="C2006" t="s">
        <v>29</v>
      </c>
      <c r="D2006">
        <v>3</v>
      </c>
      <c r="E2006" t="s">
        <v>195</v>
      </c>
      <c r="F2006" t="s">
        <v>31</v>
      </c>
      <c r="G2006" t="s">
        <v>1549</v>
      </c>
      <c r="H2006" t="s">
        <v>15</v>
      </c>
      <c r="I2006" s="26" t="s">
        <v>747</v>
      </c>
    </row>
    <row r="2007" spans="1:9" x14ac:dyDescent="0.3">
      <c r="A2007" s="24">
        <v>45364</v>
      </c>
      <c r="B2007" t="s">
        <v>101</v>
      </c>
      <c r="C2007" t="s">
        <v>53</v>
      </c>
      <c r="D2007">
        <v>0.5</v>
      </c>
      <c r="E2007" t="s">
        <v>54</v>
      </c>
      <c r="F2007" t="s">
        <v>55</v>
      </c>
      <c r="G2007" t="s">
        <v>110</v>
      </c>
      <c r="H2007" t="s">
        <v>15</v>
      </c>
      <c r="I2007" s="26" t="s">
        <v>747</v>
      </c>
    </row>
    <row r="2008" spans="1:9" x14ac:dyDescent="0.3">
      <c r="A2008" s="24">
        <v>45364</v>
      </c>
      <c r="B2008" t="s">
        <v>101</v>
      </c>
      <c r="C2008" t="s">
        <v>60</v>
      </c>
      <c r="D2008">
        <v>1.5</v>
      </c>
      <c r="E2008" t="s">
        <v>295</v>
      </c>
      <c r="F2008" t="s">
        <v>55</v>
      </c>
      <c r="G2008" t="s">
        <v>1550</v>
      </c>
      <c r="H2008" t="s">
        <v>15</v>
      </c>
      <c r="I2008" s="26" t="s">
        <v>747</v>
      </c>
    </row>
    <row r="2009" spans="1:9" x14ac:dyDescent="0.3">
      <c r="A2009" s="24">
        <v>45364</v>
      </c>
      <c r="B2009" t="s">
        <v>407</v>
      </c>
      <c r="C2009" t="s">
        <v>408</v>
      </c>
      <c r="D2009">
        <v>0.5</v>
      </c>
      <c r="E2009" t="s">
        <v>409</v>
      </c>
      <c r="F2009" t="s">
        <v>31</v>
      </c>
      <c r="G2009" t="s">
        <v>1551</v>
      </c>
      <c r="H2009" t="s">
        <v>15</v>
      </c>
      <c r="I2009" s="26" t="s">
        <v>747</v>
      </c>
    </row>
    <row r="2010" spans="1:9" x14ac:dyDescent="0.3">
      <c r="A2010" s="24">
        <v>45364</v>
      </c>
      <c r="B2010" t="s">
        <v>113</v>
      </c>
      <c r="C2010" t="s">
        <v>29</v>
      </c>
      <c r="D2010">
        <v>0.35</v>
      </c>
      <c r="E2010" t="s">
        <v>127</v>
      </c>
      <c r="F2010" t="s">
        <v>31</v>
      </c>
      <c r="G2010" t="s">
        <v>1552</v>
      </c>
      <c r="H2010" t="s">
        <v>15</v>
      </c>
      <c r="I2010" s="26" t="s">
        <v>747</v>
      </c>
    </row>
    <row r="2011" spans="1:9" x14ac:dyDescent="0.3">
      <c r="A2011" s="24">
        <v>45364</v>
      </c>
      <c r="B2011" t="s">
        <v>113</v>
      </c>
      <c r="C2011" t="s">
        <v>29</v>
      </c>
      <c r="D2011">
        <v>0.37</v>
      </c>
      <c r="E2011" t="s">
        <v>151</v>
      </c>
      <c r="F2011" t="s">
        <v>31</v>
      </c>
      <c r="G2011" t="s">
        <v>1553</v>
      </c>
      <c r="H2011" t="s">
        <v>15</v>
      </c>
      <c r="I2011" s="26" t="s">
        <v>747</v>
      </c>
    </row>
    <row r="2012" spans="1:9" x14ac:dyDescent="0.3">
      <c r="A2012" s="24">
        <v>45364</v>
      </c>
      <c r="B2012" t="s">
        <v>113</v>
      </c>
      <c r="C2012" t="s">
        <v>53</v>
      </c>
      <c r="D2012">
        <v>0.35</v>
      </c>
      <c r="E2012" t="s">
        <v>54</v>
      </c>
      <c r="F2012" t="s">
        <v>55</v>
      </c>
      <c r="G2012" t="s">
        <v>119</v>
      </c>
      <c r="H2012" t="s">
        <v>15</v>
      </c>
      <c r="I2012" s="26" t="s">
        <v>747</v>
      </c>
    </row>
    <row r="2013" spans="1:9" x14ac:dyDescent="0.3">
      <c r="A2013" s="24">
        <v>45364</v>
      </c>
      <c r="B2013" t="s">
        <v>113</v>
      </c>
      <c r="C2013" t="s">
        <v>53</v>
      </c>
      <c r="D2013">
        <v>0.5</v>
      </c>
      <c r="E2013" t="s">
        <v>54</v>
      </c>
      <c r="F2013" t="s">
        <v>55</v>
      </c>
      <c r="G2013" t="s">
        <v>110</v>
      </c>
      <c r="H2013" t="s">
        <v>15</v>
      </c>
      <c r="I2013" s="26" t="s">
        <v>747</v>
      </c>
    </row>
    <row r="2014" spans="1:9" x14ac:dyDescent="0.3">
      <c r="A2014" s="24">
        <v>45364</v>
      </c>
      <c r="B2014" t="s">
        <v>113</v>
      </c>
      <c r="C2014" t="s">
        <v>148</v>
      </c>
      <c r="D2014">
        <v>2</v>
      </c>
      <c r="E2014" t="s">
        <v>54</v>
      </c>
      <c r="F2014" t="s">
        <v>55</v>
      </c>
      <c r="G2014" t="s">
        <v>1122</v>
      </c>
      <c r="H2014" t="s">
        <v>15</v>
      </c>
      <c r="I2014" s="26" t="s">
        <v>747</v>
      </c>
    </row>
    <row r="2015" spans="1:9" x14ac:dyDescent="0.3">
      <c r="A2015" s="24">
        <v>45364</v>
      </c>
      <c r="B2015" t="s">
        <v>113</v>
      </c>
      <c r="C2015" t="s">
        <v>159</v>
      </c>
      <c r="D2015">
        <v>1.17</v>
      </c>
      <c r="E2015" t="s">
        <v>114</v>
      </c>
      <c r="F2015" t="s">
        <v>31</v>
      </c>
      <c r="G2015" t="s">
        <v>1554</v>
      </c>
      <c r="H2015" t="s">
        <v>15</v>
      </c>
      <c r="I2015" s="26" t="s">
        <v>747</v>
      </c>
    </row>
    <row r="2016" spans="1:9" x14ac:dyDescent="0.3">
      <c r="A2016" s="24">
        <v>45364</v>
      </c>
      <c r="B2016" t="s">
        <v>113</v>
      </c>
      <c r="C2016" t="s">
        <v>60</v>
      </c>
      <c r="D2016">
        <v>1.37</v>
      </c>
      <c r="E2016" t="s">
        <v>81</v>
      </c>
      <c r="F2016" t="s">
        <v>31</v>
      </c>
      <c r="G2016" t="s">
        <v>1555</v>
      </c>
      <c r="H2016" t="s">
        <v>15</v>
      </c>
      <c r="I2016" s="26" t="s">
        <v>747</v>
      </c>
    </row>
    <row r="2017" spans="1:9" x14ac:dyDescent="0.3">
      <c r="A2017" s="24">
        <v>45364</v>
      </c>
      <c r="B2017" t="s">
        <v>113</v>
      </c>
      <c r="C2017" t="s">
        <v>60</v>
      </c>
      <c r="D2017">
        <v>1.48</v>
      </c>
      <c r="E2017" t="s">
        <v>127</v>
      </c>
      <c r="F2017" t="s">
        <v>31</v>
      </c>
      <c r="G2017" t="s">
        <v>126</v>
      </c>
      <c r="H2017" t="s">
        <v>15</v>
      </c>
      <c r="I2017" s="26" t="s">
        <v>747</v>
      </c>
    </row>
    <row r="2018" spans="1:9" x14ac:dyDescent="0.3">
      <c r="A2018" s="24">
        <v>45364</v>
      </c>
      <c r="B2018" t="s">
        <v>113</v>
      </c>
      <c r="C2018" t="s">
        <v>1408</v>
      </c>
      <c r="D2018">
        <v>0.42</v>
      </c>
      <c r="E2018" t="s">
        <v>1409</v>
      </c>
      <c r="F2018" t="s">
        <v>31</v>
      </c>
      <c r="G2018" t="s">
        <v>1556</v>
      </c>
      <c r="H2018" t="s">
        <v>15</v>
      </c>
      <c r="I2018" s="26" t="s">
        <v>747</v>
      </c>
    </row>
    <row r="2019" spans="1:9" x14ac:dyDescent="0.3">
      <c r="A2019" s="24">
        <v>45364</v>
      </c>
      <c r="B2019" t="s">
        <v>132</v>
      </c>
      <c r="C2019" t="s">
        <v>53</v>
      </c>
      <c r="D2019">
        <v>9.7200000000000006</v>
      </c>
      <c r="E2019" t="s">
        <v>54</v>
      </c>
      <c r="F2019" t="s">
        <v>55</v>
      </c>
      <c r="G2019" t="s">
        <v>1557</v>
      </c>
      <c r="H2019" t="s">
        <v>15</v>
      </c>
      <c r="I2019" s="26" t="s">
        <v>747</v>
      </c>
    </row>
    <row r="2020" spans="1:9" x14ac:dyDescent="0.3">
      <c r="A2020" s="24">
        <v>45364</v>
      </c>
      <c r="B2020" t="s">
        <v>134</v>
      </c>
      <c r="C2020" t="s">
        <v>29</v>
      </c>
      <c r="D2020">
        <v>0.52</v>
      </c>
      <c r="E2020" t="s">
        <v>139</v>
      </c>
      <c r="F2020" t="s">
        <v>31</v>
      </c>
      <c r="G2020" t="s">
        <v>1558</v>
      </c>
      <c r="H2020" t="s">
        <v>15</v>
      </c>
      <c r="I2020" s="26" t="s">
        <v>747</v>
      </c>
    </row>
    <row r="2021" spans="1:9" x14ac:dyDescent="0.3">
      <c r="A2021" s="24">
        <v>45364</v>
      </c>
      <c r="B2021" t="s">
        <v>134</v>
      </c>
      <c r="C2021" t="s">
        <v>29</v>
      </c>
      <c r="D2021">
        <v>1.1499999999999999</v>
      </c>
      <c r="E2021" t="s">
        <v>135</v>
      </c>
      <c r="F2021" t="s">
        <v>31</v>
      </c>
      <c r="G2021" t="s">
        <v>1559</v>
      </c>
      <c r="H2021" t="s">
        <v>15</v>
      </c>
      <c r="I2021" s="26" t="s">
        <v>747</v>
      </c>
    </row>
    <row r="2022" spans="1:9" x14ac:dyDescent="0.3">
      <c r="A2022" s="24">
        <v>45364</v>
      </c>
      <c r="B2022" t="s">
        <v>134</v>
      </c>
      <c r="C2022" t="s">
        <v>29</v>
      </c>
      <c r="D2022">
        <v>1.33</v>
      </c>
      <c r="E2022" t="s">
        <v>139</v>
      </c>
      <c r="F2022" t="s">
        <v>31</v>
      </c>
      <c r="G2022" t="s">
        <v>1560</v>
      </c>
      <c r="H2022" t="s">
        <v>15</v>
      </c>
      <c r="I2022" s="26" t="s">
        <v>747</v>
      </c>
    </row>
    <row r="2023" spans="1:9" x14ac:dyDescent="0.3">
      <c r="A2023" s="24">
        <v>45364</v>
      </c>
      <c r="B2023" t="s">
        <v>134</v>
      </c>
      <c r="C2023" t="s">
        <v>29</v>
      </c>
      <c r="D2023">
        <v>2.0299999999999998</v>
      </c>
      <c r="E2023" t="s">
        <v>137</v>
      </c>
      <c r="F2023" t="s">
        <v>31</v>
      </c>
      <c r="G2023" t="s">
        <v>1561</v>
      </c>
      <c r="H2023" t="s">
        <v>15</v>
      </c>
      <c r="I2023" s="26" t="s">
        <v>747</v>
      </c>
    </row>
    <row r="2024" spans="1:9" x14ac:dyDescent="0.3">
      <c r="A2024" s="24">
        <v>45364</v>
      </c>
      <c r="B2024" t="s">
        <v>134</v>
      </c>
      <c r="C2024" t="s">
        <v>142</v>
      </c>
      <c r="D2024">
        <v>0.87</v>
      </c>
      <c r="E2024" t="s">
        <v>143</v>
      </c>
      <c r="F2024" t="s">
        <v>31</v>
      </c>
      <c r="G2024" t="s">
        <v>615</v>
      </c>
      <c r="H2024" t="s">
        <v>15</v>
      </c>
      <c r="I2024" s="26" t="s">
        <v>747</v>
      </c>
    </row>
    <row r="2025" spans="1:9" x14ac:dyDescent="0.3">
      <c r="A2025" s="24">
        <v>45364</v>
      </c>
      <c r="B2025" t="s">
        <v>134</v>
      </c>
      <c r="C2025" t="s">
        <v>142</v>
      </c>
      <c r="D2025">
        <v>1.6</v>
      </c>
      <c r="E2025" t="s">
        <v>143</v>
      </c>
      <c r="F2025" t="s">
        <v>31</v>
      </c>
      <c r="H2025" t="s">
        <v>15</v>
      </c>
      <c r="I2025" s="26" t="s">
        <v>747</v>
      </c>
    </row>
    <row r="2026" spans="1:9" x14ac:dyDescent="0.3">
      <c r="A2026" s="24">
        <v>45364</v>
      </c>
      <c r="B2026" t="s">
        <v>134</v>
      </c>
      <c r="C2026" t="s">
        <v>53</v>
      </c>
      <c r="D2026">
        <v>0.5</v>
      </c>
      <c r="E2026" t="s">
        <v>54</v>
      </c>
      <c r="F2026" t="s">
        <v>55</v>
      </c>
      <c r="G2026" t="s">
        <v>110</v>
      </c>
      <c r="H2026" t="s">
        <v>15</v>
      </c>
      <c r="I2026" s="26" t="s">
        <v>747</v>
      </c>
    </row>
    <row r="2027" spans="1:9" x14ac:dyDescent="0.3">
      <c r="A2027" s="24">
        <v>45364</v>
      </c>
      <c r="B2027" t="s">
        <v>150</v>
      </c>
      <c r="C2027" t="s">
        <v>29</v>
      </c>
      <c r="D2027">
        <v>0.7</v>
      </c>
      <c r="E2027" t="s">
        <v>114</v>
      </c>
      <c r="F2027" t="s">
        <v>31</v>
      </c>
      <c r="G2027" t="s">
        <v>1562</v>
      </c>
      <c r="H2027" t="s">
        <v>15</v>
      </c>
      <c r="I2027" s="26" t="s">
        <v>747</v>
      </c>
    </row>
    <row r="2028" spans="1:9" x14ac:dyDescent="0.3">
      <c r="A2028" s="24">
        <v>45364</v>
      </c>
      <c r="B2028" t="s">
        <v>150</v>
      </c>
      <c r="C2028" t="s">
        <v>29</v>
      </c>
      <c r="D2028">
        <v>0.95</v>
      </c>
      <c r="E2028" t="s">
        <v>437</v>
      </c>
      <c r="F2028" t="s">
        <v>31</v>
      </c>
      <c r="G2028" t="s">
        <v>1563</v>
      </c>
      <c r="H2028" t="s">
        <v>15</v>
      </c>
      <c r="I2028" s="26" t="s">
        <v>747</v>
      </c>
    </row>
    <row r="2029" spans="1:9" x14ac:dyDescent="0.3">
      <c r="A2029" s="24">
        <v>45364</v>
      </c>
      <c r="B2029" t="s">
        <v>150</v>
      </c>
      <c r="C2029" t="s">
        <v>29</v>
      </c>
      <c r="D2029">
        <v>1.1200000000000001</v>
      </c>
      <c r="E2029" t="s">
        <v>114</v>
      </c>
      <c r="F2029" t="s">
        <v>31</v>
      </c>
      <c r="G2029" t="s">
        <v>1564</v>
      </c>
      <c r="H2029" t="s">
        <v>15</v>
      </c>
      <c r="I2029" s="26" t="s">
        <v>747</v>
      </c>
    </row>
    <row r="2030" spans="1:9" x14ac:dyDescent="0.3">
      <c r="A2030" s="24">
        <v>45364</v>
      </c>
      <c r="B2030" t="s">
        <v>150</v>
      </c>
      <c r="C2030" t="s">
        <v>29</v>
      </c>
      <c r="D2030">
        <v>1.82</v>
      </c>
      <c r="E2030" t="s">
        <v>437</v>
      </c>
      <c r="F2030" t="s">
        <v>31</v>
      </c>
      <c r="G2030" t="s">
        <v>152</v>
      </c>
      <c r="H2030" t="s">
        <v>15</v>
      </c>
      <c r="I2030" s="26" t="s">
        <v>747</v>
      </c>
    </row>
    <row r="2031" spans="1:9" x14ac:dyDescent="0.3">
      <c r="A2031" s="24">
        <v>45364</v>
      </c>
      <c r="B2031" t="s">
        <v>150</v>
      </c>
      <c r="C2031" t="s">
        <v>29</v>
      </c>
      <c r="D2031">
        <v>2.97</v>
      </c>
      <c r="E2031" t="s">
        <v>437</v>
      </c>
      <c r="F2031" t="s">
        <v>31</v>
      </c>
      <c r="G2031" t="s">
        <v>1565</v>
      </c>
      <c r="H2031" t="s">
        <v>15</v>
      </c>
      <c r="I2031" s="26" t="s">
        <v>747</v>
      </c>
    </row>
    <row r="2032" spans="1:9" x14ac:dyDescent="0.3">
      <c r="A2032" s="24">
        <v>45364</v>
      </c>
      <c r="B2032" t="s">
        <v>150</v>
      </c>
      <c r="C2032" t="s">
        <v>53</v>
      </c>
      <c r="D2032">
        <v>0.22</v>
      </c>
      <c r="E2032" t="s">
        <v>54</v>
      </c>
      <c r="F2032" t="s">
        <v>55</v>
      </c>
      <c r="G2032" t="s">
        <v>158</v>
      </c>
      <c r="H2032" t="s">
        <v>15</v>
      </c>
      <c r="I2032" s="26" t="s">
        <v>747</v>
      </c>
    </row>
    <row r="2033" spans="1:9" x14ac:dyDescent="0.3">
      <c r="A2033" s="24">
        <v>45364</v>
      </c>
      <c r="B2033" t="s">
        <v>150</v>
      </c>
      <c r="C2033" t="s">
        <v>60</v>
      </c>
      <c r="D2033">
        <v>0.8</v>
      </c>
      <c r="E2033" t="s">
        <v>162</v>
      </c>
      <c r="F2033" t="s">
        <v>31</v>
      </c>
      <c r="G2033" t="s">
        <v>1566</v>
      </c>
      <c r="H2033" t="s">
        <v>15</v>
      </c>
      <c r="I2033" s="26" t="s">
        <v>747</v>
      </c>
    </row>
    <row r="2034" spans="1:9" x14ac:dyDescent="0.3">
      <c r="A2034" s="24">
        <v>45364</v>
      </c>
      <c r="B2034" t="s">
        <v>164</v>
      </c>
      <c r="C2034" t="s">
        <v>29</v>
      </c>
      <c r="D2034">
        <v>0.83</v>
      </c>
      <c r="E2034" t="s">
        <v>96</v>
      </c>
      <c r="F2034" t="s">
        <v>55</v>
      </c>
      <c r="G2034" t="s">
        <v>1567</v>
      </c>
      <c r="H2034" t="s">
        <v>15</v>
      </c>
      <c r="I2034" s="26" t="s">
        <v>747</v>
      </c>
    </row>
    <row r="2035" spans="1:9" x14ac:dyDescent="0.3">
      <c r="A2035" s="24">
        <v>45364</v>
      </c>
      <c r="B2035" t="s">
        <v>164</v>
      </c>
      <c r="C2035" t="s">
        <v>29</v>
      </c>
      <c r="D2035">
        <v>0.97</v>
      </c>
      <c r="E2035" t="s">
        <v>96</v>
      </c>
      <c r="F2035" t="s">
        <v>55</v>
      </c>
      <c r="G2035" t="s">
        <v>1568</v>
      </c>
      <c r="H2035" t="s">
        <v>15</v>
      </c>
      <c r="I2035" s="26" t="s">
        <v>747</v>
      </c>
    </row>
    <row r="2036" spans="1:9" x14ac:dyDescent="0.3">
      <c r="A2036" s="24">
        <v>45364</v>
      </c>
      <c r="B2036" t="s">
        <v>164</v>
      </c>
      <c r="C2036" t="s">
        <v>29</v>
      </c>
      <c r="D2036">
        <v>1.85</v>
      </c>
      <c r="E2036" t="s">
        <v>229</v>
      </c>
      <c r="F2036" t="s">
        <v>31</v>
      </c>
      <c r="G2036" t="s">
        <v>1569</v>
      </c>
      <c r="H2036" t="s">
        <v>15</v>
      </c>
      <c r="I2036" s="26" t="s">
        <v>747</v>
      </c>
    </row>
    <row r="2037" spans="1:9" x14ac:dyDescent="0.3">
      <c r="A2037" s="24">
        <v>45364</v>
      </c>
      <c r="B2037" t="s">
        <v>164</v>
      </c>
      <c r="C2037" t="s">
        <v>53</v>
      </c>
      <c r="D2037">
        <v>0.35</v>
      </c>
      <c r="E2037" t="s">
        <v>54</v>
      </c>
      <c r="F2037" t="s">
        <v>55</v>
      </c>
      <c r="G2037" t="s">
        <v>207</v>
      </c>
      <c r="H2037" t="s">
        <v>15</v>
      </c>
      <c r="I2037" s="26" t="s">
        <v>747</v>
      </c>
    </row>
    <row r="2038" spans="1:9" x14ac:dyDescent="0.3">
      <c r="A2038" s="24">
        <v>45364</v>
      </c>
      <c r="B2038" t="s">
        <v>164</v>
      </c>
      <c r="C2038" t="s">
        <v>53</v>
      </c>
      <c r="D2038">
        <v>0.73</v>
      </c>
      <c r="E2038" t="s">
        <v>54</v>
      </c>
      <c r="F2038" t="s">
        <v>55</v>
      </c>
      <c r="G2038" t="s">
        <v>1570</v>
      </c>
      <c r="H2038" t="s">
        <v>15</v>
      </c>
      <c r="I2038" s="26" t="s">
        <v>747</v>
      </c>
    </row>
    <row r="2039" spans="1:9" x14ac:dyDescent="0.3">
      <c r="A2039" s="24">
        <v>45364</v>
      </c>
      <c r="B2039" t="s">
        <v>164</v>
      </c>
      <c r="C2039" t="s">
        <v>53</v>
      </c>
      <c r="D2039">
        <v>0.87</v>
      </c>
      <c r="E2039" t="s">
        <v>54</v>
      </c>
      <c r="F2039" t="s">
        <v>55</v>
      </c>
      <c r="G2039" t="s">
        <v>1571</v>
      </c>
      <c r="H2039" t="s">
        <v>15</v>
      </c>
      <c r="I2039" s="26" t="s">
        <v>747</v>
      </c>
    </row>
    <row r="2040" spans="1:9" x14ac:dyDescent="0.3">
      <c r="A2040" s="24">
        <v>45364</v>
      </c>
      <c r="B2040" t="s">
        <v>164</v>
      </c>
      <c r="C2040" t="s">
        <v>53</v>
      </c>
      <c r="D2040">
        <v>1.82</v>
      </c>
      <c r="E2040" t="s">
        <v>54</v>
      </c>
      <c r="F2040" t="s">
        <v>55</v>
      </c>
      <c r="G2040" t="s">
        <v>1269</v>
      </c>
      <c r="H2040" t="s">
        <v>15</v>
      </c>
      <c r="I2040" s="26" t="s">
        <v>747</v>
      </c>
    </row>
    <row r="2041" spans="1:9" x14ac:dyDescent="0.3">
      <c r="A2041" s="24">
        <v>45364</v>
      </c>
      <c r="B2041" t="s">
        <v>164</v>
      </c>
      <c r="C2041" t="s">
        <v>159</v>
      </c>
      <c r="D2041">
        <v>0.62</v>
      </c>
      <c r="E2041" t="s">
        <v>725</v>
      </c>
      <c r="F2041" t="s">
        <v>55</v>
      </c>
      <c r="G2041" t="s">
        <v>1572</v>
      </c>
      <c r="H2041" t="s">
        <v>15</v>
      </c>
      <c r="I2041" s="26" t="s">
        <v>747</v>
      </c>
    </row>
    <row r="2042" spans="1:9" x14ac:dyDescent="0.3">
      <c r="A2042" s="24">
        <v>45364</v>
      </c>
      <c r="B2042" t="s">
        <v>169</v>
      </c>
      <c r="C2042" t="s">
        <v>29</v>
      </c>
      <c r="D2042">
        <v>2.2200000000000002</v>
      </c>
      <c r="E2042" t="s">
        <v>170</v>
      </c>
      <c r="F2042" t="s">
        <v>31</v>
      </c>
      <c r="H2042" t="s">
        <v>15</v>
      </c>
      <c r="I2042" s="26" t="s">
        <v>747</v>
      </c>
    </row>
    <row r="2043" spans="1:9" x14ac:dyDescent="0.3">
      <c r="A2043" s="24">
        <v>45364</v>
      </c>
      <c r="B2043" t="s">
        <v>169</v>
      </c>
      <c r="C2043" t="s">
        <v>60</v>
      </c>
      <c r="D2043">
        <v>5.85</v>
      </c>
      <c r="E2043" t="s">
        <v>35</v>
      </c>
      <c r="F2043" t="s">
        <v>31</v>
      </c>
      <c r="H2043" t="s">
        <v>15</v>
      </c>
      <c r="I2043" s="26" t="s">
        <v>747</v>
      </c>
    </row>
    <row r="2044" spans="1:9" x14ac:dyDescent="0.3">
      <c r="A2044" s="24">
        <v>45364</v>
      </c>
      <c r="B2044" t="s">
        <v>172</v>
      </c>
      <c r="C2044" t="s">
        <v>173</v>
      </c>
      <c r="D2044">
        <v>8</v>
      </c>
      <c r="E2044" t="s">
        <v>162</v>
      </c>
      <c r="F2044" t="s">
        <v>31</v>
      </c>
      <c r="G2044" t="s">
        <v>1573</v>
      </c>
      <c r="H2044" t="s">
        <v>15</v>
      </c>
      <c r="I2044" s="26" t="s">
        <v>747</v>
      </c>
    </row>
    <row r="2045" spans="1:9" x14ac:dyDescent="0.3">
      <c r="A2045" s="24">
        <v>45364</v>
      </c>
      <c r="B2045" t="s">
        <v>175</v>
      </c>
      <c r="C2045" t="s">
        <v>29</v>
      </c>
      <c r="D2045">
        <v>0.13</v>
      </c>
      <c r="E2045" t="s">
        <v>177</v>
      </c>
      <c r="F2045" t="s">
        <v>31</v>
      </c>
      <c r="H2045" t="s">
        <v>15</v>
      </c>
      <c r="I2045" s="26" t="s">
        <v>747</v>
      </c>
    </row>
    <row r="2046" spans="1:9" x14ac:dyDescent="0.3">
      <c r="A2046" s="24">
        <v>45364</v>
      </c>
      <c r="B2046" t="s">
        <v>175</v>
      </c>
      <c r="C2046" t="s">
        <v>29</v>
      </c>
      <c r="D2046">
        <v>0.33</v>
      </c>
      <c r="E2046" t="s">
        <v>185</v>
      </c>
      <c r="F2046" t="s">
        <v>31</v>
      </c>
      <c r="G2046" t="s">
        <v>1574</v>
      </c>
      <c r="H2046" t="s">
        <v>15</v>
      </c>
      <c r="I2046" s="26" t="s">
        <v>747</v>
      </c>
    </row>
    <row r="2047" spans="1:9" x14ac:dyDescent="0.3">
      <c r="A2047" s="24">
        <v>45364</v>
      </c>
      <c r="B2047" t="s">
        <v>175</v>
      </c>
      <c r="C2047" t="s">
        <v>29</v>
      </c>
      <c r="D2047">
        <v>0.5</v>
      </c>
      <c r="E2047" t="s">
        <v>179</v>
      </c>
      <c r="F2047" t="s">
        <v>31</v>
      </c>
      <c r="H2047" t="s">
        <v>15</v>
      </c>
      <c r="I2047" s="26" t="s">
        <v>747</v>
      </c>
    </row>
    <row r="2048" spans="1:9" x14ac:dyDescent="0.3">
      <c r="A2048" s="24">
        <v>45364</v>
      </c>
      <c r="B2048" t="s">
        <v>175</v>
      </c>
      <c r="C2048" t="s">
        <v>29</v>
      </c>
      <c r="D2048">
        <v>0.5</v>
      </c>
      <c r="E2048" t="s">
        <v>176</v>
      </c>
      <c r="F2048" t="s">
        <v>31</v>
      </c>
      <c r="H2048" t="s">
        <v>15</v>
      </c>
      <c r="I2048" s="26" t="s">
        <v>747</v>
      </c>
    </row>
    <row r="2049" spans="1:9" x14ac:dyDescent="0.3">
      <c r="A2049" s="24">
        <v>45364</v>
      </c>
      <c r="B2049" t="s">
        <v>175</v>
      </c>
      <c r="C2049" t="s">
        <v>29</v>
      </c>
      <c r="D2049">
        <v>0.5</v>
      </c>
      <c r="E2049" t="s">
        <v>182</v>
      </c>
      <c r="F2049" t="s">
        <v>31</v>
      </c>
      <c r="G2049" t="s">
        <v>1575</v>
      </c>
      <c r="H2049" t="s">
        <v>15</v>
      </c>
      <c r="I2049" s="26" t="s">
        <v>747</v>
      </c>
    </row>
    <row r="2050" spans="1:9" x14ac:dyDescent="0.3">
      <c r="A2050" s="24">
        <v>45364</v>
      </c>
      <c r="B2050" t="s">
        <v>175</v>
      </c>
      <c r="C2050" t="s">
        <v>29</v>
      </c>
      <c r="D2050">
        <v>0.92</v>
      </c>
      <c r="E2050" t="s">
        <v>185</v>
      </c>
      <c r="F2050" t="s">
        <v>31</v>
      </c>
      <c r="G2050" t="s">
        <v>1576</v>
      </c>
      <c r="H2050" t="s">
        <v>15</v>
      </c>
      <c r="I2050" s="26" t="s">
        <v>747</v>
      </c>
    </row>
    <row r="2051" spans="1:9" x14ac:dyDescent="0.3">
      <c r="A2051" s="24">
        <v>45364</v>
      </c>
      <c r="B2051" t="s">
        <v>175</v>
      </c>
      <c r="C2051" t="s">
        <v>29</v>
      </c>
      <c r="D2051">
        <v>1</v>
      </c>
      <c r="E2051" t="s">
        <v>127</v>
      </c>
      <c r="F2051" t="s">
        <v>31</v>
      </c>
      <c r="G2051" t="s">
        <v>1577</v>
      </c>
      <c r="H2051" t="s">
        <v>15</v>
      </c>
      <c r="I2051" s="26" t="s">
        <v>747</v>
      </c>
    </row>
    <row r="2052" spans="1:9" x14ac:dyDescent="0.3">
      <c r="A2052" s="24">
        <v>45364</v>
      </c>
      <c r="B2052" t="s">
        <v>175</v>
      </c>
      <c r="C2052" t="s">
        <v>29</v>
      </c>
      <c r="D2052">
        <v>1.18</v>
      </c>
      <c r="E2052" t="s">
        <v>127</v>
      </c>
      <c r="F2052" t="s">
        <v>31</v>
      </c>
      <c r="G2052" t="s">
        <v>1578</v>
      </c>
      <c r="H2052" t="s">
        <v>15</v>
      </c>
      <c r="I2052" s="26" t="s">
        <v>747</v>
      </c>
    </row>
    <row r="2053" spans="1:9" x14ac:dyDescent="0.3">
      <c r="A2053" s="24">
        <v>45364</v>
      </c>
      <c r="B2053" t="s">
        <v>175</v>
      </c>
      <c r="C2053" t="s">
        <v>29</v>
      </c>
      <c r="D2053">
        <v>1.35</v>
      </c>
      <c r="E2053" t="s">
        <v>182</v>
      </c>
      <c r="F2053" t="s">
        <v>31</v>
      </c>
      <c r="G2053" t="s">
        <v>1579</v>
      </c>
      <c r="H2053" t="s">
        <v>15</v>
      </c>
      <c r="I2053" s="26" t="s">
        <v>747</v>
      </c>
    </row>
    <row r="2054" spans="1:9" x14ac:dyDescent="0.3">
      <c r="A2054" s="24">
        <v>45364</v>
      </c>
      <c r="B2054" t="s">
        <v>175</v>
      </c>
      <c r="C2054" t="s">
        <v>148</v>
      </c>
      <c r="D2054">
        <v>0.57999999999999996</v>
      </c>
      <c r="E2054" t="s">
        <v>54</v>
      </c>
      <c r="F2054" t="s">
        <v>55</v>
      </c>
      <c r="G2054" t="s">
        <v>1580</v>
      </c>
      <c r="H2054" t="s">
        <v>15</v>
      </c>
      <c r="I2054" s="26" t="s">
        <v>747</v>
      </c>
    </row>
    <row r="2055" spans="1:9" x14ac:dyDescent="0.3">
      <c r="A2055" s="24">
        <v>45364</v>
      </c>
      <c r="B2055" t="s">
        <v>175</v>
      </c>
      <c r="C2055" t="s">
        <v>60</v>
      </c>
      <c r="D2055">
        <v>0.5</v>
      </c>
      <c r="E2055" t="s">
        <v>127</v>
      </c>
      <c r="F2055" t="s">
        <v>31</v>
      </c>
      <c r="H2055" t="s">
        <v>15</v>
      </c>
      <c r="I2055" s="26" t="s">
        <v>747</v>
      </c>
    </row>
    <row r="2056" spans="1:9" x14ac:dyDescent="0.3">
      <c r="A2056" s="24">
        <v>45364</v>
      </c>
      <c r="B2056" t="s">
        <v>175</v>
      </c>
      <c r="C2056" t="s">
        <v>60</v>
      </c>
      <c r="D2056">
        <v>0.5</v>
      </c>
      <c r="E2056" t="s">
        <v>182</v>
      </c>
      <c r="F2056" t="s">
        <v>31</v>
      </c>
      <c r="H2056" t="s">
        <v>15</v>
      </c>
      <c r="I2056" s="26" t="s">
        <v>747</v>
      </c>
    </row>
    <row r="2057" spans="1:9" x14ac:dyDescent="0.3">
      <c r="A2057" s="24">
        <v>45364</v>
      </c>
      <c r="B2057" t="s">
        <v>188</v>
      </c>
      <c r="C2057" t="s">
        <v>454</v>
      </c>
      <c r="D2057">
        <v>8</v>
      </c>
      <c r="E2057" t="s">
        <v>54</v>
      </c>
      <c r="F2057" t="s">
        <v>55</v>
      </c>
      <c r="G2057" t="s">
        <v>1277</v>
      </c>
      <c r="H2057" t="s">
        <v>15</v>
      </c>
      <c r="I2057" s="26" t="s">
        <v>747</v>
      </c>
    </row>
    <row r="2058" spans="1:9" x14ac:dyDescent="0.3">
      <c r="A2058" s="24">
        <v>45364</v>
      </c>
      <c r="B2058" t="s">
        <v>190</v>
      </c>
      <c r="C2058" t="s">
        <v>442</v>
      </c>
      <c r="D2058">
        <v>8</v>
      </c>
      <c r="E2058" t="s">
        <v>54</v>
      </c>
      <c r="F2058" t="s">
        <v>55</v>
      </c>
      <c r="H2058" t="s">
        <v>15</v>
      </c>
      <c r="I2058" s="26" t="s">
        <v>747</v>
      </c>
    </row>
    <row r="2059" spans="1:9" x14ac:dyDescent="0.3">
      <c r="A2059" s="24">
        <v>45364</v>
      </c>
      <c r="B2059" t="s">
        <v>191</v>
      </c>
      <c r="C2059" t="s">
        <v>89</v>
      </c>
      <c r="D2059">
        <v>8</v>
      </c>
      <c r="E2059" t="s">
        <v>54</v>
      </c>
      <c r="F2059" t="s">
        <v>55</v>
      </c>
      <c r="G2059" t="s">
        <v>1435</v>
      </c>
      <c r="H2059" t="s">
        <v>15</v>
      </c>
      <c r="I2059" s="26" t="s">
        <v>747</v>
      </c>
    </row>
    <row r="2060" spans="1:9" x14ac:dyDescent="0.3">
      <c r="A2060" s="24">
        <v>45364</v>
      </c>
      <c r="B2060" t="s">
        <v>193</v>
      </c>
      <c r="C2060" t="s">
        <v>29</v>
      </c>
      <c r="D2060">
        <v>0.17</v>
      </c>
      <c r="E2060" t="s">
        <v>205</v>
      </c>
      <c r="F2060" t="s">
        <v>31</v>
      </c>
      <c r="G2060" t="s">
        <v>1581</v>
      </c>
      <c r="H2060" t="s">
        <v>15</v>
      </c>
      <c r="I2060" s="26" t="s">
        <v>747</v>
      </c>
    </row>
    <row r="2061" spans="1:9" x14ac:dyDescent="0.3">
      <c r="A2061" s="24">
        <v>45364</v>
      </c>
      <c r="B2061" t="s">
        <v>193</v>
      </c>
      <c r="C2061" t="s">
        <v>29</v>
      </c>
      <c r="D2061">
        <v>0.35</v>
      </c>
      <c r="E2061" t="s">
        <v>195</v>
      </c>
      <c r="F2061" t="s">
        <v>31</v>
      </c>
      <c r="G2061" t="s">
        <v>1582</v>
      </c>
      <c r="H2061" t="s">
        <v>15</v>
      </c>
      <c r="I2061" s="26" t="s">
        <v>747</v>
      </c>
    </row>
    <row r="2062" spans="1:9" x14ac:dyDescent="0.3">
      <c r="A2062" s="24">
        <v>45364</v>
      </c>
      <c r="B2062" t="s">
        <v>193</v>
      </c>
      <c r="C2062" t="s">
        <v>29</v>
      </c>
      <c r="D2062">
        <v>0.78</v>
      </c>
      <c r="E2062" t="s">
        <v>953</v>
      </c>
      <c r="F2062" t="s">
        <v>31</v>
      </c>
      <c r="G2062" t="s">
        <v>1583</v>
      </c>
      <c r="H2062" t="s">
        <v>15</v>
      </c>
      <c r="I2062" s="26" t="s">
        <v>747</v>
      </c>
    </row>
    <row r="2063" spans="1:9" x14ac:dyDescent="0.3">
      <c r="A2063" s="24">
        <v>45364</v>
      </c>
      <c r="B2063" t="s">
        <v>193</v>
      </c>
      <c r="C2063" t="s">
        <v>202</v>
      </c>
      <c r="D2063">
        <v>0.33</v>
      </c>
      <c r="E2063" t="s">
        <v>271</v>
      </c>
      <c r="F2063" t="s">
        <v>31</v>
      </c>
      <c r="G2063" t="s">
        <v>1584</v>
      </c>
      <c r="H2063" t="s">
        <v>15</v>
      </c>
      <c r="I2063" s="26" t="s">
        <v>747</v>
      </c>
    </row>
    <row r="2064" spans="1:9" x14ac:dyDescent="0.3">
      <c r="A2064" s="24">
        <v>45364</v>
      </c>
      <c r="B2064" t="s">
        <v>193</v>
      </c>
      <c r="C2064" t="s">
        <v>202</v>
      </c>
      <c r="D2064">
        <v>0.67</v>
      </c>
      <c r="E2064" t="s">
        <v>271</v>
      </c>
      <c r="F2064" t="s">
        <v>31</v>
      </c>
      <c r="G2064" t="s">
        <v>1585</v>
      </c>
      <c r="H2064" t="s">
        <v>15</v>
      </c>
      <c r="I2064" s="26" t="s">
        <v>747</v>
      </c>
    </row>
    <row r="2065" spans="1:9" x14ac:dyDescent="0.3">
      <c r="A2065" s="24">
        <v>45364</v>
      </c>
      <c r="B2065" t="s">
        <v>193</v>
      </c>
      <c r="C2065" t="s">
        <v>85</v>
      </c>
      <c r="D2065">
        <v>0.28000000000000003</v>
      </c>
      <c r="E2065" t="s">
        <v>953</v>
      </c>
      <c r="F2065" t="s">
        <v>31</v>
      </c>
      <c r="G2065" t="s">
        <v>1586</v>
      </c>
      <c r="H2065" t="s">
        <v>15</v>
      </c>
      <c r="I2065" s="26" t="s">
        <v>747</v>
      </c>
    </row>
    <row r="2066" spans="1:9" x14ac:dyDescent="0.3">
      <c r="A2066" s="24">
        <v>45364</v>
      </c>
      <c r="B2066" t="s">
        <v>193</v>
      </c>
      <c r="C2066" t="s">
        <v>85</v>
      </c>
      <c r="D2066">
        <v>1</v>
      </c>
      <c r="E2066" t="s">
        <v>460</v>
      </c>
      <c r="F2066" t="s">
        <v>31</v>
      </c>
      <c r="G2066" t="s">
        <v>1587</v>
      </c>
      <c r="H2066" t="s">
        <v>15</v>
      </c>
      <c r="I2066" s="26" t="s">
        <v>747</v>
      </c>
    </row>
    <row r="2067" spans="1:9" x14ac:dyDescent="0.3">
      <c r="A2067" s="24">
        <v>45364</v>
      </c>
      <c r="B2067" t="s">
        <v>193</v>
      </c>
      <c r="C2067" t="s">
        <v>53</v>
      </c>
      <c r="D2067">
        <v>0.2</v>
      </c>
      <c r="E2067" t="s">
        <v>54</v>
      </c>
      <c r="F2067" t="s">
        <v>55</v>
      </c>
      <c r="G2067" t="s">
        <v>1588</v>
      </c>
      <c r="H2067" t="s">
        <v>15</v>
      </c>
      <c r="I2067" s="26" t="s">
        <v>747</v>
      </c>
    </row>
    <row r="2068" spans="1:9" x14ac:dyDescent="0.3">
      <c r="A2068" s="24">
        <v>45364</v>
      </c>
      <c r="B2068" t="s">
        <v>193</v>
      </c>
      <c r="C2068" t="s">
        <v>53</v>
      </c>
      <c r="D2068">
        <v>0.33</v>
      </c>
      <c r="E2068" t="s">
        <v>54</v>
      </c>
      <c r="F2068" t="s">
        <v>55</v>
      </c>
      <c r="G2068" t="s">
        <v>1589</v>
      </c>
      <c r="H2068" t="s">
        <v>15</v>
      </c>
      <c r="I2068" s="26" t="s">
        <v>747</v>
      </c>
    </row>
    <row r="2069" spans="1:9" x14ac:dyDescent="0.3">
      <c r="A2069" s="24">
        <v>45364</v>
      </c>
      <c r="B2069" t="s">
        <v>193</v>
      </c>
      <c r="C2069" t="s">
        <v>53</v>
      </c>
      <c r="D2069">
        <v>1</v>
      </c>
      <c r="E2069" t="s">
        <v>54</v>
      </c>
      <c r="F2069" t="s">
        <v>55</v>
      </c>
      <c r="G2069" t="s">
        <v>1590</v>
      </c>
      <c r="H2069" t="s">
        <v>15</v>
      </c>
      <c r="I2069" s="26" t="s">
        <v>747</v>
      </c>
    </row>
    <row r="2070" spans="1:9" x14ac:dyDescent="0.3">
      <c r="A2070" s="24">
        <v>45364</v>
      </c>
      <c r="B2070" t="s">
        <v>193</v>
      </c>
      <c r="C2070" t="s">
        <v>60</v>
      </c>
      <c r="D2070">
        <v>0.15</v>
      </c>
      <c r="E2070" t="s">
        <v>195</v>
      </c>
      <c r="F2070" t="s">
        <v>31</v>
      </c>
      <c r="G2070" t="s">
        <v>547</v>
      </c>
      <c r="H2070" t="s">
        <v>15</v>
      </c>
      <c r="I2070" s="26" t="s">
        <v>747</v>
      </c>
    </row>
    <row r="2071" spans="1:9" x14ac:dyDescent="0.3">
      <c r="A2071" s="24">
        <v>45364</v>
      </c>
      <c r="B2071" t="s">
        <v>193</v>
      </c>
      <c r="C2071" t="s">
        <v>60</v>
      </c>
      <c r="D2071">
        <v>0.17</v>
      </c>
      <c r="E2071" t="s">
        <v>953</v>
      </c>
      <c r="F2071" t="s">
        <v>31</v>
      </c>
      <c r="G2071" t="s">
        <v>1591</v>
      </c>
      <c r="H2071" t="s">
        <v>15</v>
      </c>
      <c r="I2071" s="26" t="s">
        <v>747</v>
      </c>
    </row>
    <row r="2072" spans="1:9" x14ac:dyDescent="0.3">
      <c r="A2072" s="24">
        <v>45364</v>
      </c>
      <c r="B2072" t="s">
        <v>193</v>
      </c>
      <c r="C2072" t="s">
        <v>60</v>
      </c>
      <c r="D2072">
        <v>0.23</v>
      </c>
      <c r="E2072" t="s">
        <v>102</v>
      </c>
      <c r="F2072" t="s">
        <v>31</v>
      </c>
      <c r="G2072" t="s">
        <v>1592</v>
      </c>
      <c r="H2072" t="s">
        <v>15</v>
      </c>
      <c r="I2072" s="26" t="s">
        <v>747</v>
      </c>
    </row>
    <row r="2073" spans="1:9" x14ac:dyDescent="0.3">
      <c r="A2073" s="24">
        <v>45364</v>
      </c>
      <c r="B2073" t="s">
        <v>193</v>
      </c>
      <c r="C2073" t="s">
        <v>60</v>
      </c>
      <c r="D2073">
        <v>0.25</v>
      </c>
      <c r="E2073" t="s">
        <v>162</v>
      </c>
      <c r="F2073" t="s">
        <v>31</v>
      </c>
      <c r="G2073" t="s">
        <v>1593</v>
      </c>
      <c r="H2073" t="s">
        <v>15</v>
      </c>
      <c r="I2073" s="26" t="s">
        <v>747</v>
      </c>
    </row>
    <row r="2074" spans="1:9" x14ac:dyDescent="0.3">
      <c r="A2074" s="24">
        <v>45364</v>
      </c>
      <c r="B2074" t="s">
        <v>193</v>
      </c>
      <c r="C2074" t="s">
        <v>60</v>
      </c>
      <c r="D2074">
        <v>0.25</v>
      </c>
      <c r="E2074" t="s">
        <v>162</v>
      </c>
      <c r="F2074" t="s">
        <v>31</v>
      </c>
      <c r="G2074" t="s">
        <v>1594</v>
      </c>
      <c r="H2074" t="s">
        <v>15</v>
      </c>
      <c r="I2074" s="26" t="s">
        <v>747</v>
      </c>
    </row>
    <row r="2075" spans="1:9" x14ac:dyDescent="0.3">
      <c r="A2075" s="24">
        <v>45364</v>
      </c>
      <c r="B2075" t="s">
        <v>193</v>
      </c>
      <c r="C2075" t="s">
        <v>60</v>
      </c>
      <c r="D2075">
        <v>0.27</v>
      </c>
      <c r="E2075" t="s">
        <v>162</v>
      </c>
      <c r="F2075" t="s">
        <v>31</v>
      </c>
      <c r="G2075" t="s">
        <v>1595</v>
      </c>
      <c r="H2075" t="s">
        <v>15</v>
      </c>
      <c r="I2075" s="26" t="s">
        <v>747</v>
      </c>
    </row>
    <row r="2076" spans="1:9" x14ac:dyDescent="0.3">
      <c r="A2076" s="24">
        <v>45364</v>
      </c>
      <c r="B2076" t="s">
        <v>193</v>
      </c>
      <c r="C2076" t="s">
        <v>60</v>
      </c>
      <c r="D2076">
        <v>1.2</v>
      </c>
      <c r="E2076" t="s">
        <v>104</v>
      </c>
      <c r="F2076" t="s">
        <v>31</v>
      </c>
      <c r="G2076" t="s">
        <v>1596</v>
      </c>
      <c r="H2076" t="s">
        <v>15</v>
      </c>
      <c r="I2076" s="26" t="s">
        <v>747</v>
      </c>
    </row>
    <row r="2077" spans="1:9" x14ac:dyDescent="0.3">
      <c r="A2077" s="24">
        <v>45364</v>
      </c>
      <c r="B2077" t="s">
        <v>212</v>
      </c>
      <c r="C2077" t="s">
        <v>85</v>
      </c>
      <c r="D2077">
        <v>0.08</v>
      </c>
      <c r="E2077" t="s">
        <v>116</v>
      </c>
      <c r="F2077" t="s">
        <v>55</v>
      </c>
      <c r="G2077" t="s">
        <v>1597</v>
      </c>
      <c r="H2077" t="s">
        <v>15</v>
      </c>
      <c r="I2077" s="26" t="s">
        <v>747</v>
      </c>
    </row>
    <row r="2078" spans="1:9" x14ac:dyDescent="0.3">
      <c r="A2078" s="24">
        <v>45364</v>
      </c>
      <c r="B2078" t="s">
        <v>212</v>
      </c>
      <c r="C2078" t="s">
        <v>85</v>
      </c>
      <c r="D2078">
        <v>0.1</v>
      </c>
      <c r="E2078" t="s">
        <v>1216</v>
      </c>
      <c r="F2078" t="s">
        <v>55</v>
      </c>
      <c r="G2078" t="s">
        <v>1598</v>
      </c>
      <c r="H2078" t="s">
        <v>15</v>
      </c>
      <c r="I2078" s="26" t="s">
        <v>747</v>
      </c>
    </row>
    <row r="2079" spans="1:9" x14ac:dyDescent="0.3">
      <c r="A2079" s="24">
        <v>45364</v>
      </c>
      <c r="B2079" t="s">
        <v>212</v>
      </c>
      <c r="C2079" t="s">
        <v>85</v>
      </c>
      <c r="D2079">
        <v>0.18</v>
      </c>
      <c r="E2079" t="s">
        <v>666</v>
      </c>
      <c r="F2079" t="s">
        <v>55</v>
      </c>
      <c r="G2079" t="s">
        <v>32</v>
      </c>
      <c r="H2079" t="s">
        <v>15</v>
      </c>
      <c r="I2079" s="26" t="s">
        <v>747</v>
      </c>
    </row>
    <row r="2080" spans="1:9" x14ac:dyDescent="0.3">
      <c r="A2080" s="24">
        <v>45364</v>
      </c>
      <c r="B2080" t="s">
        <v>212</v>
      </c>
      <c r="C2080" t="s">
        <v>85</v>
      </c>
      <c r="D2080">
        <v>0.3</v>
      </c>
      <c r="E2080" t="s">
        <v>81</v>
      </c>
      <c r="F2080" t="s">
        <v>55</v>
      </c>
      <c r="G2080" t="s">
        <v>1599</v>
      </c>
      <c r="H2080" t="s">
        <v>15</v>
      </c>
      <c r="I2080" s="26" t="s">
        <v>747</v>
      </c>
    </row>
    <row r="2081" spans="1:9" x14ac:dyDescent="0.3">
      <c r="A2081" s="24">
        <v>45364</v>
      </c>
      <c r="B2081" t="s">
        <v>212</v>
      </c>
      <c r="C2081" t="s">
        <v>85</v>
      </c>
      <c r="D2081">
        <v>0.3</v>
      </c>
      <c r="E2081" t="s">
        <v>304</v>
      </c>
      <c r="F2081" t="s">
        <v>31</v>
      </c>
      <c r="G2081" t="s">
        <v>1600</v>
      </c>
      <c r="H2081" t="s">
        <v>15</v>
      </c>
      <c r="I2081" s="26" t="s">
        <v>747</v>
      </c>
    </row>
    <row r="2082" spans="1:9" x14ac:dyDescent="0.3">
      <c r="A2082" s="24">
        <v>45364</v>
      </c>
      <c r="B2082" t="s">
        <v>212</v>
      </c>
      <c r="C2082" t="s">
        <v>85</v>
      </c>
      <c r="D2082">
        <v>0.68</v>
      </c>
      <c r="E2082" t="s">
        <v>81</v>
      </c>
      <c r="F2082" t="s">
        <v>31</v>
      </c>
      <c r="G2082" t="s">
        <v>1601</v>
      </c>
      <c r="H2082" t="s">
        <v>15</v>
      </c>
      <c r="I2082" s="26" t="s">
        <v>747</v>
      </c>
    </row>
    <row r="2083" spans="1:9" x14ac:dyDescent="0.3">
      <c r="A2083" s="24">
        <v>45364</v>
      </c>
      <c r="B2083" t="s">
        <v>212</v>
      </c>
      <c r="C2083" t="s">
        <v>408</v>
      </c>
      <c r="D2083">
        <v>0.25</v>
      </c>
      <c r="E2083" t="s">
        <v>304</v>
      </c>
      <c r="F2083" t="s">
        <v>55</v>
      </c>
      <c r="G2083" t="s">
        <v>1602</v>
      </c>
      <c r="H2083" t="s">
        <v>15</v>
      </c>
      <c r="I2083" s="26" t="s">
        <v>747</v>
      </c>
    </row>
    <row r="2084" spans="1:9" x14ac:dyDescent="0.3">
      <c r="A2084" s="24">
        <v>45364</v>
      </c>
      <c r="B2084" t="s">
        <v>212</v>
      </c>
      <c r="C2084" t="s">
        <v>53</v>
      </c>
      <c r="D2084">
        <v>0.25</v>
      </c>
      <c r="E2084" t="s">
        <v>54</v>
      </c>
      <c r="F2084" t="s">
        <v>55</v>
      </c>
      <c r="G2084" t="s">
        <v>221</v>
      </c>
      <c r="H2084" t="s">
        <v>15</v>
      </c>
      <c r="I2084" s="26" t="s">
        <v>747</v>
      </c>
    </row>
    <row r="2085" spans="1:9" x14ac:dyDescent="0.3">
      <c r="A2085" s="24">
        <v>45364</v>
      </c>
      <c r="B2085" t="s">
        <v>212</v>
      </c>
      <c r="C2085" t="s">
        <v>53</v>
      </c>
      <c r="D2085">
        <v>0.25</v>
      </c>
      <c r="E2085" t="s">
        <v>54</v>
      </c>
      <c r="F2085" t="s">
        <v>55</v>
      </c>
      <c r="G2085" t="s">
        <v>978</v>
      </c>
      <c r="H2085" t="s">
        <v>15</v>
      </c>
      <c r="I2085" s="26" t="s">
        <v>747</v>
      </c>
    </row>
    <row r="2086" spans="1:9" x14ac:dyDescent="0.3">
      <c r="A2086" s="24">
        <v>45364</v>
      </c>
      <c r="B2086" t="s">
        <v>212</v>
      </c>
      <c r="C2086" t="s">
        <v>53</v>
      </c>
      <c r="D2086">
        <v>0.53</v>
      </c>
      <c r="E2086" t="s">
        <v>54</v>
      </c>
      <c r="F2086" t="s">
        <v>55</v>
      </c>
      <c r="G2086" t="s">
        <v>1603</v>
      </c>
      <c r="H2086" t="s">
        <v>15</v>
      </c>
      <c r="I2086" s="26" t="s">
        <v>747</v>
      </c>
    </row>
    <row r="2087" spans="1:9" x14ac:dyDescent="0.3">
      <c r="A2087" s="24">
        <v>45364</v>
      </c>
      <c r="B2087" t="s">
        <v>212</v>
      </c>
      <c r="C2087" t="s">
        <v>225</v>
      </c>
      <c r="D2087">
        <v>0.13</v>
      </c>
      <c r="E2087" t="s">
        <v>234</v>
      </c>
      <c r="F2087" t="s">
        <v>55</v>
      </c>
      <c r="G2087" t="s">
        <v>228</v>
      </c>
      <c r="H2087" t="s">
        <v>15</v>
      </c>
      <c r="I2087" s="26" t="s">
        <v>747</v>
      </c>
    </row>
    <row r="2088" spans="1:9" x14ac:dyDescent="0.3">
      <c r="A2088" s="24">
        <v>45364</v>
      </c>
      <c r="B2088" t="s">
        <v>212</v>
      </c>
      <c r="C2088" t="s">
        <v>225</v>
      </c>
      <c r="D2088">
        <v>0.18</v>
      </c>
      <c r="E2088" t="s">
        <v>233</v>
      </c>
      <c r="F2088" t="s">
        <v>31</v>
      </c>
      <c r="G2088" t="s">
        <v>228</v>
      </c>
      <c r="H2088" t="s">
        <v>15</v>
      </c>
      <c r="I2088" s="26" t="s">
        <v>747</v>
      </c>
    </row>
    <row r="2089" spans="1:9" x14ac:dyDescent="0.3">
      <c r="A2089" s="24">
        <v>45364</v>
      </c>
      <c r="B2089" t="s">
        <v>212</v>
      </c>
      <c r="C2089" t="s">
        <v>225</v>
      </c>
      <c r="D2089">
        <v>0.48</v>
      </c>
      <c r="E2089" t="s">
        <v>1216</v>
      </c>
      <c r="F2089" t="s">
        <v>55</v>
      </c>
      <c r="G2089" t="s">
        <v>1604</v>
      </c>
      <c r="H2089" t="s">
        <v>15</v>
      </c>
      <c r="I2089" s="26" t="s">
        <v>747</v>
      </c>
    </row>
    <row r="2090" spans="1:9" x14ac:dyDescent="0.3">
      <c r="A2090" s="24">
        <v>45364</v>
      </c>
      <c r="B2090" t="s">
        <v>212</v>
      </c>
      <c r="C2090" t="s">
        <v>225</v>
      </c>
      <c r="D2090">
        <v>0.53</v>
      </c>
      <c r="E2090" t="s">
        <v>1605</v>
      </c>
      <c r="F2090" t="s">
        <v>55</v>
      </c>
      <c r="G2090" t="s">
        <v>1606</v>
      </c>
      <c r="H2090" t="s">
        <v>15</v>
      </c>
      <c r="I2090" s="26" t="s">
        <v>747</v>
      </c>
    </row>
    <row r="2091" spans="1:9" x14ac:dyDescent="0.3">
      <c r="A2091" s="24">
        <v>45364</v>
      </c>
      <c r="B2091" t="s">
        <v>212</v>
      </c>
      <c r="C2091" t="s">
        <v>225</v>
      </c>
      <c r="D2091">
        <v>1.18</v>
      </c>
      <c r="E2091" t="s">
        <v>1605</v>
      </c>
      <c r="F2091" t="s">
        <v>31</v>
      </c>
      <c r="G2091" t="s">
        <v>494</v>
      </c>
      <c r="H2091" t="s">
        <v>15</v>
      </c>
      <c r="I2091" s="26" t="s">
        <v>747</v>
      </c>
    </row>
    <row r="2092" spans="1:9" x14ac:dyDescent="0.3">
      <c r="A2092" s="24">
        <v>45364</v>
      </c>
      <c r="B2092" t="s">
        <v>212</v>
      </c>
      <c r="C2092" t="s">
        <v>225</v>
      </c>
      <c r="D2092">
        <v>2.3199999999999998</v>
      </c>
      <c r="E2092" t="s">
        <v>81</v>
      </c>
      <c r="F2092" t="s">
        <v>31</v>
      </c>
      <c r="G2092" t="s">
        <v>494</v>
      </c>
      <c r="H2092" t="s">
        <v>15</v>
      </c>
      <c r="I2092" s="26" t="s">
        <v>747</v>
      </c>
    </row>
    <row r="2093" spans="1:9" x14ac:dyDescent="0.3">
      <c r="A2093" s="24">
        <v>45364</v>
      </c>
      <c r="B2093" t="s">
        <v>212</v>
      </c>
      <c r="C2093" t="s">
        <v>267</v>
      </c>
      <c r="D2093">
        <v>0.25</v>
      </c>
      <c r="E2093" t="s">
        <v>54</v>
      </c>
      <c r="F2093" t="s">
        <v>55</v>
      </c>
      <c r="H2093" t="s">
        <v>15</v>
      </c>
      <c r="I2093" s="26" t="s">
        <v>747</v>
      </c>
    </row>
    <row r="2094" spans="1:9" x14ac:dyDescent="0.3">
      <c r="A2094" s="24">
        <v>45364</v>
      </c>
      <c r="B2094" t="s">
        <v>498</v>
      </c>
      <c r="C2094" t="s">
        <v>123</v>
      </c>
      <c r="D2094">
        <v>4</v>
      </c>
      <c r="E2094" t="s">
        <v>54</v>
      </c>
      <c r="F2094" t="s">
        <v>55</v>
      </c>
      <c r="G2094" t="s">
        <v>1607</v>
      </c>
      <c r="H2094" t="s">
        <v>15</v>
      </c>
      <c r="I2094" s="26" t="s">
        <v>747</v>
      </c>
    </row>
    <row r="2095" spans="1:9" x14ac:dyDescent="0.3">
      <c r="A2095" s="24">
        <v>45364</v>
      </c>
      <c r="B2095" t="s">
        <v>498</v>
      </c>
      <c r="C2095" t="s">
        <v>173</v>
      </c>
      <c r="D2095">
        <v>4</v>
      </c>
      <c r="E2095" t="s">
        <v>49</v>
      </c>
      <c r="F2095" t="s">
        <v>31</v>
      </c>
      <c r="G2095" t="s">
        <v>1608</v>
      </c>
      <c r="H2095" t="s">
        <v>15</v>
      </c>
      <c r="I2095" s="26" t="s">
        <v>747</v>
      </c>
    </row>
    <row r="2096" spans="1:9" x14ac:dyDescent="0.3">
      <c r="A2096" s="24">
        <v>45364</v>
      </c>
      <c r="B2096" t="s">
        <v>240</v>
      </c>
      <c r="C2096" t="s">
        <v>29</v>
      </c>
      <c r="D2096">
        <v>1.57</v>
      </c>
      <c r="E2096" t="s">
        <v>242</v>
      </c>
      <c r="F2096" t="s">
        <v>31</v>
      </c>
      <c r="H2096" t="s">
        <v>15</v>
      </c>
      <c r="I2096" s="26" t="s">
        <v>747</v>
      </c>
    </row>
    <row r="2097" spans="1:9" x14ac:dyDescent="0.3">
      <c r="A2097" s="24">
        <v>45364</v>
      </c>
      <c r="B2097" t="s">
        <v>240</v>
      </c>
      <c r="C2097" t="s">
        <v>29</v>
      </c>
      <c r="D2097">
        <v>2</v>
      </c>
      <c r="E2097" t="s">
        <v>217</v>
      </c>
      <c r="F2097" t="s">
        <v>31</v>
      </c>
      <c r="H2097" t="s">
        <v>15</v>
      </c>
      <c r="I2097" s="26" t="s">
        <v>747</v>
      </c>
    </row>
    <row r="2098" spans="1:9" x14ac:dyDescent="0.3">
      <c r="A2098" s="24">
        <v>45364</v>
      </c>
      <c r="B2098" t="s">
        <v>240</v>
      </c>
      <c r="C2098" t="s">
        <v>29</v>
      </c>
      <c r="D2098">
        <v>3.27</v>
      </c>
      <c r="E2098" t="s">
        <v>81</v>
      </c>
      <c r="F2098" t="s">
        <v>31</v>
      </c>
      <c r="H2098" t="s">
        <v>15</v>
      </c>
      <c r="I2098" s="26" t="s">
        <v>747</v>
      </c>
    </row>
    <row r="2099" spans="1:9" x14ac:dyDescent="0.3">
      <c r="A2099" s="24">
        <v>45364</v>
      </c>
      <c r="B2099" t="s">
        <v>240</v>
      </c>
      <c r="C2099" t="s">
        <v>60</v>
      </c>
      <c r="D2099">
        <v>2.33</v>
      </c>
      <c r="E2099" t="s">
        <v>139</v>
      </c>
      <c r="F2099" t="s">
        <v>31</v>
      </c>
      <c r="H2099" t="s">
        <v>15</v>
      </c>
      <c r="I2099" s="26" t="s">
        <v>747</v>
      </c>
    </row>
    <row r="2100" spans="1:9" x14ac:dyDescent="0.3">
      <c r="A2100" s="24">
        <v>45364</v>
      </c>
      <c r="B2100" t="s">
        <v>249</v>
      </c>
      <c r="C2100" t="s">
        <v>250</v>
      </c>
      <c r="D2100">
        <v>1</v>
      </c>
      <c r="E2100" t="s">
        <v>81</v>
      </c>
      <c r="F2100" t="s">
        <v>55</v>
      </c>
      <c r="G2100" t="s">
        <v>1609</v>
      </c>
      <c r="H2100" t="s">
        <v>15</v>
      </c>
      <c r="I2100" s="26" t="s">
        <v>747</v>
      </c>
    </row>
    <row r="2101" spans="1:9" x14ac:dyDescent="0.3">
      <c r="A2101" s="24">
        <v>45364</v>
      </c>
      <c r="B2101" t="s">
        <v>249</v>
      </c>
      <c r="C2101" t="s">
        <v>252</v>
      </c>
      <c r="D2101">
        <v>2</v>
      </c>
      <c r="E2101" t="s">
        <v>54</v>
      </c>
      <c r="F2101" t="s">
        <v>55</v>
      </c>
      <c r="H2101" t="s">
        <v>15</v>
      </c>
      <c r="I2101" s="26" t="s">
        <v>747</v>
      </c>
    </row>
    <row r="2102" spans="1:9" x14ac:dyDescent="0.3">
      <c r="A2102" s="24">
        <v>45364</v>
      </c>
      <c r="B2102" t="s">
        <v>249</v>
      </c>
      <c r="C2102" t="s">
        <v>252</v>
      </c>
      <c r="D2102">
        <v>3.5</v>
      </c>
      <c r="E2102" t="s">
        <v>81</v>
      </c>
      <c r="F2102" t="s">
        <v>31</v>
      </c>
      <c r="H2102" t="s">
        <v>15</v>
      </c>
      <c r="I2102" s="26" t="s">
        <v>747</v>
      </c>
    </row>
    <row r="2103" spans="1:9" x14ac:dyDescent="0.3">
      <c r="A2103" s="24">
        <v>45364</v>
      </c>
      <c r="B2103" t="s">
        <v>249</v>
      </c>
      <c r="C2103" t="s">
        <v>53</v>
      </c>
      <c r="D2103">
        <v>0.5</v>
      </c>
      <c r="E2103" t="s">
        <v>54</v>
      </c>
      <c r="F2103" t="s">
        <v>55</v>
      </c>
      <c r="G2103" t="s">
        <v>110</v>
      </c>
      <c r="H2103" t="s">
        <v>15</v>
      </c>
      <c r="I2103" s="26" t="s">
        <v>747</v>
      </c>
    </row>
    <row r="2104" spans="1:9" x14ac:dyDescent="0.3">
      <c r="A2104" s="24">
        <v>45364</v>
      </c>
      <c r="B2104" t="s">
        <v>249</v>
      </c>
      <c r="C2104" t="s">
        <v>53</v>
      </c>
      <c r="D2104">
        <v>1</v>
      </c>
      <c r="E2104" t="s">
        <v>54</v>
      </c>
      <c r="F2104" t="s">
        <v>55</v>
      </c>
      <c r="G2104" t="s">
        <v>1610</v>
      </c>
      <c r="H2104" t="s">
        <v>15</v>
      </c>
      <c r="I2104" s="26" t="s">
        <v>747</v>
      </c>
    </row>
    <row r="2105" spans="1:9" x14ac:dyDescent="0.3">
      <c r="A2105" s="24">
        <v>45364</v>
      </c>
      <c r="B2105" t="s">
        <v>256</v>
      </c>
      <c r="C2105" t="s">
        <v>53</v>
      </c>
      <c r="D2105">
        <v>1.5</v>
      </c>
      <c r="E2105" t="s">
        <v>54</v>
      </c>
      <c r="F2105" t="s">
        <v>55</v>
      </c>
      <c r="G2105" t="s">
        <v>1611</v>
      </c>
      <c r="H2105" t="s">
        <v>15</v>
      </c>
      <c r="I2105" s="26" t="s">
        <v>747</v>
      </c>
    </row>
    <row r="2106" spans="1:9" x14ac:dyDescent="0.3">
      <c r="A2106" s="24">
        <v>45364</v>
      </c>
      <c r="B2106" t="s">
        <v>256</v>
      </c>
      <c r="C2106" t="s">
        <v>159</v>
      </c>
      <c r="D2106">
        <v>3.25</v>
      </c>
      <c r="E2106" t="s">
        <v>81</v>
      </c>
      <c r="F2106" t="s">
        <v>31</v>
      </c>
      <c r="G2106" t="s">
        <v>1612</v>
      </c>
      <c r="H2106" t="s">
        <v>15</v>
      </c>
      <c r="I2106" s="26" t="s">
        <v>747</v>
      </c>
    </row>
    <row r="2107" spans="1:9" x14ac:dyDescent="0.3">
      <c r="A2107" s="24">
        <v>45364</v>
      </c>
      <c r="B2107" t="s">
        <v>256</v>
      </c>
      <c r="C2107" t="s">
        <v>159</v>
      </c>
      <c r="D2107">
        <v>3.83</v>
      </c>
      <c r="E2107" t="s">
        <v>81</v>
      </c>
      <c r="F2107" t="s">
        <v>31</v>
      </c>
      <c r="G2107" t="s">
        <v>504</v>
      </c>
      <c r="H2107" t="s">
        <v>15</v>
      </c>
      <c r="I2107" s="26" t="s">
        <v>747</v>
      </c>
    </row>
    <row r="2108" spans="1:9" x14ac:dyDescent="0.3">
      <c r="A2108" s="24">
        <v>45364</v>
      </c>
      <c r="B2108" t="s">
        <v>262</v>
      </c>
      <c r="C2108" t="s">
        <v>29</v>
      </c>
      <c r="D2108">
        <v>2.2799999999999998</v>
      </c>
      <c r="E2108" t="s">
        <v>263</v>
      </c>
      <c r="F2108" t="s">
        <v>31</v>
      </c>
      <c r="G2108" t="s">
        <v>1613</v>
      </c>
      <c r="H2108" t="s">
        <v>15</v>
      </c>
      <c r="I2108" s="26" t="s">
        <v>747</v>
      </c>
    </row>
    <row r="2109" spans="1:9" x14ac:dyDescent="0.3">
      <c r="A2109" s="24">
        <v>45364</v>
      </c>
      <c r="B2109" t="s">
        <v>262</v>
      </c>
      <c r="C2109" t="s">
        <v>29</v>
      </c>
      <c r="D2109">
        <v>5.22</v>
      </c>
      <c r="E2109" t="s">
        <v>263</v>
      </c>
      <c r="F2109" t="s">
        <v>31</v>
      </c>
      <c r="G2109" t="s">
        <v>1614</v>
      </c>
      <c r="H2109" t="s">
        <v>15</v>
      </c>
      <c r="I2109" s="26" t="s">
        <v>747</v>
      </c>
    </row>
    <row r="2110" spans="1:9" x14ac:dyDescent="0.3">
      <c r="A2110" s="24">
        <v>45364</v>
      </c>
      <c r="B2110" t="s">
        <v>262</v>
      </c>
      <c r="C2110" t="s">
        <v>53</v>
      </c>
      <c r="D2110">
        <v>0.5</v>
      </c>
      <c r="E2110" t="s">
        <v>54</v>
      </c>
      <c r="F2110" t="s">
        <v>55</v>
      </c>
      <c r="G2110" t="s">
        <v>253</v>
      </c>
      <c r="H2110" t="s">
        <v>15</v>
      </c>
      <c r="I2110" s="26" t="s">
        <v>747</v>
      </c>
    </row>
    <row r="2111" spans="1:9" x14ac:dyDescent="0.3">
      <c r="A2111" s="24">
        <v>45364</v>
      </c>
      <c r="B2111" t="s">
        <v>266</v>
      </c>
      <c r="C2111" t="s">
        <v>267</v>
      </c>
      <c r="D2111">
        <v>9</v>
      </c>
      <c r="E2111" t="s">
        <v>54</v>
      </c>
      <c r="F2111" t="s">
        <v>55</v>
      </c>
      <c r="G2111" t="s">
        <v>1615</v>
      </c>
      <c r="H2111" t="s">
        <v>15</v>
      </c>
      <c r="I2111" s="26" t="s">
        <v>747</v>
      </c>
    </row>
    <row r="2112" spans="1:9" x14ac:dyDescent="0.3">
      <c r="A2112" s="24">
        <v>45364</v>
      </c>
      <c r="B2112" t="s">
        <v>269</v>
      </c>
      <c r="C2112" t="s">
        <v>442</v>
      </c>
      <c r="D2112">
        <v>8</v>
      </c>
      <c r="E2112" t="s">
        <v>54</v>
      </c>
      <c r="F2112" t="s">
        <v>55</v>
      </c>
      <c r="H2112" t="s">
        <v>15</v>
      </c>
      <c r="I2112" s="26" t="s">
        <v>747</v>
      </c>
    </row>
    <row r="2113" spans="1:9" x14ac:dyDescent="0.3">
      <c r="A2113" s="24">
        <v>45364</v>
      </c>
      <c r="B2113" t="s">
        <v>278</v>
      </c>
      <c r="C2113" t="s">
        <v>279</v>
      </c>
      <c r="D2113">
        <v>0.23</v>
      </c>
      <c r="E2113" t="s">
        <v>54</v>
      </c>
      <c r="F2113" t="s">
        <v>55</v>
      </c>
      <c r="G2113" t="s">
        <v>1616</v>
      </c>
      <c r="H2113" t="s">
        <v>15</v>
      </c>
      <c r="I2113" s="26" t="s">
        <v>747</v>
      </c>
    </row>
    <row r="2114" spans="1:9" x14ac:dyDescent="0.3">
      <c r="A2114" s="24">
        <v>45364</v>
      </c>
      <c r="B2114" t="s">
        <v>278</v>
      </c>
      <c r="C2114" t="s">
        <v>279</v>
      </c>
      <c r="D2114">
        <v>0.63</v>
      </c>
      <c r="E2114" t="s">
        <v>54</v>
      </c>
      <c r="F2114" t="s">
        <v>55</v>
      </c>
      <c r="G2114" t="s">
        <v>1617</v>
      </c>
      <c r="H2114" t="s">
        <v>15</v>
      </c>
      <c r="I2114" s="26" t="s">
        <v>747</v>
      </c>
    </row>
    <row r="2115" spans="1:9" x14ac:dyDescent="0.3">
      <c r="A2115" s="24">
        <v>45364</v>
      </c>
      <c r="B2115" t="s">
        <v>278</v>
      </c>
      <c r="C2115" t="s">
        <v>279</v>
      </c>
      <c r="D2115">
        <v>1.02</v>
      </c>
      <c r="E2115" t="s">
        <v>54</v>
      </c>
      <c r="F2115" t="s">
        <v>55</v>
      </c>
      <c r="G2115" t="s">
        <v>1618</v>
      </c>
      <c r="H2115" t="s">
        <v>15</v>
      </c>
      <c r="I2115" s="26" t="s">
        <v>747</v>
      </c>
    </row>
    <row r="2116" spans="1:9" x14ac:dyDescent="0.3">
      <c r="A2116" s="24">
        <v>45364</v>
      </c>
      <c r="B2116" t="s">
        <v>278</v>
      </c>
      <c r="C2116" t="s">
        <v>279</v>
      </c>
      <c r="D2116">
        <v>1.48</v>
      </c>
      <c r="E2116" t="s">
        <v>54</v>
      </c>
      <c r="F2116" t="s">
        <v>55</v>
      </c>
      <c r="G2116" t="s">
        <v>1619</v>
      </c>
      <c r="H2116" t="s">
        <v>15</v>
      </c>
      <c r="I2116" s="26" t="s">
        <v>747</v>
      </c>
    </row>
    <row r="2117" spans="1:9" x14ac:dyDescent="0.3">
      <c r="A2117" s="24">
        <v>45364</v>
      </c>
      <c r="B2117" t="s">
        <v>278</v>
      </c>
      <c r="C2117" t="s">
        <v>29</v>
      </c>
      <c r="D2117">
        <v>0.42</v>
      </c>
      <c r="E2117" t="s">
        <v>54</v>
      </c>
      <c r="F2117" t="s">
        <v>55</v>
      </c>
      <c r="G2117" t="s">
        <v>1620</v>
      </c>
      <c r="H2117" t="s">
        <v>15</v>
      </c>
      <c r="I2117" s="26" t="s">
        <v>747</v>
      </c>
    </row>
    <row r="2118" spans="1:9" x14ac:dyDescent="0.3">
      <c r="A2118" s="24">
        <v>45364</v>
      </c>
      <c r="B2118" t="s">
        <v>278</v>
      </c>
      <c r="C2118" t="s">
        <v>29</v>
      </c>
      <c r="D2118">
        <v>1.97</v>
      </c>
      <c r="E2118" t="s">
        <v>54</v>
      </c>
      <c r="F2118" t="s">
        <v>55</v>
      </c>
      <c r="G2118" t="s">
        <v>1621</v>
      </c>
      <c r="H2118" t="s">
        <v>15</v>
      </c>
      <c r="I2118" s="26" t="s">
        <v>747</v>
      </c>
    </row>
    <row r="2119" spans="1:9" x14ac:dyDescent="0.3">
      <c r="A2119" s="24">
        <v>45364</v>
      </c>
      <c r="B2119" t="s">
        <v>278</v>
      </c>
      <c r="C2119" t="s">
        <v>148</v>
      </c>
      <c r="D2119">
        <v>3.42</v>
      </c>
      <c r="E2119" t="s">
        <v>54</v>
      </c>
      <c r="F2119" t="s">
        <v>55</v>
      </c>
      <c r="G2119" t="s">
        <v>1622</v>
      </c>
      <c r="H2119" t="s">
        <v>15</v>
      </c>
      <c r="I2119" s="26" t="s">
        <v>747</v>
      </c>
    </row>
    <row r="2120" spans="1:9" x14ac:dyDescent="0.3">
      <c r="A2120" s="24">
        <v>45364</v>
      </c>
      <c r="B2120" t="s">
        <v>278</v>
      </c>
      <c r="C2120" t="s">
        <v>60</v>
      </c>
      <c r="D2120">
        <v>0.48</v>
      </c>
      <c r="E2120" t="s">
        <v>254</v>
      </c>
      <c r="F2120" t="s">
        <v>55</v>
      </c>
      <c r="G2120" t="s">
        <v>1623</v>
      </c>
      <c r="H2120" t="s">
        <v>15</v>
      </c>
      <c r="I2120" s="26" t="s">
        <v>747</v>
      </c>
    </row>
    <row r="2121" spans="1:9" x14ac:dyDescent="0.3">
      <c r="A2121" s="24">
        <v>45364</v>
      </c>
      <c r="B2121" t="s">
        <v>286</v>
      </c>
      <c r="C2121" t="s">
        <v>287</v>
      </c>
      <c r="D2121">
        <v>10</v>
      </c>
      <c r="E2121" t="s">
        <v>54</v>
      </c>
      <c r="F2121" t="s">
        <v>55</v>
      </c>
      <c r="G2121" t="s">
        <v>1624</v>
      </c>
      <c r="H2121" t="s">
        <v>15</v>
      </c>
      <c r="I2121" s="26" t="s">
        <v>747</v>
      </c>
    </row>
    <row r="2122" spans="1:9" x14ac:dyDescent="0.3">
      <c r="A2122" s="24">
        <v>45364</v>
      </c>
      <c r="B2122" t="s">
        <v>289</v>
      </c>
      <c r="C2122" t="s">
        <v>29</v>
      </c>
      <c r="D2122">
        <v>0.5</v>
      </c>
      <c r="E2122" t="s">
        <v>291</v>
      </c>
      <c r="F2122" t="s">
        <v>31</v>
      </c>
      <c r="G2122" t="s">
        <v>1625</v>
      </c>
      <c r="H2122" t="s">
        <v>15</v>
      </c>
      <c r="I2122" s="26" t="s">
        <v>747</v>
      </c>
    </row>
    <row r="2123" spans="1:9" x14ac:dyDescent="0.3">
      <c r="A2123" s="24">
        <v>45364</v>
      </c>
      <c r="B2123" t="s">
        <v>289</v>
      </c>
      <c r="C2123" t="s">
        <v>29</v>
      </c>
      <c r="D2123">
        <v>0.5</v>
      </c>
      <c r="E2123" t="s">
        <v>291</v>
      </c>
      <c r="F2123" t="s">
        <v>31</v>
      </c>
      <c r="G2123" t="s">
        <v>1626</v>
      </c>
      <c r="H2123" t="s">
        <v>15</v>
      </c>
      <c r="I2123" s="26" t="s">
        <v>747</v>
      </c>
    </row>
    <row r="2124" spans="1:9" x14ac:dyDescent="0.3">
      <c r="A2124" s="24">
        <v>45364</v>
      </c>
      <c r="B2124" t="s">
        <v>289</v>
      </c>
      <c r="C2124" t="s">
        <v>29</v>
      </c>
      <c r="D2124">
        <v>0.5</v>
      </c>
      <c r="E2124" t="s">
        <v>226</v>
      </c>
      <c r="F2124" t="s">
        <v>31</v>
      </c>
      <c r="H2124" t="s">
        <v>15</v>
      </c>
      <c r="I2124" s="26" t="s">
        <v>747</v>
      </c>
    </row>
    <row r="2125" spans="1:9" x14ac:dyDescent="0.3">
      <c r="A2125" s="24">
        <v>45364</v>
      </c>
      <c r="B2125" t="s">
        <v>289</v>
      </c>
      <c r="C2125" t="s">
        <v>29</v>
      </c>
      <c r="D2125">
        <v>0.5</v>
      </c>
      <c r="E2125" t="s">
        <v>290</v>
      </c>
      <c r="F2125" t="s">
        <v>31</v>
      </c>
      <c r="H2125" t="s">
        <v>15</v>
      </c>
      <c r="I2125" s="26" t="s">
        <v>747</v>
      </c>
    </row>
    <row r="2126" spans="1:9" x14ac:dyDescent="0.3">
      <c r="A2126" s="24">
        <v>45364</v>
      </c>
      <c r="B2126" t="s">
        <v>289</v>
      </c>
      <c r="C2126" t="s">
        <v>29</v>
      </c>
      <c r="D2126">
        <v>2</v>
      </c>
      <c r="E2126" t="s">
        <v>49</v>
      </c>
      <c r="F2126" t="s">
        <v>31</v>
      </c>
      <c r="H2126" t="s">
        <v>15</v>
      </c>
      <c r="I2126" s="26" t="s">
        <v>747</v>
      </c>
    </row>
    <row r="2127" spans="1:9" x14ac:dyDescent="0.3">
      <c r="A2127" s="24">
        <v>45364</v>
      </c>
      <c r="B2127" t="s">
        <v>289</v>
      </c>
      <c r="C2127" t="s">
        <v>60</v>
      </c>
      <c r="D2127">
        <v>0.5</v>
      </c>
      <c r="E2127" t="s">
        <v>848</v>
      </c>
      <c r="F2127" t="s">
        <v>31</v>
      </c>
      <c r="H2127" t="s">
        <v>15</v>
      </c>
      <c r="I2127" s="26" t="s">
        <v>747</v>
      </c>
    </row>
    <row r="2128" spans="1:9" x14ac:dyDescent="0.3">
      <c r="A2128" s="24">
        <v>45364</v>
      </c>
      <c r="B2128" t="s">
        <v>289</v>
      </c>
      <c r="C2128" t="s">
        <v>60</v>
      </c>
      <c r="D2128">
        <v>1</v>
      </c>
      <c r="E2128" t="s">
        <v>291</v>
      </c>
      <c r="F2128" t="s">
        <v>31</v>
      </c>
      <c r="G2128" t="s">
        <v>1627</v>
      </c>
      <c r="H2128" t="s">
        <v>15</v>
      </c>
      <c r="I2128" s="26" t="s">
        <v>747</v>
      </c>
    </row>
    <row r="2129" spans="1:9" x14ac:dyDescent="0.3">
      <c r="A2129" s="24">
        <v>45364</v>
      </c>
      <c r="B2129" t="s">
        <v>294</v>
      </c>
      <c r="C2129" t="s">
        <v>202</v>
      </c>
      <c r="D2129">
        <v>0.42</v>
      </c>
      <c r="E2129" t="s">
        <v>30</v>
      </c>
      <c r="F2129" t="s">
        <v>55</v>
      </c>
      <c r="G2129" t="s">
        <v>1628</v>
      </c>
      <c r="H2129" t="s">
        <v>15</v>
      </c>
      <c r="I2129" s="26" t="s">
        <v>747</v>
      </c>
    </row>
    <row r="2130" spans="1:9" x14ac:dyDescent="0.3">
      <c r="A2130" s="24">
        <v>45364</v>
      </c>
      <c r="B2130" t="s">
        <v>294</v>
      </c>
      <c r="C2130" t="s">
        <v>202</v>
      </c>
      <c r="D2130">
        <v>0.6</v>
      </c>
      <c r="E2130" t="s">
        <v>295</v>
      </c>
      <c r="F2130" t="s">
        <v>31</v>
      </c>
      <c r="G2130" t="s">
        <v>1629</v>
      </c>
      <c r="H2130" t="s">
        <v>15</v>
      </c>
      <c r="I2130" s="26" t="s">
        <v>747</v>
      </c>
    </row>
    <row r="2131" spans="1:9" x14ac:dyDescent="0.3">
      <c r="A2131" s="24">
        <v>45364</v>
      </c>
      <c r="B2131" t="s">
        <v>294</v>
      </c>
      <c r="C2131" t="s">
        <v>202</v>
      </c>
      <c r="D2131">
        <v>1.95</v>
      </c>
      <c r="E2131" t="s">
        <v>30</v>
      </c>
      <c r="F2131" t="s">
        <v>31</v>
      </c>
      <c r="G2131" t="e">
        <f>-Brokearge accruals review  call with Stuart on month end -Fathom report and Emails from Stuart</f>
        <v>#NAME?</v>
      </c>
      <c r="H2131" t="s">
        <v>15</v>
      </c>
      <c r="I2131" s="26" t="s">
        <v>747</v>
      </c>
    </row>
    <row r="2132" spans="1:9" x14ac:dyDescent="0.3">
      <c r="A2132" s="24">
        <v>45364</v>
      </c>
      <c r="B2132" t="s">
        <v>294</v>
      </c>
      <c r="C2132" t="s">
        <v>202</v>
      </c>
      <c r="D2132">
        <v>4.12</v>
      </c>
      <c r="E2132" t="s">
        <v>295</v>
      </c>
      <c r="F2132" t="s">
        <v>55</v>
      </c>
      <c r="G2132" t="s">
        <v>1629</v>
      </c>
      <c r="H2132" t="s">
        <v>15</v>
      </c>
      <c r="I2132" s="26" t="s">
        <v>747</v>
      </c>
    </row>
    <row r="2133" spans="1:9" x14ac:dyDescent="0.3">
      <c r="A2133" s="24">
        <v>45364</v>
      </c>
      <c r="B2133" t="s">
        <v>301</v>
      </c>
      <c r="C2133" t="s">
        <v>29</v>
      </c>
      <c r="D2133">
        <v>0.28000000000000003</v>
      </c>
      <c r="E2133" t="s">
        <v>156</v>
      </c>
      <c r="F2133" t="s">
        <v>31</v>
      </c>
      <c r="G2133" t="s">
        <v>303</v>
      </c>
      <c r="H2133" t="s">
        <v>15</v>
      </c>
      <c r="I2133" s="26" t="s">
        <v>747</v>
      </c>
    </row>
    <row r="2134" spans="1:9" x14ac:dyDescent="0.3">
      <c r="A2134" s="24">
        <v>45364</v>
      </c>
      <c r="B2134" t="s">
        <v>301</v>
      </c>
      <c r="C2134" t="s">
        <v>29</v>
      </c>
      <c r="D2134">
        <v>0.37</v>
      </c>
      <c r="E2134" t="s">
        <v>156</v>
      </c>
      <c r="F2134" t="s">
        <v>31</v>
      </c>
      <c r="G2134" t="s">
        <v>1630</v>
      </c>
      <c r="H2134" t="s">
        <v>15</v>
      </c>
      <c r="I2134" s="26" t="s">
        <v>747</v>
      </c>
    </row>
    <row r="2135" spans="1:9" x14ac:dyDescent="0.3">
      <c r="A2135" s="24">
        <v>45364</v>
      </c>
      <c r="B2135" t="s">
        <v>301</v>
      </c>
      <c r="C2135" t="s">
        <v>29</v>
      </c>
      <c r="D2135">
        <v>0.4</v>
      </c>
      <c r="E2135" t="s">
        <v>304</v>
      </c>
      <c r="F2135" t="s">
        <v>31</v>
      </c>
      <c r="G2135" t="s">
        <v>303</v>
      </c>
      <c r="H2135" t="s">
        <v>15</v>
      </c>
      <c r="I2135" s="26" t="s">
        <v>747</v>
      </c>
    </row>
    <row r="2136" spans="1:9" x14ac:dyDescent="0.3">
      <c r="A2136" s="24">
        <v>45364</v>
      </c>
      <c r="B2136" t="s">
        <v>301</v>
      </c>
      <c r="C2136" t="s">
        <v>29</v>
      </c>
      <c r="D2136">
        <v>0.4</v>
      </c>
      <c r="E2136" t="s">
        <v>156</v>
      </c>
      <c r="F2136" t="s">
        <v>31</v>
      </c>
      <c r="G2136" t="s">
        <v>489</v>
      </c>
      <c r="H2136" t="s">
        <v>15</v>
      </c>
      <c r="I2136" s="26" t="s">
        <v>747</v>
      </c>
    </row>
    <row r="2137" spans="1:9" x14ac:dyDescent="0.3">
      <c r="A2137" s="24">
        <v>45364</v>
      </c>
      <c r="B2137" t="s">
        <v>301</v>
      </c>
      <c r="C2137" t="s">
        <v>29</v>
      </c>
      <c r="D2137">
        <v>0.48</v>
      </c>
      <c r="E2137" t="s">
        <v>304</v>
      </c>
      <c r="F2137" t="s">
        <v>31</v>
      </c>
      <c r="G2137" t="s">
        <v>305</v>
      </c>
      <c r="H2137" t="s">
        <v>15</v>
      </c>
      <c r="I2137" s="26" t="s">
        <v>747</v>
      </c>
    </row>
    <row r="2138" spans="1:9" x14ac:dyDescent="0.3">
      <c r="A2138" s="24">
        <v>45364</v>
      </c>
      <c r="B2138" t="s">
        <v>301</v>
      </c>
      <c r="C2138" t="s">
        <v>29</v>
      </c>
      <c r="D2138">
        <v>0.5</v>
      </c>
      <c r="E2138" t="s">
        <v>156</v>
      </c>
      <c r="F2138" t="s">
        <v>31</v>
      </c>
      <c r="G2138" t="s">
        <v>1631</v>
      </c>
      <c r="H2138" t="s">
        <v>15</v>
      </c>
      <c r="I2138" s="26" t="s">
        <v>747</v>
      </c>
    </row>
    <row r="2139" spans="1:9" x14ac:dyDescent="0.3">
      <c r="A2139" s="24">
        <v>45364</v>
      </c>
      <c r="B2139" t="s">
        <v>301</v>
      </c>
      <c r="C2139" t="s">
        <v>29</v>
      </c>
      <c r="D2139">
        <v>0.68</v>
      </c>
      <c r="E2139" t="s">
        <v>156</v>
      </c>
      <c r="F2139" t="s">
        <v>31</v>
      </c>
      <c r="G2139" t="s">
        <v>1632</v>
      </c>
      <c r="H2139" t="s">
        <v>15</v>
      </c>
      <c r="I2139" s="26" t="s">
        <v>747</v>
      </c>
    </row>
    <row r="2140" spans="1:9" x14ac:dyDescent="0.3">
      <c r="A2140" s="24">
        <v>45364</v>
      </c>
      <c r="B2140" t="s">
        <v>301</v>
      </c>
      <c r="C2140" t="s">
        <v>29</v>
      </c>
      <c r="D2140">
        <v>0.93</v>
      </c>
      <c r="E2140" t="s">
        <v>156</v>
      </c>
      <c r="F2140" t="s">
        <v>31</v>
      </c>
      <c r="G2140" t="s">
        <v>1633</v>
      </c>
      <c r="H2140" t="s">
        <v>15</v>
      </c>
      <c r="I2140" s="26" t="s">
        <v>747</v>
      </c>
    </row>
    <row r="2141" spans="1:9" x14ac:dyDescent="0.3">
      <c r="A2141" s="24">
        <v>45364</v>
      </c>
      <c r="B2141" t="s">
        <v>301</v>
      </c>
      <c r="C2141" t="s">
        <v>29</v>
      </c>
      <c r="D2141">
        <v>1.5</v>
      </c>
      <c r="E2141" t="s">
        <v>304</v>
      </c>
      <c r="F2141" t="s">
        <v>31</v>
      </c>
      <c r="G2141" t="s">
        <v>852</v>
      </c>
      <c r="H2141" t="s">
        <v>15</v>
      </c>
      <c r="I2141" s="26" t="s">
        <v>747</v>
      </c>
    </row>
    <row r="2142" spans="1:9" x14ac:dyDescent="0.3">
      <c r="A2142" s="24">
        <v>45364</v>
      </c>
      <c r="B2142" t="s">
        <v>301</v>
      </c>
      <c r="C2142" t="s">
        <v>85</v>
      </c>
      <c r="D2142">
        <v>0.48</v>
      </c>
      <c r="E2142" t="s">
        <v>156</v>
      </c>
      <c r="F2142" t="s">
        <v>31</v>
      </c>
      <c r="G2142" t="s">
        <v>1634</v>
      </c>
      <c r="H2142" t="s">
        <v>15</v>
      </c>
      <c r="I2142" s="26" t="s">
        <v>747</v>
      </c>
    </row>
    <row r="2143" spans="1:9" x14ac:dyDescent="0.3">
      <c r="A2143" s="24">
        <v>45364</v>
      </c>
      <c r="B2143" t="s">
        <v>301</v>
      </c>
      <c r="C2143" t="s">
        <v>58</v>
      </c>
      <c r="D2143">
        <v>0.88</v>
      </c>
      <c r="E2143" t="s">
        <v>54</v>
      </c>
      <c r="F2143" t="s">
        <v>55</v>
      </c>
      <c r="G2143" t="s">
        <v>1635</v>
      </c>
      <c r="H2143" t="s">
        <v>15</v>
      </c>
      <c r="I2143" s="26" t="s">
        <v>747</v>
      </c>
    </row>
    <row r="2144" spans="1:9" x14ac:dyDescent="0.3">
      <c r="A2144" s="24">
        <v>45364</v>
      </c>
      <c r="B2144" t="s">
        <v>301</v>
      </c>
      <c r="C2144" t="s">
        <v>58</v>
      </c>
      <c r="D2144">
        <v>1.1000000000000001</v>
      </c>
      <c r="E2144" t="s">
        <v>54</v>
      </c>
      <c r="F2144" t="s">
        <v>55</v>
      </c>
      <c r="G2144" t="s">
        <v>1636</v>
      </c>
      <c r="H2144" t="s">
        <v>15</v>
      </c>
      <c r="I2144" s="26" t="s">
        <v>747</v>
      </c>
    </row>
    <row r="2145" spans="1:9" x14ac:dyDescent="0.3">
      <c r="A2145" s="24">
        <v>45364</v>
      </c>
      <c r="B2145" t="s">
        <v>313</v>
      </c>
      <c r="C2145" t="s">
        <v>29</v>
      </c>
      <c r="D2145">
        <v>6.25</v>
      </c>
      <c r="E2145" t="s">
        <v>170</v>
      </c>
      <c r="F2145" t="s">
        <v>31</v>
      </c>
      <c r="H2145" t="s">
        <v>15</v>
      </c>
      <c r="I2145" s="26" t="s">
        <v>747</v>
      </c>
    </row>
    <row r="2146" spans="1:9" x14ac:dyDescent="0.3">
      <c r="A2146" s="24">
        <v>45364</v>
      </c>
      <c r="B2146" t="s">
        <v>313</v>
      </c>
      <c r="C2146" t="s">
        <v>85</v>
      </c>
      <c r="D2146">
        <v>1.47</v>
      </c>
      <c r="E2146" t="s">
        <v>170</v>
      </c>
      <c r="F2146" t="s">
        <v>31</v>
      </c>
      <c r="G2146" t="s">
        <v>1637</v>
      </c>
      <c r="H2146" t="s">
        <v>15</v>
      </c>
      <c r="I2146" s="26" t="s">
        <v>747</v>
      </c>
    </row>
    <row r="2147" spans="1:9" x14ac:dyDescent="0.3">
      <c r="A2147" s="24">
        <v>45364</v>
      </c>
      <c r="B2147" t="s">
        <v>313</v>
      </c>
      <c r="C2147" t="s">
        <v>53</v>
      </c>
      <c r="D2147">
        <v>0.28000000000000003</v>
      </c>
      <c r="E2147" t="s">
        <v>54</v>
      </c>
      <c r="F2147" t="s">
        <v>55</v>
      </c>
      <c r="G2147" t="s">
        <v>316</v>
      </c>
      <c r="H2147" t="s">
        <v>15</v>
      </c>
      <c r="I2147" s="26" t="s">
        <v>747</v>
      </c>
    </row>
    <row r="2148" spans="1:9" x14ac:dyDescent="0.3">
      <c r="A2148" s="24">
        <v>45364</v>
      </c>
      <c r="B2148" t="s">
        <v>313</v>
      </c>
      <c r="C2148" t="s">
        <v>60</v>
      </c>
      <c r="D2148">
        <v>0.38</v>
      </c>
      <c r="E2148" t="s">
        <v>35</v>
      </c>
      <c r="F2148" t="s">
        <v>31</v>
      </c>
      <c r="H2148" t="s">
        <v>15</v>
      </c>
      <c r="I2148" s="26" t="s">
        <v>747</v>
      </c>
    </row>
    <row r="2149" spans="1:9" x14ac:dyDescent="0.3">
      <c r="A2149" s="24">
        <v>45364</v>
      </c>
      <c r="B2149" t="s">
        <v>318</v>
      </c>
      <c r="C2149" t="s">
        <v>53</v>
      </c>
      <c r="D2149">
        <v>4.32</v>
      </c>
      <c r="E2149" t="s">
        <v>54</v>
      </c>
      <c r="F2149" t="s">
        <v>55</v>
      </c>
      <c r="G2149" t="s">
        <v>1638</v>
      </c>
      <c r="H2149" t="s">
        <v>15</v>
      </c>
      <c r="I2149" s="26" t="s">
        <v>747</v>
      </c>
    </row>
    <row r="2150" spans="1:9" x14ac:dyDescent="0.3">
      <c r="A2150" s="24">
        <v>45364</v>
      </c>
      <c r="B2150" t="s">
        <v>318</v>
      </c>
      <c r="C2150" t="s">
        <v>53</v>
      </c>
      <c r="D2150">
        <v>4.3499999999999996</v>
      </c>
      <c r="E2150" t="s">
        <v>54</v>
      </c>
      <c r="F2150" t="s">
        <v>55</v>
      </c>
      <c r="G2150" t="s">
        <v>1639</v>
      </c>
      <c r="H2150" t="s">
        <v>15</v>
      </c>
      <c r="I2150" s="26" t="s">
        <v>747</v>
      </c>
    </row>
    <row r="2151" spans="1:9" x14ac:dyDescent="0.3">
      <c r="A2151" s="24">
        <v>45364</v>
      </c>
      <c r="B2151" t="s">
        <v>324</v>
      </c>
      <c r="C2151" t="s">
        <v>29</v>
      </c>
      <c r="D2151">
        <v>10.85</v>
      </c>
      <c r="E2151" t="s">
        <v>81</v>
      </c>
      <c r="F2151" t="s">
        <v>31</v>
      </c>
      <c r="H2151" t="s">
        <v>15</v>
      </c>
      <c r="I2151" s="26" t="s">
        <v>747</v>
      </c>
    </row>
    <row r="2152" spans="1:9" x14ac:dyDescent="0.3">
      <c r="A2152" s="24">
        <v>45364</v>
      </c>
      <c r="B2152" t="s">
        <v>328</v>
      </c>
      <c r="C2152" t="s">
        <v>29</v>
      </c>
      <c r="D2152">
        <v>0.45</v>
      </c>
      <c r="E2152" t="s">
        <v>217</v>
      </c>
      <c r="F2152" t="s">
        <v>31</v>
      </c>
      <c r="G2152" t="s">
        <v>1640</v>
      </c>
      <c r="H2152" t="s">
        <v>15</v>
      </c>
      <c r="I2152" s="26" t="s">
        <v>747</v>
      </c>
    </row>
    <row r="2153" spans="1:9" x14ac:dyDescent="0.3">
      <c r="A2153" s="24">
        <v>45364</v>
      </c>
      <c r="B2153" t="s">
        <v>328</v>
      </c>
      <c r="C2153" t="s">
        <v>29</v>
      </c>
      <c r="D2153">
        <v>0.67</v>
      </c>
      <c r="E2153" t="s">
        <v>423</v>
      </c>
      <c r="F2153" t="s">
        <v>31</v>
      </c>
      <c r="G2153" t="s">
        <v>1641</v>
      </c>
      <c r="H2153" t="s">
        <v>15</v>
      </c>
      <c r="I2153" s="26" t="s">
        <v>747</v>
      </c>
    </row>
    <row r="2154" spans="1:9" x14ac:dyDescent="0.3">
      <c r="A2154" s="24">
        <v>45364</v>
      </c>
      <c r="B2154" t="s">
        <v>328</v>
      </c>
      <c r="C2154" t="s">
        <v>29</v>
      </c>
      <c r="D2154">
        <v>1</v>
      </c>
      <c r="E2154" t="s">
        <v>135</v>
      </c>
      <c r="F2154" t="s">
        <v>31</v>
      </c>
      <c r="G2154" t="s">
        <v>1642</v>
      </c>
      <c r="H2154" t="s">
        <v>15</v>
      </c>
      <c r="I2154" s="26" t="s">
        <v>747</v>
      </c>
    </row>
    <row r="2155" spans="1:9" x14ac:dyDescent="0.3">
      <c r="A2155" s="24">
        <v>45364</v>
      </c>
      <c r="B2155" t="s">
        <v>328</v>
      </c>
      <c r="C2155" t="s">
        <v>29</v>
      </c>
      <c r="D2155">
        <v>1.32</v>
      </c>
      <c r="E2155" t="s">
        <v>135</v>
      </c>
      <c r="F2155" t="s">
        <v>31</v>
      </c>
      <c r="G2155" t="s">
        <v>1643</v>
      </c>
      <c r="H2155" t="s">
        <v>15</v>
      </c>
      <c r="I2155" s="26" t="s">
        <v>747</v>
      </c>
    </row>
    <row r="2156" spans="1:9" x14ac:dyDescent="0.3">
      <c r="A2156" s="24">
        <v>45364</v>
      </c>
      <c r="B2156" t="s">
        <v>328</v>
      </c>
      <c r="C2156" t="s">
        <v>53</v>
      </c>
      <c r="D2156">
        <v>0.45</v>
      </c>
      <c r="E2156" t="s">
        <v>54</v>
      </c>
      <c r="F2156" t="s">
        <v>55</v>
      </c>
      <c r="G2156" t="s">
        <v>1644</v>
      </c>
      <c r="H2156" t="s">
        <v>15</v>
      </c>
      <c r="I2156" s="26" t="s">
        <v>747</v>
      </c>
    </row>
    <row r="2157" spans="1:9" x14ac:dyDescent="0.3">
      <c r="A2157" s="24">
        <v>45364</v>
      </c>
      <c r="B2157" t="s">
        <v>328</v>
      </c>
      <c r="C2157" t="s">
        <v>53</v>
      </c>
      <c r="D2157">
        <v>0.5</v>
      </c>
      <c r="E2157" t="s">
        <v>54</v>
      </c>
      <c r="F2157" t="s">
        <v>55</v>
      </c>
      <c r="G2157" t="s">
        <v>253</v>
      </c>
      <c r="H2157" t="s">
        <v>15</v>
      </c>
      <c r="I2157" s="26" t="s">
        <v>747</v>
      </c>
    </row>
    <row r="2158" spans="1:9" x14ac:dyDescent="0.3">
      <c r="A2158" s="24">
        <v>45364</v>
      </c>
      <c r="B2158" t="s">
        <v>328</v>
      </c>
      <c r="C2158" t="s">
        <v>53</v>
      </c>
      <c r="D2158">
        <v>0.57999999999999996</v>
      </c>
      <c r="E2158" t="s">
        <v>54</v>
      </c>
      <c r="F2158" t="s">
        <v>55</v>
      </c>
      <c r="G2158" t="s">
        <v>1645</v>
      </c>
      <c r="H2158" t="s">
        <v>15</v>
      </c>
      <c r="I2158" s="26" t="s">
        <v>747</v>
      </c>
    </row>
    <row r="2159" spans="1:9" x14ac:dyDescent="0.3">
      <c r="A2159" s="24">
        <v>45364</v>
      </c>
      <c r="B2159" t="s">
        <v>328</v>
      </c>
      <c r="C2159" t="s">
        <v>53</v>
      </c>
      <c r="D2159">
        <v>0.82</v>
      </c>
      <c r="E2159" t="s">
        <v>54</v>
      </c>
      <c r="F2159" t="s">
        <v>55</v>
      </c>
      <c r="G2159" t="s">
        <v>1646</v>
      </c>
      <c r="H2159" t="s">
        <v>15</v>
      </c>
      <c r="I2159" s="26" t="s">
        <v>747</v>
      </c>
    </row>
    <row r="2160" spans="1:9" x14ac:dyDescent="0.3">
      <c r="A2160" s="24">
        <v>45364</v>
      </c>
      <c r="B2160" t="s">
        <v>328</v>
      </c>
      <c r="C2160" t="s">
        <v>60</v>
      </c>
      <c r="D2160">
        <v>0.25</v>
      </c>
      <c r="E2160" t="s">
        <v>81</v>
      </c>
      <c r="F2160" t="s">
        <v>31</v>
      </c>
      <c r="G2160" t="s">
        <v>1647</v>
      </c>
      <c r="H2160" t="s">
        <v>15</v>
      </c>
      <c r="I2160" s="26" t="s">
        <v>747</v>
      </c>
    </row>
    <row r="2161" spans="1:9" x14ac:dyDescent="0.3">
      <c r="A2161" s="24">
        <v>45364</v>
      </c>
      <c r="B2161" t="s">
        <v>328</v>
      </c>
      <c r="C2161" t="s">
        <v>60</v>
      </c>
      <c r="D2161">
        <v>0.28000000000000003</v>
      </c>
      <c r="E2161" t="s">
        <v>139</v>
      </c>
      <c r="F2161" t="s">
        <v>31</v>
      </c>
      <c r="G2161" t="s">
        <v>1648</v>
      </c>
      <c r="H2161" t="s">
        <v>15</v>
      </c>
      <c r="I2161" s="26" t="s">
        <v>747</v>
      </c>
    </row>
    <row r="2162" spans="1:9" x14ac:dyDescent="0.3">
      <c r="A2162" s="24">
        <v>45364</v>
      </c>
      <c r="B2162" t="s">
        <v>328</v>
      </c>
      <c r="C2162" t="s">
        <v>60</v>
      </c>
      <c r="D2162">
        <v>0.3</v>
      </c>
      <c r="E2162" t="s">
        <v>81</v>
      </c>
      <c r="F2162" t="s">
        <v>31</v>
      </c>
      <c r="G2162" t="s">
        <v>1649</v>
      </c>
      <c r="H2162" t="s">
        <v>15</v>
      </c>
      <c r="I2162" s="26" t="s">
        <v>747</v>
      </c>
    </row>
    <row r="2163" spans="1:9" x14ac:dyDescent="0.3">
      <c r="A2163" s="24">
        <v>45364</v>
      </c>
      <c r="B2163" t="s">
        <v>328</v>
      </c>
      <c r="C2163" t="s">
        <v>60</v>
      </c>
      <c r="D2163">
        <v>0.43</v>
      </c>
      <c r="E2163" t="s">
        <v>81</v>
      </c>
      <c r="F2163" t="s">
        <v>31</v>
      </c>
      <c r="G2163" t="s">
        <v>1650</v>
      </c>
      <c r="H2163" t="s">
        <v>15</v>
      </c>
      <c r="I2163" s="26" t="s">
        <v>747</v>
      </c>
    </row>
    <row r="2164" spans="1:9" x14ac:dyDescent="0.3">
      <c r="A2164" s="24">
        <v>45364</v>
      </c>
      <c r="B2164" t="s">
        <v>328</v>
      </c>
      <c r="C2164" t="s">
        <v>60</v>
      </c>
      <c r="D2164">
        <v>0.95</v>
      </c>
      <c r="E2164" t="s">
        <v>81</v>
      </c>
      <c r="F2164" t="s">
        <v>31</v>
      </c>
      <c r="G2164" t="s">
        <v>1651</v>
      </c>
      <c r="H2164" t="s">
        <v>15</v>
      </c>
      <c r="I2164" s="26" t="s">
        <v>747</v>
      </c>
    </row>
    <row r="2165" spans="1:9" x14ac:dyDescent="0.3">
      <c r="A2165" s="24">
        <v>45364</v>
      </c>
      <c r="B2165" t="s">
        <v>331</v>
      </c>
      <c r="C2165" t="s">
        <v>29</v>
      </c>
      <c r="D2165">
        <v>0.13</v>
      </c>
      <c r="E2165" t="s">
        <v>182</v>
      </c>
      <c r="F2165" t="s">
        <v>31</v>
      </c>
      <c r="G2165" t="s">
        <v>870</v>
      </c>
      <c r="H2165" t="s">
        <v>15</v>
      </c>
      <c r="I2165" s="26" t="s">
        <v>747</v>
      </c>
    </row>
    <row r="2166" spans="1:9" x14ac:dyDescent="0.3">
      <c r="A2166" s="24">
        <v>45364</v>
      </c>
      <c r="B2166" t="s">
        <v>331</v>
      </c>
      <c r="C2166" t="s">
        <v>29</v>
      </c>
      <c r="D2166">
        <v>0.97</v>
      </c>
      <c r="E2166" t="s">
        <v>176</v>
      </c>
      <c r="F2166" t="s">
        <v>31</v>
      </c>
      <c r="G2166" t="s">
        <v>1652</v>
      </c>
      <c r="H2166" t="s">
        <v>15</v>
      </c>
      <c r="I2166" s="26" t="s">
        <v>747</v>
      </c>
    </row>
    <row r="2167" spans="1:9" x14ac:dyDescent="0.3">
      <c r="A2167" s="24">
        <v>45364</v>
      </c>
      <c r="B2167" t="s">
        <v>331</v>
      </c>
      <c r="C2167" t="s">
        <v>53</v>
      </c>
      <c r="D2167">
        <v>0.5</v>
      </c>
      <c r="E2167" t="s">
        <v>54</v>
      </c>
      <c r="F2167" t="s">
        <v>55</v>
      </c>
      <c r="G2167" t="s">
        <v>332</v>
      </c>
      <c r="H2167" t="s">
        <v>15</v>
      </c>
      <c r="I2167" s="26" t="s">
        <v>747</v>
      </c>
    </row>
    <row r="2168" spans="1:9" x14ac:dyDescent="0.3">
      <c r="A2168" s="24">
        <v>45364</v>
      </c>
      <c r="B2168" t="s">
        <v>331</v>
      </c>
      <c r="C2168" t="s">
        <v>58</v>
      </c>
      <c r="D2168">
        <v>0.35</v>
      </c>
      <c r="E2168" t="s">
        <v>54</v>
      </c>
      <c r="F2168" t="s">
        <v>55</v>
      </c>
      <c r="G2168" t="s">
        <v>1653</v>
      </c>
      <c r="H2168" t="s">
        <v>15</v>
      </c>
      <c r="I2168" s="26" t="s">
        <v>747</v>
      </c>
    </row>
    <row r="2169" spans="1:9" x14ac:dyDescent="0.3">
      <c r="A2169" s="24">
        <v>45364</v>
      </c>
      <c r="B2169" t="s">
        <v>331</v>
      </c>
      <c r="C2169" t="s">
        <v>60</v>
      </c>
      <c r="D2169">
        <v>0.08</v>
      </c>
      <c r="E2169" t="s">
        <v>230</v>
      </c>
      <c r="F2169" t="s">
        <v>31</v>
      </c>
      <c r="H2169" t="s">
        <v>15</v>
      </c>
      <c r="I2169" s="26" t="s">
        <v>747</v>
      </c>
    </row>
    <row r="2170" spans="1:9" x14ac:dyDescent="0.3">
      <c r="A2170" s="24">
        <v>45364</v>
      </c>
      <c r="B2170" t="s">
        <v>331</v>
      </c>
      <c r="C2170" t="s">
        <v>60</v>
      </c>
      <c r="D2170">
        <v>0.25</v>
      </c>
      <c r="E2170" t="s">
        <v>102</v>
      </c>
      <c r="F2170" t="s">
        <v>31</v>
      </c>
      <c r="H2170" t="s">
        <v>15</v>
      </c>
      <c r="I2170" s="26" t="s">
        <v>747</v>
      </c>
    </row>
    <row r="2171" spans="1:9" x14ac:dyDescent="0.3">
      <c r="A2171" s="24">
        <v>45364</v>
      </c>
      <c r="B2171" t="s">
        <v>331</v>
      </c>
      <c r="C2171" t="s">
        <v>60</v>
      </c>
      <c r="D2171">
        <v>0.25</v>
      </c>
      <c r="E2171" t="s">
        <v>104</v>
      </c>
      <c r="F2171" t="s">
        <v>31</v>
      </c>
      <c r="H2171" t="s">
        <v>15</v>
      </c>
      <c r="I2171" s="26" t="s">
        <v>747</v>
      </c>
    </row>
    <row r="2172" spans="1:9" x14ac:dyDescent="0.3">
      <c r="A2172" s="24">
        <v>45364</v>
      </c>
      <c r="B2172" t="s">
        <v>331</v>
      </c>
      <c r="C2172" t="s">
        <v>60</v>
      </c>
      <c r="D2172">
        <v>0.32</v>
      </c>
      <c r="E2172" t="s">
        <v>229</v>
      </c>
      <c r="F2172" t="s">
        <v>31</v>
      </c>
      <c r="G2172" t="s">
        <v>1654</v>
      </c>
      <c r="H2172" t="s">
        <v>15</v>
      </c>
      <c r="I2172" s="26" t="s">
        <v>747</v>
      </c>
    </row>
    <row r="2173" spans="1:9" x14ac:dyDescent="0.3">
      <c r="A2173" s="24">
        <v>45364</v>
      </c>
      <c r="B2173" t="s">
        <v>331</v>
      </c>
      <c r="C2173" t="s">
        <v>60</v>
      </c>
      <c r="D2173">
        <v>1.1000000000000001</v>
      </c>
      <c r="E2173" t="s">
        <v>334</v>
      </c>
      <c r="F2173" t="s">
        <v>31</v>
      </c>
      <c r="H2173" t="s">
        <v>15</v>
      </c>
      <c r="I2173" s="26" t="s">
        <v>747</v>
      </c>
    </row>
    <row r="2174" spans="1:9" x14ac:dyDescent="0.3">
      <c r="A2174" s="24">
        <v>45364</v>
      </c>
      <c r="B2174" t="s">
        <v>331</v>
      </c>
      <c r="C2174" t="s">
        <v>60</v>
      </c>
      <c r="D2174">
        <v>1.75</v>
      </c>
      <c r="E2174" t="s">
        <v>334</v>
      </c>
      <c r="F2174" t="s">
        <v>31</v>
      </c>
      <c r="G2174" t="s">
        <v>1655</v>
      </c>
      <c r="H2174" t="s">
        <v>15</v>
      </c>
      <c r="I2174" s="26" t="s">
        <v>747</v>
      </c>
    </row>
    <row r="2175" spans="1:9" x14ac:dyDescent="0.3">
      <c r="A2175" s="24">
        <v>45364</v>
      </c>
      <c r="B2175" t="s">
        <v>331</v>
      </c>
      <c r="C2175" t="s">
        <v>60</v>
      </c>
      <c r="D2175">
        <v>2.88</v>
      </c>
      <c r="E2175" t="s">
        <v>334</v>
      </c>
      <c r="F2175" t="s">
        <v>31</v>
      </c>
      <c r="G2175" t="s">
        <v>1656</v>
      </c>
      <c r="H2175" t="s">
        <v>15</v>
      </c>
      <c r="I2175" s="26" t="s">
        <v>747</v>
      </c>
    </row>
    <row r="2176" spans="1:9" x14ac:dyDescent="0.3">
      <c r="A2176" s="24">
        <v>45364</v>
      </c>
      <c r="B2176" t="s">
        <v>331</v>
      </c>
      <c r="C2176" t="s">
        <v>877</v>
      </c>
      <c r="D2176">
        <v>0.83</v>
      </c>
      <c r="E2176" t="s">
        <v>182</v>
      </c>
      <c r="F2176" t="s">
        <v>31</v>
      </c>
      <c r="G2176" t="s">
        <v>1657</v>
      </c>
      <c r="H2176" t="s">
        <v>15</v>
      </c>
      <c r="I2176" s="26" t="s">
        <v>747</v>
      </c>
    </row>
    <row r="2177" spans="1:9" x14ac:dyDescent="0.3">
      <c r="A2177" s="24">
        <v>45364</v>
      </c>
      <c r="B2177" t="s">
        <v>340</v>
      </c>
      <c r="C2177" t="s">
        <v>202</v>
      </c>
      <c r="D2177">
        <v>0.25</v>
      </c>
      <c r="E2177" t="s">
        <v>346</v>
      </c>
      <c r="F2177" t="s">
        <v>31</v>
      </c>
      <c r="G2177" t="s">
        <v>1658</v>
      </c>
      <c r="H2177" t="s">
        <v>15</v>
      </c>
      <c r="I2177" s="26" t="s">
        <v>747</v>
      </c>
    </row>
    <row r="2178" spans="1:9" x14ac:dyDescent="0.3">
      <c r="A2178" s="24">
        <v>45364</v>
      </c>
      <c r="B2178" t="s">
        <v>340</v>
      </c>
      <c r="C2178" t="s">
        <v>202</v>
      </c>
      <c r="D2178">
        <v>0.25</v>
      </c>
      <c r="E2178" t="s">
        <v>665</v>
      </c>
      <c r="F2178" t="s">
        <v>31</v>
      </c>
      <c r="G2178" t="s">
        <v>1659</v>
      </c>
      <c r="H2178" t="s">
        <v>15</v>
      </c>
      <c r="I2178" s="26" t="s">
        <v>747</v>
      </c>
    </row>
    <row r="2179" spans="1:9" x14ac:dyDescent="0.3">
      <c r="A2179" s="24">
        <v>45364</v>
      </c>
      <c r="B2179" t="s">
        <v>340</v>
      </c>
      <c r="C2179" t="s">
        <v>202</v>
      </c>
      <c r="D2179">
        <v>0.5</v>
      </c>
      <c r="E2179" t="s">
        <v>1216</v>
      </c>
      <c r="F2179" t="s">
        <v>31</v>
      </c>
      <c r="G2179" t="s">
        <v>1660</v>
      </c>
      <c r="H2179" t="s">
        <v>15</v>
      </c>
      <c r="I2179" s="26" t="s">
        <v>747</v>
      </c>
    </row>
    <row r="2180" spans="1:9" x14ac:dyDescent="0.3">
      <c r="A2180" s="24">
        <v>45364</v>
      </c>
      <c r="B2180" t="s">
        <v>340</v>
      </c>
      <c r="C2180" t="s">
        <v>202</v>
      </c>
      <c r="D2180">
        <v>1</v>
      </c>
      <c r="E2180" t="s">
        <v>156</v>
      </c>
      <c r="F2180" t="s">
        <v>31</v>
      </c>
      <c r="G2180" t="s">
        <v>1661</v>
      </c>
      <c r="H2180" t="s">
        <v>15</v>
      </c>
      <c r="I2180" s="26" t="s">
        <v>747</v>
      </c>
    </row>
    <row r="2181" spans="1:9" x14ac:dyDescent="0.3">
      <c r="A2181" s="24">
        <v>45364</v>
      </c>
      <c r="B2181" t="s">
        <v>340</v>
      </c>
      <c r="C2181" t="s">
        <v>202</v>
      </c>
      <c r="D2181">
        <v>1.5</v>
      </c>
      <c r="E2181" t="s">
        <v>725</v>
      </c>
      <c r="F2181" t="s">
        <v>31</v>
      </c>
      <c r="G2181" t="s">
        <v>1662</v>
      </c>
      <c r="H2181" t="s">
        <v>15</v>
      </c>
      <c r="I2181" s="26" t="s">
        <v>747</v>
      </c>
    </row>
    <row r="2182" spans="1:9" x14ac:dyDescent="0.3">
      <c r="A2182" s="24">
        <v>45364</v>
      </c>
      <c r="B2182" t="s">
        <v>340</v>
      </c>
      <c r="C2182" t="s">
        <v>53</v>
      </c>
      <c r="D2182">
        <v>1.25</v>
      </c>
      <c r="E2182" t="s">
        <v>54</v>
      </c>
      <c r="F2182" t="s">
        <v>55</v>
      </c>
      <c r="G2182" t="s">
        <v>1663</v>
      </c>
      <c r="H2182" t="s">
        <v>15</v>
      </c>
      <c r="I2182" s="26" t="s">
        <v>747</v>
      </c>
    </row>
    <row r="2183" spans="1:9" x14ac:dyDescent="0.3">
      <c r="A2183" s="24">
        <v>45364</v>
      </c>
      <c r="B2183" t="s">
        <v>340</v>
      </c>
      <c r="C2183" t="s">
        <v>225</v>
      </c>
      <c r="D2183">
        <v>0.17</v>
      </c>
      <c r="E2183" t="s">
        <v>821</v>
      </c>
      <c r="F2183" t="s">
        <v>31</v>
      </c>
      <c r="G2183" t="s">
        <v>1350</v>
      </c>
      <c r="H2183" t="s">
        <v>15</v>
      </c>
      <c r="I2183" s="26" t="s">
        <v>747</v>
      </c>
    </row>
    <row r="2184" spans="1:9" x14ac:dyDescent="0.3">
      <c r="A2184" s="24">
        <v>45364</v>
      </c>
      <c r="B2184" t="s">
        <v>340</v>
      </c>
      <c r="C2184" t="s">
        <v>225</v>
      </c>
      <c r="D2184">
        <v>0.17</v>
      </c>
      <c r="E2184" t="s">
        <v>828</v>
      </c>
      <c r="F2184" t="s">
        <v>31</v>
      </c>
      <c r="G2184" t="s">
        <v>1350</v>
      </c>
      <c r="H2184" t="s">
        <v>15</v>
      </c>
      <c r="I2184" s="26" t="s">
        <v>747</v>
      </c>
    </row>
    <row r="2185" spans="1:9" x14ac:dyDescent="0.3">
      <c r="A2185" s="24">
        <v>45364</v>
      </c>
      <c r="B2185" t="s">
        <v>340</v>
      </c>
      <c r="C2185" t="s">
        <v>225</v>
      </c>
      <c r="D2185">
        <v>0.17</v>
      </c>
      <c r="E2185" t="s">
        <v>666</v>
      </c>
      <c r="F2185" t="s">
        <v>31</v>
      </c>
      <c r="G2185" t="s">
        <v>1350</v>
      </c>
      <c r="H2185" t="s">
        <v>15</v>
      </c>
      <c r="I2185" s="26" t="s">
        <v>747</v>
      </c>
    </row>
    <row r="2186" spans="1:9" x14ac:dyDescent="0.3">
      <c r="A2186" s="24">
        <v>45364</v>
      </c>
      <c r="B2186" t="s">
        <v>340</v>
      </c>
      <c r="C2186" t="s">
        <v>225</v>
      </c>
      <c r="D2186">
        <v>0.17</v>
      </c>
      <c r="E2186" t="s">
        <v>91</v>
      </c>
      <c r="F2186" t="s">
        <v>31</v>
      </c>
      <c r="G2186" t="s">
        <v>1350</v>
      </c>
      <c r="H2186" t="s">
        <v>15</v>
      </c>
      <c r="I2186" s="26" t="s">
        <v>747</v>
      </c>
    </row>
    <row r="2187" spans="1:9" x14ac:dyDescent="0.3">
      <c r="A2187" s="24">
        <v>45364</v>
      </c>
      <c r="B2187" t="s">
        <v>340</v>
      </c>
      <c r="C2187" t="s">
        <v>225</v>
      </c>
      <c r="D2187">
        <v>0.17</v>
      </c>
      <c r="E2187" t="s">
        <v>1170</v>
      </c>
      <c r="F2187" t="s">
        <v>31</v>
      </c>
      <c r="G2187" t="s">
        <v>1350</v>
      </c>
      <c r="H2187" t="s">
        <v>15</v>
      </c>
      <c r="I2187" s="26" t="s">
        <v>747</v>
      </c>
    </row>
    <row r="2188" spans="1:9" x14ac:dyDescent="0.3">
      <c r="A2188" s="24">
        <v>45364</v>
      </c>
      <c r="B2188" t="s">
        <v>340</v>
      </c>
      <c r="C2188" t="s">
        <v>225</v>
      </c>
      <c r="D2188">
        <v>0.17</v>
      </c>
      <c r="E2188" t="s">
        <v>524</v>
      </c>
      <c r="F2188" t="s">
        <v>31</v>
      </c>
      <c r="G2188" t="s">
        <v>1350</v>
      </c>
      <c r="H2188" t="s">
        <v>15</v>
      </c>
      <c r="I2188" s="26" t="s">
        <v>747</v>
      </c>
    </row>
    <row r="2189" spans="1:9" x14ac:dyDescent="0.3">
      <c r="A2189" s="24">
        <v>45364</v>
      </c>
      <c r="B2189" t="s">
        <v>340</v>
      </c>
      <c r="C2189" t="s">
        <v>225</v>
      </c>
      <c r="D2189">
        <v>0.17</v>
      </c>
      <c r="E2189" t="s">
        <v>151</v>
      </c>
      <c r="F2189" t="s">
        <v>31</v>
      </c>
      <c r="G2189" t="s">
        <v>1350</v>
      </c>
      <c r="H2189" t="s">
        <v>15</v>
      </c>
      <c r="I2189" s="26" t="s">
        <v>747</v>
      </c>
    </row>
    <row r="2190" spans="1:9" x14ac:dyDescent="0.3">
      <c r="A2190" s="24">
        <v>45364</v>
      </c>
      <c r="B2190" t="s">
        <v>340</v>
      </c>
      <c r="C2190" t="s">
        <v>225</v>
      </c>
      <c r="D2190">
        <v>0.17</v>
      </c>
      <c r="E2190" t="s">
        <v>437</v>
      </c>
      <c r="F2190" t="s">
        <v>31</v>
      </c>
      <c r="G2190" t="s">
        <v>1350</v>
      </c>
      <c r="H2190" t="s">
        <v>15</v>
      </c>
      <c r="I2190" s="26" t="s">
        <v>747</v>
      </c>
    </row>
    <row r="2191" spans="1:9" x14ac:dyDescent="0.3">
      <c r="A2191" s="24">
        <v>45364</v>
      </c>
      <c r="B2191" t="s">
        <v>340</v>
      </c>
      <c r="C2191" t="s">
        <v>225</v>
      </c>
      <c r="D2191">
        <v>0.17</v>
      </c>
      <c r="E2191" t="s">
        <v>114</v>
      </c>
      <c r="F2191" t="s">
        <v>31</v>
      </c>
      <c r="G2191" t="s">
        <v>1350</v>
      </c>
      <c r="H2191" t="s">
        <v>15</v>
      </c>
      <c r="I2191" s="26" t="s">
        <v>747</v>
      </c>
    </row>
    <row r="2192" spans="1:9" x14ac:dyDescent="0.3">
      <c r="A2192" s="24">
        <v>45364</v>
      </c>
      <c r="B2192" t="s">
        <v>340</v>
      </c>
      <c r="C2192" t="s">
        <v>225</v>
      </c>
      <c r="D2192">
        <v>0.17</v>
      </c>
      <c r="E2192" t="s">
        <v>304</v>
      </c>
      <c r="F2192" t="s">
        <v>31</v>
      </c>
      <c r="G2192" t="s">
        <v>1350</v>
      </c>
      <c r="H2192" t="s">
        <v>15</v>
      </c>
      <c r="I2192" s="26" t="s">
        <v>747</v>
      </c>
    </row>
    <row r="2193" spans="1:9" x14ac:dyDescent="0.3">
      <c r="A2193" s="24">
        <v>45364</v>
      </c>
      <c r="B2193" t="s">
        <v>340</v>
      </c>
      <c r="C2193" t="s">
        <v>225</v>
      </c>
      <c r="D2193">
        <v>0.17</v>
      </c>
      <c r="E2193" t="s">
        <v>116</v>
      </c>
      <c r="F2193" t="s">
        <v>31</v>
      </c>
      <c r="G2193" t="s">
        <v>1350</v>
      </c>
      <c r="H2193" t="s">
        <v>15</v>
      </c>
      <c r="I2193" s="26" t="s">
        <v>747</v>
      </c>
    </row>
    <row r="2194" spans="1:9" x14ac:dyDescent="0.3">
      <c r="A2194" s="24">
        <v>45364</v>
      </c>
      <c r="B2194" t="s">
        <v>340</v>
      </c>
      <c r="C2194" t="s">
        <v>225</v>
      </c>
      <c r="D2194">
        <v>0.17</v>
      </c>
      <c r="E2194" t="s">
        <v>156</v>
      </c>
      <c r="F2194" t="s">
        <v>31</v>
      </c>
      <c r="G2194" t="s">
        <v>1350</v>
      </c>
      <c r="H2194" t="s">
        <v>15</v>
      </c>
      <c r="I2194" s="26" t="s">
        <v>747</v>
      </c>
    </row>
    <row r="2195" spans="1:9" x14ac:dyDescent="0.3">
      <c r="A2195" s="24">
        <v>45364</v>
      </c>
      <c r="B2195" t="s">
        <v>340</v>
      </c>
      <c r="C2195" t="s">
        <v>225</v>
      </c>
      <c r="D2195">
        <v>0.17</v>
      </c>
      <c r="E2195" t="s">
        <v>42</v>
      </c>
      <c r="F2195" t="s">
        <v>31</v>
      </c>
      <c r="G2195" t="s">
        <v>1350</v>
      </c>
      <c r="H2195" t="s">
        <v>15</v>
      </c>
      <c r="I2195" s="26" t="s">
        <v>747</v>
      </c>
    </row>
    <row r="2196" spans="1:9" x14ac:dyDescent="0.3">
      <c r="A2196" s="24">
        <v>45364</v>
      </c>
      <c r="B2196" t="s">
        <v>340</v>
      </c>
      <c r="C2196" t="s">
        <v>225</v>
      </c>
      <c r="D2196">
        <v>0.17</v>
      </c>
      <c r="E2196" t="s">
        <v>665</v>
      </c>
      <c r="F2196" t="s">
        <v>31</v>
      </c>
      <c r="G2196" t="s">
        <v>1350</v>
      </c>
      <c r="H2196" t="s">
        <v>15</v>
      </c>
      <c r="I2196" s="26" t="s">
        <v>747</v>
      </c>
    </row>
    <row r="2197" spans="1:9" x14ac:dyDescent="0.3">
      <c r="A2197" s="24">
        <v>45364</v>
      </c>
      <c r="B2197" t="s">
        <v>340</v>
      </c>
      <c r="C2197" t="s">
        <v>225</v>
      </c>
      <c r="D2197">
        <v>0.17</v>
      </c>
      <c r="E2197" t="s">
        <v>217</v>
      </c>
      <c r="F2197" t="s">
        <v>31</v>
      </c>
      <c r="G2197" t="s">
        <v>1350</v>
      </c>
      <c r="H2197" t="s">
        <v>15</v>
      </c>
      <c r="I2197" s="26" t="s">
        <v>747</v>
      </c>
    </row>
    <row r="2198" spans="1:9" x14ac:dyDescent="0.3">
      <c r="A2198" s="24">
        <v>45364</v>
      </c>
      <c r="B2198" t="s">
        <v>340</v>
      </c>
      <c r="C2198" t="s">
        <v>225</v>
      </c>
      <c r="D2198">
        <v>0.33</v>
      </c>
      <c r="E2198" t="s">
        <v>81</v>
      </c>
      <c r="F2198" t="s">
        <v>31</v>
      </c>
      <c r="G2198" t="s">
        <v>1664</v>
      </c>
      <c r="H2198" t="s">
        <v>15</v>
      </c>
      <c r="I2198" s="26" t="s">
        <v>747</v>
      </c>
    </row>
    <row r="2199" spans="1:9" x14ac:dyDescent="0.3">
      <c r="A2199" s="24">
        <v>45364</v>
      </c>
      <c r="B2199" t="s">
        <v>351</v>
      </c>
      <c r="C2199" t="s">
        <v>29</v>
      </c>
      <c r="D2199">
        <v>9.3699999999999992</v>
      </c>
      <c r="E2199" t="s">
        <v>81</v>
      </c>
      <c r="F2199" t="s">
        <v>31</v>
      </c>
      <c r="G2199" t="s">
        <v>1665</v>
      </c>
      <c r="H2199" t="s">
        <v>15</v>
      </c>
      <c r="I2199" s="26" t="s">
        <v>747</v>
      </c>
    </row>
    <row r="2200" spans="1:9" x14ac:dyDescent="0.3">
      <c r="A2200" s="24">
        <v>45364</v>
      </c>
      <c r="B2200" t="s">
        <v>355</v>
      </c>
      <c r="C2200" t="s">
        <v>29</v>
      </c>
      <c r="D2200">
        <v>0.2</v>
      </c>
      <c r="E2200" t="s">
        <v>91</v>
      </c>
      <c r="F2200" t="s">
        <v>31</v>
      </c>
      <c r="G2200" t="s">
        <v>1666</v>
      </c>
      <c r="H2200" t="s">
        <v>15</v>
      </c>
      <c r="I2200" s="26" t="s">
        <v>747</v>
      </c>
    </row>
    <row r="2201" spans="1:9" x14ac:dyDescent="0.3">
      <c r="A2201" s="24">
        <v>45364</v>
      </c>
      <c r="B2201" t="s">
        <v>355</v>
      </c>
      <c r="C2201" t="s">
        <v>29</v>
      </c>
      <c r="D2201">
        <v>0.5</v>
      </c>
      <c r="E2201" t="s">
        <v>91</v>
      </c>
      <c r="F2201" t="s">
        <v>31</v>
      </c>
      <c r="G2201" t="s">
        <v>1667</v>
      </c>
      <c r="H2201" t="s">
        <v>15</v>
      </c>
      <c r="I2201" s="26" t="s">
        <v>747</v>
      </c>
    </row>
    <row r="2202" spans="1:9" x14ac:dyDescent="0.3">
      <c r="A2202" s="24">
        <v>45364</v>
      </c>
      <c r="B2202" t="s">
        <v>355</v>
      </c>
      <c r="C2202" t="s">
        <v>29</v>
      </c>
      <c r="D2202">
        <v>1.2</v>
      </c>
      <c r="E2202" t="s">
        <v>91</v>
      </c>
      <c r="F2202" t="s">
        <v>31</v>
      </c>
      <c r="G2202" t="s">
        <v>1668</v>
      </c>
      <c r="H2202" t="s">
        <v>15</v>
      </c>
      <c r="I2202" s="26" t="s">
        <v>747</v>
      </c>
    </row>
    <row r="2203" spans="1:9" x14ac:dyDescent="0.3">
      <c r="A2203" s="24">
        <v>45364</v>
      </c>
      <c r="B2203" t="s">
        <v>355</v>
      </c>
      <c r="C2203" t="s">
        <v>29</v>
      </c>
      <c r="D2203">
        <v>1.5</v>
      </c>
      <c r="E2203" t="s">
        <v>91</v>
      </c>
      <c r="F2203" t="s">
        <v>31</v>
      </c>
      <c r="G2203" t="s">
        <v>1669</v>
      </c>
      <c r="H2203" t="s">
        <v>15</v>
      </c>
      <c r="I2203" s="26" t="s">
        <v>747</v>
      </c>
    </row>
    <row r="2204" spans="1:9" x14ac:dyDescent="0.3">
      <c r="A2204" s="24">
        <v>45364</v>
      </c>
      <c r="B2204" t="s">
        <v>355</v>
      </c>
      <c r="C2204" t="s">
        <v>202</v>
      </c>
      <c r="D2204">
        <v>0.2</v>
      </c>
      <c r="E2204" t="s">
        <v>91</v>
      </c>
      <c r="F2204" t="s">
        <v>31</v>
      </c>
      <c r="G2204" t="s">
        <v>1670</v>
      </c>
      <c r="H2204" t="s">
        <v>15</v>
      </c>
      <c r="I2204" s="26" t="s">
        <v>747</v>
      </c>
    </row>
    <row r="2205" spans="1:9" x14ac:dyDescent="0.3">
      <c r="A2205" s="24">
        <v>45364</v>
      </c>
      <c r="B2205" t="s">
        <v>355</v>
      </c>
      <c r="C2205" t="s">
        <v>202</v>
      </c>
      <c r="D2205">
        <v>0.7</v>
      </c>
      <c r="E2205" t="s">
        <v>91</v>
      </c>
      <c r="F2205" t="s">
        <v>31</v>
      </c>
      <c r="G2205" t="s">
        <v>1671</v>
      </c>
      <c r="H2205" t="s">
        <v>15</v>
      </c>
      <c r="I2205" s="26" t="s">
        <v>747</v>
      </c>
    </row>
    <row r="2206" spans="1:9" x14ac:dyDescent="0.3">
      <c r="A2206" s="24">
        <v>45364</v>
      </c>
      <c r="B2206" t="s">
        <v>355</v>
      </c>
      <c r="C2206" t="s">
        <v>85</v>
      </c>
      <c r="D2206">
        <v>1</v>
      </c>
      <c r="E2206" t="s">
        <v>91</v>
      </c>
      <c r="F2206" t="s">
        <v>31</v>
      </c>
      <c r="G2206" t="s">
        <v>1672</v>
      </c>
      <c r="H2206" t="s">
        <v>15</v>
      </c>
      <c r="I2206" s="26" t="s">
        <v>747</v>
      </c>
    </row>
    <row r="2207" spans="1:9" x14ac:dyDescent="0.3">
      <c r="A2207" s="24">
        <v>45364</v>
      </c>
      <c r="B2207" t="s">
        <v>355</v>
      </c>
      <c r="C2207" t="s">
        <v>232</v>
      </c>
      <c r="D2207">
        <v>0.7</v>
      </c>
      <c r="E2207" t="s">
        <v>1170</v>
      </c>
      <c r="F2207" t="s">
        <v>31</v>
      </c>
      <c r="H2207" t="s">
        <v>15</v>
      </c>
      <c r="I2207" s="26" t="s">
        <v>747</v>
      </c>
    </row>
    <row r="2208" spans="1:9" x14ac:dyDescent="0.3">
      <c r="A2208" s="24">
        <v>45364</v>
      </c>
      <c r="B2208" t="s">
        <v>355</v>
      </c>
      <c r="C2208" t="s">
        <v>159</v>
      </c>
      <c r="D2208">
        <v>1.5</v>
      </c>
      <c r="E2208" t="s">
        <v>358</v>
      </c>
      <c r="F2208" t="s">
        <v>31</v>
      </c>
      <c r="G2208" t="s">
        <v>1673</v>
      </c>
      <c r="H2208" t="s">
        <v>15</v>
      </c>
      <c r="I2208" s="26" t="s">
        <v>747</v>
      </c>
    </row>
    <row r="2209" spans="1:9" x14ac:dyDescent="0.3">
      <c r="A2209" s="24">
        <v>45364</v>
      </c>
      <c r="B2209" t="s">
        <v>355</v>
      </c>
      <c r="C2209" t="s">
        <v>60</v>
      </c>
      <c r="D2209">
        <v>0.5</v>
      </c>
      <c r="E2209" t="s">
        <v>91</v>
      </c>
      <c r="F2209" t="s">
        <v>31</v>
      </c>
      <c r="G2209" t="s">
        <v>1674</v>
      </c>
      <c r="H2209" t="s">
        <v>15</v>
      </c>
      <c r="I2209" s="26" t="s">
        <v>747</v>
      </c>
    </row>
    <row r="2210" spans="1:9" x14ac:dyDescent="0.3">
      <c r="A2210" s="24">
        <v>45364</v>
      </c>
      <c r="B2210" t="s">
        <v>374</v>
      </c>
      <c r="C2210" t="s">
        <v>123</v>
      </c>
      <c r="D2210">
        <v>1</v>
      </c>
      <c r="E2210" t="s">
        <v>54</v>
      </c>
      <c r="F2210" t="s">
        <v>55</v>
      </c>
      <c r="G2210" t="e">
        <f>- discuss performance issue of a Team member with TL and CM</f>
        <v>#NAME?</v>
      </c>
      <c r="H2210" t="s">
        <v>15</v>
      </c>
      <c r="I2210" s="26" t="s">
        <v>747</v>
      </c>
    </row>
    <row r="2211" spans="1:9" x14ac:dyDescent="0.3">
      <c r="A2211" s="24">
        <v>45364</v>
      </c>
      <c r="B2211" t="s">
        <v>374</v>
      </c>
      <c r="C2211" t="s">
        <v>123</v>
      </c>
      <c r="D2211">
        <v>2</v>
      </c>
      <c r="E2211" t="s">
        <v>54</v>
      </c>
      <c r="F2211" t="s">
        <v>55</v>
      </c>
      <c r="G2211" t="e">
        <f>- Teams and phone interview for AP Specialist candidates</f>
        <v>#NAME?</v>
      </c>
      <c r="H2211" t="s">
        <v>15</v>
      </c>
      <c r="I2211" s="26" t="s">
        <v>747</v>
      </c>
    </row>
    <row r="2212" spans="1:9" x14ac:dyDescent="0.3">
      <c r="A2212" s="24">
        <v>45364</v>
      </c>
      <c r="B2212" t="s">
        <v>374</v>
      </c>
      <c r="C2212" t="s">
        <v>123</v>
      </c>
      <c r="D2212">
        <v>2</v>
      </c>
      <c r="E2212" t="s">
        <v>54</v>
      </c>
      <c r="F2212" t="s">
        <v>55</v>
      </c>
      <c r="G2212" t="e">
        <f>- Update Monthly reports</f>
        <v>#NAME?</v>
      </c>
      <c r="H2212" t="s">
        <v>15</v>
      </c>
      <c r="I2212" s="26" t="s">
        <v>747</v>
      </c>
    </row>
    <row r="2213" spans="1:9" x14ac:dyDescent="0.3">
      <c r="A2213" s="24">
        <v>45364</v>
      </c>
      <c r="B2213" t="s">
        <v>374</v>
      </c>
      <c r="C2213" t="s">
        <v>123</v>
      </c>
      <c r="D2213">
        <v>3</v>
      </c>
      <c r="E2213" t="s">
        <v>54</v>
      </c>
      <c r="F2213" t="s">
        <v>55</v>
      </c>
      <c r="G2213" t="e">
        <f>- endorse New regular employees to HMO - Follow up Intellicare AM for unresolved concerns - send out training evaluation forms for leadership training - connect with Seek AM - General Admin</f>
        <v>#NAME?</v>
      </c>
      <c r="H2213" t="s">
        <v>15</v>
      </c>
      <c r="I2213" s="26" t="s">
        <v>747</v>
      </c>
    </row>
    <row r="2214" spans="1:9" x14ac:dyDescent="0.3">
      <c r="A2214" s="24">
        <v>45365</v>
      </c>
      <c r="B2214" t="s">
        <v>28</v>
      </c>
      <c r="C2214" t="s">
        <v>29</v>
      </c>
      <c r="D2214">
        <v>7.0000000000000007E-2</v>
      </c>
      <c r="E2214" t="s">
        <v>44</v>
      </c>
      <c r="F2214" t="s">
        <v>31</v>
      </c>
      <c r="G2214" t="s">
        <v>32</v>
      </c>
      <c r="H2214" t="s">
        <v>15</v>
      </c>
      <c r="I2214" s="26" t="s">
        <v>897</v>
      </c>
    </row>
    <row r="2215" spans="1:9" x14ac:dyDescent="0.3">
      <c r="A2215" s="24">
        <v>45365</v>
      </c>
      <c r="B2215" t="s">
        <v>28</v>
      </c>
      <c r="C2215" t="s">
        <v>29</v>
      </c>
      <c r="D2215">
        <v>0.08</v>
      </c>
      <c r="E2215" t="s">
        <v>40</v>
      </c>
      <c r="F2215" t="s">
        <v>31</v>
      </c>
      <c r="G2215" t="s">
        <v>32</v>
      </c>
      <c r="H2215" t="s">
        <v>15</v>
      </c>
      <c r="I2215" s="26" t="s">
        <v>897</v>
      </c>
    </row>
    <row r="2216" spans="1:9" x14ac:dyDescent="0.3">
      <c r="A2216" s="24">
        <v>45365</v>
      </c>
      <c r="B2216" t="s">
        <v>28</v>
      </c>
      <c r="C2216" t="s">
        <v>29</v>
      </c>
      <c r="D2216">
        <v>0.08</v>
      </c>
      <c r="E2216" t="s">
        <v>52</v>
      </c>
      <c r="F2216" t="s">
        <v>31</v>
      </c>
      <c r="G2216" t="s">
        <v>243</v>
      </c>
      <c r="H2216" t="s">
        <v>15</v>
      </c>
      <c r="I2216" s="26" t="s">
        <v>897</v>
      </c>
    </row>
    <row r="2217" spans="1:9" x14ac:dyDescent="0.3">
      <c r="A2217" s="24">
        <v>45365</v>
      </c>
      <c r="B2217" t="s">
        <v>28</v>
      </c>
      <c r="C2217" t="s">
        <v>29</v>
      </c>
      <c r="D2217">
        <v>0.12</v>
      </c>
      <c r="E2217" t="s">
        <v>44</v>
      </c>
      <c r="F2217" t="s">
        <v>31</v>
      </c>
      <c r="G2217" t="s">
        <v>579</v>
      </c>
      <c r="H2217" t="s">
        <v>15</v>
      </c>
      <c r="I2217" s="26" t="s">
        <v>897</v>
      </c>
    </row>
    <row r="2218" spans="1:9" x14ac:dyDescent="0.3">
      <c r="A2218" s="24">
        <v>45365</v>
      </c>
      <c r="B2218" t="s">
        <v>28</v>
      </c>
      <c r="C2218" t="s">
        <v>29</v>
      </c>
      <c r="D2218">
        <v>0.13</v>
      </c>
      <c r="E2218" t="s">
        <v>44</v>
      </c>
      <c r="F2218" t="s">
        <v>31</v>
      </c>
      <c r="G2218" t="s">
        <v>38</v>
      </c>
      <c r="H2218" t="s">
        <v>15</v>
      </c>
      <c r="I2218" s="26" t="s">
        <v>897</v>
      </c>
    </row>
    <row r="2219" spans="1:9" x14ac:dyDescent="0.3">
      <c r="A2219" s="24">
        <v>45365</v>
      </c>
      <c r="B2219" t="s">
        <v>28</v>
      </c>
      <c r="C2219" t="s">
        <v>29</v>
      </c>
      <c r="D2219">
        <v>0.15</v>
      </c>
      <c r="E2219" t="s">
        <v>42</v>
      </c>
      <c r="F2219" t="s">
        <v>31</v>
      </c>
      <c r="G2219" t="s">
        <v>243</v>
      </c>
      <c r="H2219" t="s">
        <v>15</v>
      </c>
      <c r="I2219" s="26" t="s">
        <v>897</v>
      </c>
    </row>
    <row r="2220" spans="1:9" x14ac:dyDescent="0.3">
      <c r="A2220" s="24">
        <v>45365</v>
      </c>
      <c r="B2220" t="s">
        <v>28</v>
      </c>
      <c r="C2220" t="s">
        <v>29</v>
      </c>
      <c r="D2220">
        <v>0.2</v>
      </c>
      <c r="E2220" t="s">
        <v>61</v>
      </c>
      <c r="F2220" t="s">
        <v>31</v>
      </c>
      <c r="G2220" t="s">
        <v>243</v>
      </c>
      <c r="H2220" t="s">
        <v>15</v>
      </c>
      <c r="I2220" s="26" t="s">
        <v>897</v>
      </c>
    </row>
    <row r="2221" spans="1:9" x14ac:dyDescent="0.3">
      <c r="A2221" s="24">
        <v>45365</v>
      </c>
      <c r="B2221" t="s">
        <v>28</v>
      </c>
      <c r="C2221" t="s">
        <v>29</v>
      </c>
      <c r="D2221">
        <v>0.2</v>
      </c>
      <c r="E2221" t="s">
        <v>748</v>
      </c>
      <c r="F2221" t="s">
        <v>31</v>
      </c>
      <c r="G2221" t="s">
        <v>38</v>
      </c>
      <c r="H2221" t="s">
        <v>15</v>
      </c>
      <c r="I2221" s="26" t="s">
        <v>897</v>
      </c>
    </row>
    <row r="2222" spans="1:9" x14ac:dyDescent="0.3">
      <c r="A2222" s="24">
        <v>45365</v>
      </c>
      <c r="B2222" t="s">
        <v>28</v>
      </c>
      <c r="C2222" t="s">
        <v>29</v>
      </c>
      <c r="D2222">
        <v>0.22</v>
      </c>
      <c r="E2222" t="s">
        <v>62</v>
      </c>
      <c r="F2222" t="s">
        <v>31</v>
      </c>
      <c r="G2222" t="s">
        <v>38</v>
      </c>
      <c r="H2222" t="s">
        <v>15</v>
      </c>
      <c r="I2222" s="26" t="s">
        <v>897</v>
      </c>
    </row>
    <row r="2223" spans="1:9" x14ac:dyDescent="0.3">
      <c r="A2223" s="24">
        <v>45365</v>
      </c>
      <c r="B2223" t="s">
        <v>28</v>
      </c>
      <c r="C2223" t="s">
        <v>29</v>
      </c>
      <c r="D2223">
        <v>0.32</v>
      </c>
      <c r="E2223" t="s">
        <v>44</v>
      </c>
      <c r="F2223" t="s">
        <v>31</v>
      </c>
      <c r="G2223" t="s">
        <v>1675</v>
      </c>
      <c r="H2223" t="s">
        <v>15</v>
      </c>
      <c r="I2223" s="26" t="s">
        <v>897</v>
      </c>
    </row>
    <row r="2224" spans="1:9" x14ac:dyDescent="0.3">
      <c r="A2224" s="24">
        <v>45365</v>
      </c>
      <c r="B2224" t="s">
        <v>28</v>
      </c>
      <c r="C2224" t="s">
        <v>29</v>
      </c>
      <c r="D2224">
        <v>0.35</v>
      </c>
      <c r="E2224" t="s">
        <v>30</v>
      </c>
      <c r="F2224" t="s">
        <v>31</v>
      </c>
      <c r="G2224" t="s">
        <v>1676</v>
      </c>
      <c r="H2224" t="s">
        <v>15</v>
      </c>
      <c r="I2224" s="26" t="s">
        <v>897</v>
      </c>
    </row>
    <row r="2225" spans="1:9" x14ac:dyDescent="0.3">
      <c r="A2225" s="24">
        <v>45365</v>
      </c>
      <c r="B2225" t="s">
        <v>28</v>
      </c>
      <c r="C2225" t="s">
        <v>29</v>
      </c>
      <c r="D2225">
        <v>0.43</v>
      </c>
      <c r="E2225" t="s">
        <v>42</v>
      </c>
      <c r="F2225" t="s">
        <v>31</v>
      </c>
      <c r="G2225" t="s">
        <v>579</v>
      </c>
      <c r="H2225" t="s">
        <v>15</v>
      </c>
      <c r="I2225" s="26" t="s">
        <v>897</v>
      </c>
    </row>
    <row r="2226" spans="1:9" x14ac:dyDescent="0.3">
      <c r="A2226" s="24">
        <v>45365</v>
      </c>
      <c r="B2226" t="s">
        <v>28</v>
      </c>
      <c r="C2226" t="s">
        <v>29</v>
      </c>
      <c r="D2226">
        <v>0.45</v>
      </c>
      <c r="E2226" t="s">
        <v>49</v>
      </c>
      <c r="F2226" t="s">
        <v>31</v>
      </c>
      <c r="G2226" t="s">
        <v>579</v>
      </c>
      <c r="H2226" t="s">
        <v>15</v>
      </c>
      <c r="I2226" s="26" t="s">
        <v>897</v>
      </c>
    </row>
    <row r="2227" spans="1:9" x14ac:dyDescent="0.3">
      <c r="A2227" s="24">
        <v>45365</v>
      </c>
      <c r="B2227" t="s">
        <v>28</v>
      </c>
      <c r="C2227" t="s">
        <v>29</v>
      </c>
      <c r="D2227">
        <v>0.48</v>
      </c>
      <c r="E2227" t="s">
        <v>44</v>
      </c>
      <c r="F2227" t="s">
        <v>31</v>
      </c>
      <c r="G2227" t="s">
        <v>46</v>
      </c>
      <c r="H2227" t="s">
        <v>15</v>
      </c>
      <c r="I2227" s="26" t="s">
        <v>897</v>
      </c>
    </row>
    <row r="2228" spans="1:9" x14ac:dyDescent="0.3">
      <c r="A2228" s="24">
        <v>45365</v>
      </c>
      <c r="B2228" t="s">
        <v>28</v>
      </c>
      <c r="C2228" t="s">
        <v>29</v>
      </c>
      <c r="D2228">
        <v>0.5</v>
      </c>
      <c r="E2228" t="s">
        <v>30</v>
      </c>
      <c r="F2228" t="s">
        <v>55</v>
      </c>
      <c r="G2228" t="s">
        <v>1677</v>
      </c>
      <c r="H2228" t="s">
        <v>15</v>
      </c>
      <c r="I2228" s="26" t="s">
        <v>897</v>
      </c>
    </row>
    <row r="2229" spans="1:9" x14ac:dyDescent="0.3">
      <c r="A2229" s="24">
        <v>45365</v>
      </c>
      <c r="B2229" t="s">
        <v>28</v>
      </c>
      <c r="C2229" t="s">
        <v>29</v>
      </c>
      <c r="D2229">
        <v>0.53</v>
      </c>
      <c r="E2229" t="s">
        <v>42</v>
      </c>
      <c r="F2229" t="s">
        <v>31</v>
      </c>
      <c r="G2229" t="s">
        <v>43</v>
      </c>
      <c r="H2229" t="s">
        <v>15</v>
      </c>
      <c r="I2229" s="26" t="s">
        <v>897</v>
      </c>
    </row>
    <row r="2230" spans="1:9" x14ac:dyDescent="0.3">
      <c r="A2230" s="24">
        <v>45365</v>
      </c>
      <c r="B2230" t="s">
        <v>28</v>
      </c>
      <c r="C2230" t="s">
        <v>29</v>
      </c>
      <c r="D2230">
        <v>1.03</v>
      </c>
      <c r="E2230" t="s">
        <v>49</v>
      </c>
      <c r="F2230" t="s">
        <v>31</v>
      </c>
      <c r="G2230" t="s">
        <v>43</v>
      </c>
      <c r="H2230" t="s">
        <v>15</v>
      </c>
      <c r="I2230" s="26" t="s">
        <v>897</v>
      </c>
    </row>
    <row r="2231" spans="1:9" x14ac:dyDescent="0.3">
      <c r="A2231" s="24">
        <v>45365</v>
      </c>
      <c r="B2231" t="s">
        <v>28</v>
      </c>
      <c r="C2231" t="s">
        <v>53</v>
      </c>
      <c r="D2231">
        <v>0.17</v>
      </c>
      <c r="E2231" t="s">
        <v>54</v>
      </c>
      <c r="F2231" t="s">
        <v>55</v>
      </c>
      <c r="G2231" t="s">
        <v>1678</v>
      </c>
      <c r="H2231" t="s">
        <v>15</v>
      </c>
      <c r="I2231" s="26" t="s">
        <v>897</v>
      </c>
    </row>
    <row r="2232" spans="1:9" x14ac:dyDescent="0.3">
      <c r="A2232" s="24">
        <v>45365</v>
      </c>
      <c r="B2232" t="s">
        <v>28</v>
      </c>
      <c r="C2232" t="s">
        <v>53</v>
      </c>
      <c r="D2232">
        <v>0.17</v>
      </c>
      <c r="E2232" t="s">
        <v>54</v>
      </c>
      <c r="F2232" t="s">
        <v>55</v>
      </c>
      <c r="G2232" t="s">
        <v>1679</v>
      </c>
      <c r="H2232" t="s">
        <v>15</v>
      </c>
      <c r="I2232" s="26" t="s">
        <v>897</v>
      </c>
    </row>
    <row r="2233" spans="1:9" x14ac:dyDescent="0.3">
      <c r="A2233" s="24">
        <v>45365</v>
      </c>
      <c r="B2233" t="s">
        <v>28</v>
      </c>
      <c r="C2233" t="s">
        <v>53</v>
      </c>
      <c r="D2233">
        <v>0.25</v>
      </c>
      <c r="E2233" t="s">
        <v>54</v>
      </c>
      <c r="F2233" t="s">
        <v>55</v>
      </c>
      <c r="G2233" t="s">
        <v>56</v>
      </c>
      <c r="H2233" t="s">
        <v>15</v>
      </c>
      <c r="I2233" s="26" t="s">
        <v>897</v>
      </c>
    </row>
    <row r="2234" spans="1:9" x14ac:dyDescent="0.3">
      <c r="A2234" s="24">
        <v>45365</v>
      </c>
      <c r="B2234" t="s">
        <v>28</v>
      </c>
      <c r="C2234" t="s">
        <v>53</v>
      </c>
      <c r="D2234">
        <v>0.25</v>
      </c>
      <c r="E2234" t="s">
        <v>54</v>
      </c>
      <c r="F2234" t="s">
        <v>55</v>
      </c>
      <c r="G2234" t="s">
        <v>57</v>
      </c>
      <c r="H2234" t="s">
        <v>15</v>
      </c>
      <c r="I2234" s="26" t="s">
        <v>897</v>
      </c>
    </row>
    <row r="2235" spans="1:9" x14ac:dyDescent="0.3">
      <c r="A2235" s="24">
        <v>45365</v>
      </c>
      <c r="B2235" t="s">
        <v>28</v>
      </c>
      <c r="C2235" t="s">
        <v>148</v>
      </c>
      <c r="D2235">
        <v>0.55000000000000004</v>
      </c>
      <c r="E2235" t="s">
        <v>54</v>
      </c>
      <c r="F2235" t="s">
        <v>55</v>
      </c>
      <c r="G2235" t="s">
        <v>1680</v>
      </c>
      <c r="H2235" t="s">
        <v>15</v>
      </c>
      <c r="I2235" s="26" t="s">
        <v>897</v>
      </c>
    </row>
    <row r="2236" spans="1:9" x14ac:dyDescent="0.3">
      <c r="A2236" s="24">
        <v>45365</v>
      </c>
      <c r="B2236" t="s">
        <v>28</v>
      </c>
      <c r="C2236" t="s">
        <v>148</v>
      </c>
      <c r="D2236">
        <v>0.62</v>
      </c>
      <c r="E2236" t="s">
        <v>54</v>
      </c>
      <c r="F2236" t="s">
        <v>55</v>
      </c>
      <c r="G2236" t="s">
        <v>1681</v>
      </c>
      <c r="H2236" t="s">
        <v>15</v>
      </c>
      <c r="I2236" s="26" t="s">
        <v>897</v>
      </c>
    </row>
    <row r="2237" spans="1:9" x14ac:dyDescent="0.3">
      <c r="A2237" s="24">
        <v>45365</v>
      </c>
      <c r="B2237" t="s">
        <v>28</v>
      </c>
      <c r="C2237" t="s">
        <v>60</v>
      </c>
      <c r="D2237">
        <v>7.0000000000000007E-2</v>
      </c>
      <c r="E2237" t="s">
        <v>62</v>
      </c>
      <c r="F2237" t="s">
        <v>31</v>
      </c>
      <c r="H2237" t="s">
        <v>15</v>
      </c>
      <c r="I2237" s="26" t="s">
        <v>897</v>
      </c>
    </row>
    <row r="2238" spans="1:9" x14ac:dyDescent="0.3">
      <c r="A2238" s="24">
        <v>45365</v>
      </c>
      <c r="B2238" t="s">
        <v>28</v>
      </c>
      <c r="C2238" t="s">
        <v>60</v>
      </c>
      <c r="D2238">
        <v>0.15</v>
      </c>
      <c r="E2238" t="s">
        <v>37</v>
      </c>
      <c r="F2238" t="s">
        <v>31</v>
      </c>
      <c r="G2238" t="s">
        <v>32</v>
      </c>
      <c r="H2238" t="s">
        <v>15</v>
      </c>
      <c r="I2238" s="26" t="s">
        <v>897</v>
      </c>
    </row>
    <row r="2239" spans="1:9" x14ac:dyDescent="0.3">
      <c r="A2239" s="24">
        <v>45365</v>
      </c>
      <c r="B2239" t="s">
        <v>28</v>
      </c>
      <c r="C2239" t="s">
        <v>60</v>
      </c>
      <c r="D2239">
        <v>0.43</v>
      </c>
      <c r="E2239" t="s">
        <v>44</v>
      </c>
      <c r="F2239" t="s">
        <v>31</v>
      </c>
      <c r="H2239" t="s">
        <v>15</v>
      </c>
      <c r="I2239" s="26" t="s">
        <v>897</v>
      </c>
    </row>
    <row r="2240" spans="1:9" x14ac:dyDescent="0.3">
      <c r="A2240" s="24">
        <v>45365</v>
      </c>
      <c r="B2240" t="s">
        <v>64</v>
      </c>
      <c r="C2240" t="s">
        <v>173</v>
      </c>
      <c r="D2240">
        <v>0.67</v>
      </c>
      <c r="E2240" t="s">
        <v>162</v>
      </c>
      <c r="F2240" t="s">
        <v>55</v>
      </c>
      <c r="G2240" t="s">
        <v>1682</v>
      </c>
      <c r="H2240" t="s">
        <v>15</v>
      </c>
      <c r="I2240" s="26" t="s">
        <v>897</v>
      </c>
    </row>
    <row r="2241" spans="1:9" x14ac:dyDescent="0.3">
      <c r="A2241" s="24">
        <v>45365</v>
      </c>
      <c r="B2241" t="s">
        <v>64</v>
      </c>
      <c r="C2241" t="s">
        <v>65</v>
      </c>
      <c r="D2241">
        <v>4.83</v>
      </c>
      <c r="E2241" t="s">
        <v>66</v>
      </c>
      <c r="F2241" t="s">
        <v>31</v>
      </c>
      <c r="G2241" t="s">
        <v>1683</v>
      </c>
      <c r="H2241" t="s">
        <v>15</v>
      </c>
      <c r="I2241" s="26" t="s">
        <v>897</v>
      </c>
    </row>
    <row r="2242" spans="1:9" x14ac:dyDescent="0.3">
      <c r="A2242" s="24">
        <v>45365</v>
      </c>
      <c r="B2242" t="s">
        <v>64</v>
      </c>
      <c r="C2242" t="s">
        <v>379</v>
      </c>
      <c r="D2242">
        <v>0.33</v>
      </c>
      <c r="E2242" t="s">
        <v>66</v>
      </c>
      <c r="F2242" t="s">
        <v>31</v>
      </c>
      <c r="G2242" t="s">
        <v>1684</v>
      </c>
      <c r="H2242" t="s">
        <v>15</v>
      </c>
      <c r="I2242" s="26" t="s">
        <v>897</v>
      </c>
    </row>
    <row r="2243" spans="1:9" x14ac:dyDescent="0.3">
      <c r="A2243" s="24">
        <v>45365</v>
      </c>
      <c r="B2243" t="s">
        <v>64</v>
      </c>
      <c r="C2243" t="s">
        <v>68</v>
      </c>
      <c r="D2243">
        <v>1.08</v>
      </c>
      <c r="E2243" t="s">
        <v>66</v>
      </c>
      <c r="F2243" t="s">
        <v>31</v>
      </c>
      <c r="G2243" t="s">
        <v>1685</v>
      </c>
      <c r="H2243" t="s">
        <v>15</v>
      </c>
      <c r="I2243" s="26" t="s">
        <v>897</v>
      </c>
    </row>
    <row r="2244" spans="1:9" x14ac:dyDescent="0.3">
      <c r="A2244" s="24">
        <v>45365</v>
      </c>
      <c r="B2244" t="s">
        <v>64</v>
      </c>
      <c r="C2244" t="s">
        <v>70</v>
      </c>
      <c r="D2244">
        <v>1.17</v>
      </c>
      <c r="E2244" t="s">
        <v>66</v>
      </c>
      <c r="F2244" t="s">
        <v>31</v>
      </c>
      <c r="G2244" t="s">
        <v>1686</v>
      </c>
      <c r="H2244" t="s">
        <v>15</v>
      </c>
      <c r="I2244" s="26" t="s">
        <v>897</v>
      </c>
    </row>
    <row r="2245" spans="1:9" x14ac:dyDescent="0.3">
      <c r="A2245" s="24">
        <v>45365</v>
      </c>
      <c r="B2245" t="s">
        <v>72</v>
      </c>
      <c r="C2245" t="s">
        <v>29</v>
      </c>
      <c r="D2245">
        <v>0.08</v>
      </c>
      <c r="E2245" t="s">
        <v>358</v>
      </c>
      <c r="F2245" t="s">
        <v>31</v>
      </c>
      <c r="H2245" t="s">
        <v>15</v>
      </c>
      <c r="I2245" s="26" t="s">
        <v>897</v>
      </c>
    </row>
    <row r="2246" spans="1:9" x14ac:dyDescent="0.3">
      <c r="A2246" s="24">
        <v>45365</v>
      </c>
      <c r="B2246" t="s">
        <v>72</v>
      </c>
      <c r="C2246" t="s">
        <v>29</v>
      </c>
      <c r="D2246">
        <v>0.08</v>
      </c>
      <c r="E2246" t="s">
        <v>156</v>
      </c>
      <c r="F2246" t="s">
        <v>55</v>
      </c>
      <c r="G2246" t="s">
        <v>1687</v>
      </c>
      <c r="H2246" t="s">
        <v>15</v>
      </c>
      <c r="I2246" s="26" t="s">
        <v>897</v>
      </c>
    </row>
    <row r="2247" spans="1:9" x14ac:dyDescent="0.3">
      <c r="A2247" s="24">
        <v>45365</v>
      </c>
      <c r="B2247" t="s">
        <v>72</v>
      </c>
      <c r="C2247" t="s">
        <v>29</v>
      </c>
      <c r="D2247">
        <v>0.17</v>
      </c>
      <c r="E2247" t="s">
        <v>271</v>
      </c>
      <c r="F2247" t="s">
        <v>31</v>
      </c>
      <c r="H2247" t="s">
        <v>15</v>
      </c>
      <c r="I2247" s="26" t="s">
        <v>897</v>
      </c>
    </row>
    <row r="2248" spans="1:9" x14ac:dyDescent="0.3">
      <c r="A2248" s="24">
        <v>45365</v>
      </c>
      <c r="B2248" t="s">
        <v>72</v>
      </c>
      <c r="C2248" t="s">
        <v>53</v>
      </c>
      <c r="D2248">
        <v>0.18</v>
      </c>
      <c r="E2248" t="s">
        <v>54</v>
      </c>
      <c r="F2248" t="s">
        <v>55</v>
      </c>
      <c r="G2248" t="s">
        <v>1688</v>
      </c>
      <c r="H2248" t="s">
        <v>15</v>
      </c>
      <c r="I2248" s="26" t="s">
        <v>897</v>
      </c>
    </row>
    <row r="2249" spans="1:9" x14ac:dyDescent="0.3">
      <c r="A2249" s="24">
        <v>45365</v>
      </c>
      <c r="B2249" t="s">
        <v>72</v>
      </c>
      <c r="C2249" t="s">
        <v>53</v>
      </c>
      <c r="D2249">
        <v>0.38</v>
      </c>
      <c r="E2249" t="s">
        <v>54</v>
      </c>
      <c r="F2249" t="s">
        <v>55</v>
      </c>
      <c r="G2249" t="s">
        <v>1689</v>
      </c>
      <c r="H2249" t="s">
        <v>15</v>
      </c>
      <c r="I2249" s="26" t="s">
        <v>897</v>
      </c>
    </row>
    <row r="2250" spans="1:9" x14ac:dyDescent="0.3">
      <c r="A2250" s="24">
        <v>45365</v>
      </c>
      <c r="B2250" t="s">
        <v>72</v>
      </c>
      <c r="C2250" t="s">
        <v>53</v>
      </c>
      <c r="D2250">
        <v>0.5</v>
      </c>
      <c r="E2250" t="s">
        <v>54</v>
      </c>
      <c r="F2250" t="s">
        <v>55</v>
      </c>
      <c r="G2250" t="s">
        <v>110</v>
      </c>
      <c r="H2250" t="s">
        <v>15</v>
      </c>
      <c r="I2250" s="26" t="s">
        <v>897</v>
      </c>
    </row>
    <row r="2251" spans="1:9" x14ac:dyDescent="0.3">
      <c r="A2251" s="24">
        <v>45365</v>
      </c>
      <c r="B2251" t="s">
        <v>72</v>
      </c>
      <c r="C2251" t="s">
        <v>53</v>
      </c>
      <c r="D2251">
        <v>0.87</v>
      </c>
      <c r="E2251" t="s">
        <v>54</v>
      </c>
      <c r="F2251" t="s">
        <v>55</v>
      </c>
      <c r="G2251" t="s">
        <v>1690</v>
      </c>
      <c r="H2251" t="s">
        <v>15</v>
      </c>
      <c r="I2251" s="26" t="s">
        <v>897</v>
      </c>
    </row>
    <row r="2252" spans="1:9" x14ac:dyDescent="0.3">
      <c r="A2252" s="24">
        <v>45365</v>
      </c>
      <c r="B2252" t="s">
        <v>72</v>
      </c>
      <c r="C2252" t="s">
        <v>58</v>
      </c>
      <c r="D2252">
        <v>1.1000000000000001</v>
      </c>
      <c r="E2252" t="s">
        <v>54</v>
      </c>
      <c r="F2252" t="s">
        <v>55</v>
      </c>
      <c r="G2252" t="s">
        <v>1691</v>
      </c>
      <c r="H2252" t="s">
        <v>15</v>
      </c>
      <c r="I2252" s="26" t="s">
        <v>897</v>
      </c>
    </row>
    <row r="2253" spans="1:9" x14ac:dyDescent="0.3">
      <c r="A2253" s="24">
        <v>45365</v>
      </c>
      <c r="B2253" t="s">
        <v>72</v>
      </c>
      <c r="C2253" t="s">
        <v>60</v>
      </c>
      <c r="D2253">
        <v>1.2</v>
      </c>
      <c r="E2253" t="s">
        <v>156</v>
      </c>
      <c r="F2253" t="s">
        <v>31</v>
      </c>
      <c r="H2253" t="s">
        <v>15</v>
      </c>
      <c r="I2253" s="26" t="s">
        <v>897</v>
      </c>
    </row>
    <row r="2254" spans="1:9" x14ac:dyDescent="0.3">
      <c r="A2254" s="24">
        <v>45365</v>
      </c>
      <c r="B2254" t="s">
        <v>72</v>
      </c>
      <c r="C2254" t="s">
        <v>60</v>
      </c>
      <c r="D2254">
        <v>3.43</v>
      </c>
      <c r="E2254" t="s">
        <v>271</v>
      </c>
      <c r="F2254" t="s">
        <v>31</v>
      </c>
      <c r="H2254" t="s">
        <v>15</v>
      </c>
      <c r="I2254" s="26" t="s">
        <v>897</v>
      </c>
    </row>
    <row r="2255" spans="1:9" x14ac:dyDescent="0.3">
      <c r="A2255" s="24">
        <v>45365</v>
      </c>
      <c r="B2255" t="s">
        <v>75</v>
      </c>
      <c r="C2255" t="s">
        <v>73</v>
      </c>
      <c r="D2255">
        <v>3</v>
      </c>
      <c r="E2255" t="s">
        <v>54</v>
      </c>
      <c r="F2255" t="s">
        <v>55</v>
      </c>
      <c r="G2255" t="s">
        <v>1692</v>
      </c>
      <c r="H2255" t="s">
        <v>15</v>
      </c>
      <c r="I2255" s="26" t="s">
        <v>897</v>
      </c>
    </row>
    <row r="2256" spans="1:9" x14ac:dyDescent="0.3">
      <c r="A2256" s="24">
        <v>45365</v>
      </c>
      <c r="B2256" t="s">
        <v>75</v>
      </c>
      <c r="C2256" t="s">
        <v>77</v>
      </c>
      <c r="D2256">
        <v>5</v>
      </c>
      <c r="E2256" t="s">
        <v>54</v>
      </c>
      <c r="F2256" t="s">
        <v>55</v>
      </c>
      <c r="G2256" t="s">
        <v>1693</v>
      </c>
      <c r="H2256" t="s">
        <v>15</v>
      </c>
      <c r="I2256" s="26" t="s">
        <v>897</v>
      </c>
    </row>
    <row r="2257" spans="1:9" x14ac:dyDescent="0.3">
      <c r="A2257" s="24">
        <v>45365</v>
      </c>
      <c r="B2257" t="s">
        <v>79</v>
      </c>
      <c r="C2257" t="s">
        <v>77</v>
      </c>
      <c r="D2257">
        <v>8</v>
      </c>
      <c r="E2257" t="s">
        <v>54</v>
      </c>
      <c r="F2257" t="s">
        <v>55</v>
      </c>
      <c r="H2257" t="s">
        <v>15</v>
      </c>
      <c r="I2257" s="26" t="s">
        <v>897</v>
      </c>
    </row>
    <row r="2258" spans="1:9" x14ac:dyDescent="0.3">
      <c r="A2258" s="24">
        <v>45365</v>
      </c>
      <c r="B2258" t="s">
        <v>80</v>
      </c>
      <c r="C2258" t="s">
        <v>29</v>
      </c>
      <c r="D2258">
        <v>1.65</v>
      </c>
      <c r="E2258" t="s">
        <v>81</v>
      </c>
      <c r="F2258" t="s">
        <v>31</v>
      </c>
      <c r="G2258" t="s">
        <v>1694</v>
      </c>
      <c r="H2258" t="s">
        <v>15</v>
      </c>
      <c r="I2258" s="26" t="s">
        <v>897</v>
      </c>
    </row>
    <row r="2259" spans="1:9" x14ac:dyDescent="0.3">
      <c r="A2259" s="24">
        <v>45365</v>
      </c>
      <c r="B2259" t="s">
        <v>80</v>
      </c>
      <c r="C2259" t="s">
        <v>29</v>
      </c>
      <c r="D2259">
        <v>1.85</v>
      </c>
      <c r="E2259" t="s">
        <v>81</v>
      </c>
      <c r="F2259" t="s">
        <v>31</v>
      </c>
      <c r="G2259" t="s">
        <v>83</v>
      </c>
      <c r="H2259" t="s">
        <v>15</v>
      </c>
      <c r="I2259" s="26" t="s">
        <v>897</v>
      </c>
    </row>
    <row r="2260" spans="1:9" x14ac:dyDescent="0.3">
      <c r="A2260" s="24">
        <v>45365</v>
      </c>
      <c r="B2260" t="s">
        <v>80</v>
      </c>
      <c r="C2260" t="s">
        <v>29</v>
      </c>
      <c r="D2260">
        <v>5.25</v>
      </c>
      <c r="E2260" t="s">
        <v>81</v>
      </c>
      <c r="F2260" t="s">
        <v>31</v>
      </c>
      <c r="G2260" t="s">
        <v>1695</v>
      </c>
      <c r="H2260" t="s">
        <v>15</v>
      </c>
      <c r="I2260" s="26" t="s">
        <v>897</v>
      </c>
    </row>
    <row r="2261" spans="1:9" x14ac:dyDescent="0.3">
      <c r="A2261" s="24">
        <v>45365</v>
      </c>
      <c r="B2261" t="s">
        <v>88</v>
      </c>
      <c r="C2261" t="s">
        <v>601</v>
      </c>
      <c r="D2261">
        <v>0.83</v>
      </c>
      <c r="E2261" t="s">
        <v>54</v>
      </c>
      <c r="F2261" t="s">
        <v>55</v>
      </c>
      <c r="H2261" t="s">
        <v>15</v>
      </c>
      <c r="I2261" s="26" t="s">
        <v>897</v>
      </c>
    </row>
    <row r="2262" spans="1:9" x14ac:dyDescent="0.3">
      <c r="A2262" s="24">
        <v>45365</v>
      </c>
      <c r="B2262" t="s">
        <v>88</v>
      </c>
      <c r="C2262" t="s">
        <v>394</v>
      </c>
      <c r="D2262">
        <v>7.17</v>
      </c>
      <c r="E2262" t="s">
        <v>54</v>
      </c>
      <c r="F2262" t="s">
        <v>55</v>
      </c>
      <c r="G2262" t="s">
        <v>1696</v>
      </c>
      <c r="H2262" t="s">
        <v>15</v>
      </c>
      <c r="I2262" s="26" t="s">
        <v>897</v>
      </c>
    </row>
    <row r="2263" spans="1:9" x14ac:dyDescent="0.3">
      <c r="A2263" s="24">
        <v>45365</v>
      </c>
      <c r="B2263" t="s">
        <v>93</v>
      </c>
      <c r="C2263" t="s">
        <v>94</v>
      </c>
      <c r="D2263">
        <v>0.02</v>
      </c>
      <c r="E2263" t="s">
        <v>1697</v>
      </c>
      <c r="F2263" t="s">
        <v>55</v>
      </c>
      <c r="H2263" t="s">
        <v>15</v>
      </c>
      <c r="I2263" s="26" t="s">
        <v>897</v>
      </c>
    </row>
    <row r="2264" spans="1:9" x14ac:dyDescent="0.3">
      <c r="A2264" s="24">
        <v>45365</v>
      </c>
      <c r="B2264" t="s">
        <v>97</v>
      </c>
      <c r="C2264" t="s">
        <v>89</v>
      </c>
      <c r="D2264">
        <v>1.5</v>
      </c>
      <c r="E2264" t="s">
        <v>54</v>
      </c>
      <c r="F2264" t="s">
        <v>55</v>
      </c>
      <c r="G2264" t="s">
        <v>1698</v>
      </c>
      <c r="H2264" t="s">
        <v>15</v>
      </c>
      <c r="I2264" s="26" t="s">
        <v>897</v>
      </c>
    </row>
    <row r="2265" spans="1:9" x14ac:dyDescent="0.3">
      <c r="A2265" s="24">
        <v>45365</v>
      </c>
      <c r="B2265" t="s">
        <v>99</v>
      </c>
      <c r="C2265" t="s">
        <v>601</v>
      </c>
      <c r="D2265">
        <v>9</v>
      </c>
      <c r="E2265" t="s">
        <v>54</v>
      </c>
      <c r="F2265" t="s">
        <v>55</v>
      </c>
      <c r="G2265" t="s">
        <v>1699</v>
      </c>
      <c r="H2265" t="s">
        <v>15</v>
      </c>
      <c r="I2265" s="26" t="s">
        <v>897</v>
      </c>
    </row>
    <row r="2266" spans="1:9" x14ac:dyDescent="0.3">
      <c r="A2266" s="24">
        <v>45365</v>
      </c>
      <c r="B2266" t="s">
        <v>101</v>
      </c>
      <c r="C2266" t="s">
        <v>29</v>
      </c>
      <c r="D2266">
        <v>0.08</v>
      </c>
      <c r="E2266" t="s">
        <v>195</v>
      </c>
      <c r="F2266" t="s">
        <v>55</v>
      </c>
      <c r="G2266" t="s">
        <v>1700</v>
      </c>
      <c r="H2266" t="s">
        <v>15</v>
      </c>
      <c r="I2266" s="26" t="s">
        <v>897</v>
      </c>
    </row>
    <row r="2267" spans="1:9" x14ac:dyDescent="0.3">
      <c r="A2267" s="24">
        <v>45365</v>
      </c>
      <c r="B2267" t="s">
        <v>101</v>
      </c>
      <c r="C2267" t="s">
        <v>29</v>
      </c>
      <c r="D2267">
        <v>0.33</v>
      </c>
      <c r="E2267" t="s">
        <v>102</v>
      </c>
      <c r="F2267" t="s">
        <v>31</v>
      </c>
      <c r="G2267" t="s">
        <v>1701</v>
      </c>
      <c r="H2267" t="s">
        <v>15</v>
      </c>
      <c r="I2267" s="26" t="s">
        <v>897</v>
      </c>
    </row>
    <row r="2268" spans="1:9" x14ac:dyDescent="0.3">
      <c r="A2268" s="24">
        <v>45365</v>
      </c>
      <c r="B2268" t="s">
        <v>101</v>
      </c>
      <c r="C2268" t="s">
        <v>29</v>
      </c>
      <c r="D2268">
        <v>0.33</v>
      </c>
      <c r="E2268" t="s">
        <v>104</v>
      </c>
      <c r="F2268" t="s">
        <v>31</v>
      </c>
      <c r="G2268" t="s">
        <v>1701</v>
      </c>
      <c r="H2268" t="s">
        <v>15</v>
      </c>
      <c r="I2268" s="26" t="s">
        <v>897</v>
      </c>
    </row>
    <row r="2269" spans="1:9" x14ac:dyDescent="0.3">
      <c r="A2269" s="24">
        <v>45365</v>
      </c>
      <c r="B2269" t="s">
        <v>101</v>
      </c>
      <c r="C2269" t="s">
        <v>29</v>
      </c>
      <c r="D2269">
        <v>0.42</v>
      </c>
      <c r="E2269" t="s">
        <v>195</v>
      </c>
      <c r="F2269" t="s">
        <v>31</v>
      </c>
      <c r="G2269" t="s">
        <v>103</v>
      </c>
      <c r="H2269" t="s">
        <v>15</v>
      </c>
      <c r="I2269" s="26" t="s">
        <v>897</v>
      </c>
    </row>
    <row r="2270" spans="1:9" x14ac:dyDescent="0.3">
      <c r="A2270" s="24">
        <v>45365</v>
      </c>
      <c r="B2270" t="s">
        <v>101</v>
      </c>
      <c r="C2270" t="s">
        <v>29</v>
      </c>
      <c r="D2270">
        <v>4.08</v>
      </c>
      <c r="E2270" t="s">
        <v>108</v>
      </c>
      <c r="F2270" t="s">
        <v>31</v>
      </c>
      <c r="G2270" t="s">
        <v>1702</v>
      </c>
      <c r="H2270" t="s">
        <v>15</v>
      </c>
      <c r="I2270" s="26" t="s">
        <v>897</v>
      </c>
    </row>
    <row r="2271" spans="1:9" x14ac:dyDescent="0.3">
      <c r="A2271" s="24">
        <v>45365</v>
      </c>
      <c r="B2271" t="s">
        <v>101</v>
      </c>
      <c r="C2271" t="s">
        <v>53</v>
      </c>
      <c r="D2271">
        <v>0.5</v>
      </c>
      <c r="E2271" t="s">
        <v>54</v>
      </c>
      <c r="F2271" t="s">
        <v>55</v>
      </c>
      <c r="G2271" t="s">
        <v>110</v>
      </c>
      <c r="H2271" t="s">
        <v>15</v>
      </c>
      <c r="I2271" s="26" t="s">
        <v>897</v>
      </c>
    </row>
    <row r="2272" spans="1:9" x14ac:dyDescent="0.3">
      <c r="A2272" s="24">
        <v>45365</v>
      </c>
      <c r="B2272" t="s">
        <v>101</v>
      </c>
      <c r="C2272" t="s">
        <v>60</v>
      </c>
      <c r="D2272">
        <v>0.25</v>
      </c>
      <c r="E2272" t="s">
        <v>295</v>
      </c>
      <c r="F2272" t="s">
        <v>55</v>
      </c>
      <c r="G2272" t="s">
        <v>1703</v>
      </c>
      <c r="H2272" t="s">
        <v>15</v>
      </c>
      <c r="I2272" s="26" t="s">
        <v>897</v>
      </c>
    </row>
    <row r="2273" spans="1:9" x14ac:dyDescent="0.3">
      <c r="A2273" s="24">
        <v>45365</v>
      </c>
      <c r="B2273" t="s">
        <v>101</v>
      </c>
      <c r="C2273" t="s">
        <v>60</v>
      </c>
      <c r="D2273">
        <v>0.25</v>
      </c>
      <c r="E2273" t="s">
        <v>108</v>
      </c>
      <c r="F2273" t="s">
        <v>31</v>
      </c>
      <c r="G2273" t="s">
        <v>919</v>
      </c>
      <c r="H2273" t="s">
        <v>15</v>
      </c>
      <c r="I2273" s="26" t="s">
        <v>897</v>
      </c>
    </row>
    <row r="2274" spans="1:9" x14ac:dyDescent="0.3">
      <c r="A2274" s="24">
        <v>45365</v>
      </c>
      <c r="B2274" t="s">
        <v>101</v>
      </c>
      <c r="C2274" t="s">
        <v>60</v>
      </c>
      <c r="D2274">
        <v>0.33</v>
      </c>
      <c r="E2274" t="s">
        <v>295</v>
      </c>
      <c r="F2274" t="s">
        <v>55</v>
      </c>
      <c r="G2274" t="s">
        <v>1704</v>
      </c>
      <c r="H2274" t="s">
        <v>15</v>
      </c>
      <c r="I2274" s="26" t="s">
        <v>897</v>
      </c>
    </row>
    <row r="2275" spans="1:9" x14ac:dyDescent="0.3">
      <c r="A2275" s="24">
        <v>45365</v>
      </c>
      <c r="B2275" t="s">
        <v>101</v>
      </c>
      <c r="C2275" t="s">
        <v>60</v>
      </c>
      <c r="D2275">
        <v>1.42</v>
      </c>
      <c r="E2275" t="s">
        <v>295</v>
      </c>
      <c r="F2275" t="s">
        <v>55</v>
      </c>
      <c r="G2275" t="s">
        <v>1705</v>
      </c>
      <c r="H2275" t="s">
        <v>15</v>
      </c>
      <c r="I2275" s="26" t="s">
        <v>897</v>
      </c>
    </row>
    <row r="2276" spans="1:9" x14ac:dyDescent="0.3">
      <c r="A2276" s="24">
        <v>45365</v>
      </c>
      <c r="B2276" t="s">
        <v>402</v>
      </c>
      <c r="C2276" t="s">
        <v>403</v>
      </c>
      <c r="D2276">
        <v>2</v>
      </c>
      <c r="E2276" t="s">
        <v>39</v>
      </c>
      <c r="F2276" t="s">
        <v>31</v>
      </c>
      <c r="G2276" t="s">
        <v>1706</v>
      </c>
      <c r="H2276" t="s">
        <v>15</v>
      </c>
      <c r="I2276" s="26" t="s">
        <v>897</v>
      </c>
    </row>
    <row r="2277" spans="1:9" x14ac:dyDescent="0.3">
      <c r="A2277" s="24">
        <v>45365</v>
      </c>
      <c r="B2277" t="s">
        <v>402</v>
      </c>
      <c r="C2277" t="s">
        <v>405</v>
      </c>
      <c r="D2277">
        <v>1</v>
      </c>
      <c r="E2277" t="s">
        <v>42</v>
      </c>
      <c r="F2277" t="s">
        <v>31</v>
      </c>
      <c r="G2277" t="s">
        <v>1707</v>
      </c>
      <c r="H2277" t="s">
        <v>15</v>
      </c>
      <c r="I2277" s="26" t="s">
        <v>897</v>
      </c>
    </row>
    <row r="2278" spans="1:9" x14ac:dyDescent="0.3">
      <c r="A2278" s="24">
        <v>45365</v>
      </c>
      <c r="B2278" t="s">
        <v>113</v>
      </c>
      <c r="C2278" t="s">
        <v>29</v>
      </c>
      <c r="D2278">
        <v>0.2</v>
      </c>
      <c r="E2278" t="s">
        <v>127</v>
      </c>
      <c r="F2278" t="s">
        <v>31</v>
      </c>
      <c r="G2278" t="s">
        <v>1708</v>
      </c>
      <c r="H2278" t="s">
        <v>15</v>
      </c>
      <c r="I2278" s="26" t="s">
        <v>897</v>
      </c>
    </row>
    <row r="2279" spans="1:9" x14ac:dyDescent="0.3">
      <c r="A2279" s="24">
        <v>45365</v>
      </c>
      <c r="B2279" t="s">
        <v>113</v>
      </c>
      <c r="C2279" t="s">
        <v>53</v>
      </c>
      <c r="D2279">
        <v>0.33</v>
      </c>
      <c r="E2279" t="s">
        <v>54</v>
      </c>
      <c r="F2279" t="s">
        <v>55</v>
      </c>
      <c r="G2279" t="s">
        <v>1709</v>
      </c>
      <c r="H2279" t="s">
        <v>15</v>
      </c>
      <c r="I2279" s="26" t="s">
        <v>897</v>
      </c>
    </row>
    <row r="2280" spans="1:9" x14ac:dyDescent="0.3">
      <c r="A2280" s="24">
        <v>45365</v>
      </c>
      <c r="B2280" t="s">
        <v>113</v>
      </c>
      <c r="C2280" t="s">
        <v>53</v>
      </c>
      <c r="D2280">
        <v>0.5</v>
      </c>
      <c r="E2280" t="s">
        <v>54</v>
      </c>
      <c r="F2280" t="s">
        <v>55</v>
      </c>
      <c r="G2280" t="s">
        <v>110</v>
      </c>
      <c r="H2280" t="s">
        <v>15</v>
      </c>
      <c r="I2280" s="26" t="s">
        <v>897</v>
      </c>
    </row>
    <row r="2281" spans="1:9" x14ac:dyDescent="0.3">
      <c r="A2281" s="24">
        <v>45365</v>
      </c>
      <c r="B2281" t="s">
        <v>113</v>
      </c>
      <c r="C2281" t="s">
        <v>159</v>
      </c>
      <c r="D2281">
        <v>1.23</v>
      </c>
      <c r="E2281" t="s">
        <v>114</v>
      </c>
      <c r="F2281" t="s">
        <v>31</v>
      </c>
      <c r="G2281" t="s">
        <v>1710</v>
      </c>
      <c r="H2281" t="s">
        <v>15</v>
      </c>
      <c r="I2281" s="26" t="s">
        <v>897</v>
      </c>
    </row>
    <row r="2282" spans="1:9" x14ac:dyDescent="0.3">
      <c r="A2282" s="24">
        <v>45365</v>
      </c>
      <c r="B2282" t="s">
        <v>113</v>
      </c>
      <c r="C2282" t="s">
        <v>58</v>
      </c>
      <c r="D2282">
        <v>1.1000000000000001</v>
      </c>
      <c r="E2282" t="s">
        <v>54</v>
      </c>
      <c r="F2282" t="s">
        <v>55</v>
      </c>
      <c r="G2282" t="s">
        <v>1711</v>
      </c>
      <c r="H2282" t="s">
        <v>15</v>
      </c>
      <c r="I2282" s="26" t="s">
        <v>897</v>
      </c>
    </row>
    <row r="2283" spans="1:9" x14ac:dyDescent="0.3">
      <c r="A2283" s="24">
        <v>45365</v>
      </c>
      <c r="B2283" t="s">
        <v>113</v>
      </c>
      <c r="C2283" t="s">
        <v>60</v>
      </c>
      <c r="D2283">
        <v>0.65</v>
      </c>
      <c r="E2283" t="s">
        <v>81</v>
      </c>
      <c r="F2283" t="s">
        <v>31</v>
      </c>
      <c r="G2283" t="s">
        <v>1712</v>
      </c>
      <c r="H2283" t="s">
        <v>15</v>
      </c>
      <c r="I2283" s="26" t="s">
        <v>897</v>
      </c>
    </row>
    <row r="2284" spans="1:9" x14ac:dyDescent="0.3">
      <c r="A2284" s="24">
        <v>45365</v>
      </c>
      <c r="B2284" t="s">
        <v>113</v>
      </c>
      <c r="C2284" t="s">
        <v>60</v>
      </c>
      <c r="D2284">
        <v>1.1499999999999999</v>
      </c>
      <c r="E2284" t="s">
        <v>81</v>
      </c>
      <c r="F2284" t="s">
        <v>31</v>
      </c>
      <c r="G2284" t="s">
        <v>126</v>
      </c>
      <c r="H2284" t="s">
        <v>15</v>
      </c>
      <c r="I2284" s="26" t="s">
        <v>897</v>
      </c>
    </row>
    <row r="2285" spans="1:9" x14ac:dyDescent="0.3">
      <c r="A2285" s="24">
        <v>45365</v>
      </c>
      <c r="B2285" t="s">
        <v>113</v>
      </c>
      <c r="C2285" t="s">
        <v>60</v>
      </c>
      <c r="D2285">
        <v>2.97</v>
      </c>
      <c r="E2285" t="s">
        <v>81</v>
      </c>
      <c r="F2285" t="s">
        <v>31</v>
      </c>
      <c r="H2285" t="s">
        <v>15</v>
      </c>
      <c r="I2285" s="26" t="s">
        <v>897</v>
      </c>
    </row>
    <row r="2286" spans="1:9" x14ac:dyDescent="0.3">
      <c r="A2286" s="24">
        <v>45365</v>
      </c>
      <c r="B2286" t="s">
        <v>132</v>
      </c>
      <c r="C2286" t="s">
        <v>53</v>
      </c>
      <c r="D2286">
        <v>9.92</v>
      </c>
      <c r="E2286" t="s">
        <v>54</v>
      </c>
      <c r="F2286" t="s">
        <v>55</v>
      </c>
      <c r="G2286" t="s">
        <v>1713</v>
      </c>
      <c r="H2286" t="s">
        <v>15</v>
      </c>
      <c r="I2286" s="26" t="s">
        <v>897</v>
      </c>
    </row>
    <row r="2287" spans="1:9" x14ac:dyDescent="0.3">
      <c r="A2287" s="24">
        <v>45365</v>
      </c>
      <c r="B2287" t="s">
        <v>134</v>
      </c>
      <c r="C2287" t="s">
        <v>29</v>
      </c>
      <c r="D2287">
        <v>0.55000000000000004</v>
      </c>
      <c r="E2287" t="s">
        <v>137</v>
      </c>
      <c r="F2287" t="s">
        <v>31</v>
      </c>
      <c r="G2287" t="s">
        <v>427</v>
      </c>
      <c r="H2287" t="s">
        <v>15</v>
      </c>
      <c r="I2287" s="26" t="s">
        <v>897</v>
      </c>
    </row>
    <row r="2288" spans="1:9" x14ac:dyDescent="0.3">
      <c r="A2288" s="24">
        <v>45365</v>
      </c>
      <c r="B2288" t="s">
        <v>134</v>
      </c>
      <c r="C2288" t="s">
        <v>29</v>
      </c>
      <c r="D2288">
        <v>0.57999999999999996</v>
      </c>
      <c r="E2288" t="s">
        <v>137</v>
      </c>
      <c r="F2288" t="s">
        <v>31</v>
      </c>
      <c r="G2288" t="s">
        <v>1714</v>
      </c>
      <c r="H2288" t="s">
        <v>15</v>
      </c>
      <c r="I2288" s="26" t="s">
        <v>897</v>
      </c>
    </row>
    <row r="2289" spans="1:9" x14ac:dyDescent="0.3">
      <c r="A2289" s="24">
        <v>45365</v>
      </c>
      <c r="B2289" t="s">
        <v>134</v>
      </c>
      <c r="C2289" t="s">
        <v>29</v>
      </c>
      <c r="D2289">
        <v>0.73</v>
      </c>
      <c r="E2289" t="s">
        <v>139</v>
      </c>
      <c r="F2289" t="s">
        <v>31</v>
      </c>
      <c r="G2289" t="s">
        <v>1715</v>
      </c>
      <c r="H2289" t="s">
        <v>15</v>
      </c>
      <c r="I2289" s="26" t="s">
        <v>897</v>
      </c>
    </row>
    <row r="2290" spans="1:9" x14ac:dyDescent="0.3">
      <c r="A2290" s="24">
        <v>45365</v>
      </c>
      <c r="B2290" t="s">
        <v>134</v>
      </c>
      <c r="C2290" t="s">
        <v>29</v>
      </c>
      <c r="D2290">
        <v>1.53</v>
      </c>
      <c r="E2290" t="s">
        <v>420</v>
      </c>
      <c r="F2290" t="s">
        <v>31</v>
      </c>
      <c r="G2290" t="s">
        <v>427</v>
      </c>
      <c r="H2290" t="s">
        <v>15</v>
      </c>
      <c r="I2290" s="26" t="s">
        <v>897</v>
      </c>
    </row>
    <row r="2291" spans="1:9" x14ac:dyDescent="0.3">
      <c r="A2291" s="24">
        <v>45365</v>
      </c>
      <c r="B2291" t="s">
        <v>134</v>
      </c>
      <c r="C2291" t="s">
        <v>29</v>
      </c>
      <c r="D2291">
        <v>2.88</v>
      </c>
      <c r="E2291" t="s">
        <v>423</v>
      </c>
      <c r="F2291" t="s">
        <v>31</v>
      </c>
      <c r="G2291" t="s">
        <v>427</v>
      </c>
      <c r="H2291" t="s">
        <v>15</v>
      </c>
      <c r="I2291" s="26" t="s">
        <v>897</v>
      </c>
    </row>
    <row r="2292" spans="1:9" x14ac:dyDescent="0.3">
      <c r="A2292" s="24">
        <v>45365</v>
      </c>
      <c r="B2292" t="s">
        <v>134</v>
      </c>
      <c r="C2292" t="s">
        <v>142</v>
      </c>
      <c r="D2292">
        <v>0.95</v>
      </c>
      <c r="E2292" t="s">
        <v>143</v>
      </c>
      <c r="F2292" t="s">
        <v>31</v>
      </c>
      <c r="G2292" t="s">
        <v>427</v>
      </c>
      <c r="H2292" t="s">
        <v>15</v>
      </c>
      <c r="I2292" s="26" t="s">
        <v>897</v>
      </c>
    </row>
    <row r="2293" spans="1:9" x14ac:dyDescent="0.3">
      <c r="A2293" s="24">
        <v>45365</v>
      </c>
      <c r="B2293" t="s">
        <v>134</v>
      </c>
      <c r="C2293" t="s">
        <v>53</v>
      </c>
      <c r="D2293">
        <v>0.27</v>
      </c>
      <c r="E2293" t="s">
        <v>54</v>
      </c>
      <c r="F2293" t="s">
        <v>55</v>
      </c>
      <c r="G2293" t="s">
        <v>789</v>
      </c>
      <c r="H2293" t="s">
        <v>15</v>
      </c>
      <c r="I2293" s="26" t="s">
        <v>897</v>
      </c>
    </row>
    <row r="2294" spans="1:9" x14ac:dyDescent="0.3">
      <c r="A2294" s="24">
        <v>45365</v>
      </c>
      <c r="B2294" t="s">
        <v>134</v>
      </c>
      <c r="C2294" t="s">
        <v>53</v>
      </c>
      <c r="D2294">
        <v>0.5</v>
      </c>
      <c r="E2294" t="s">
        <v>54</v>
      </c>
      <c r="F2294" t="s">
        <v>55</v>
      </c>
      <c r="G2294" t="s">
        <v>110</v>
      </c>
      <c r="H2294" t="s">
        <v>15</v>
      </c>
      <c r="I2294" s="26" t="s">
        <v>897</v>
      </c>
    </row>
    <row r="2295" spans="1:9" x14ac:dyDescent="0.3">
      <c r="A2295" s="24">
        <v>45365</v>
      </c>
      <c r="B2295" t="s">
        <v>150</v>
      </c>
      <c r="C2295" t="s">
        <v>29</v>
      </c>
      <c r="D2295">
        <v>0.93</v>
      </c>
      <c r="E2295" t="s">
        <v>114</v>
      </c>
      <c r="F2295" t="s">
        <v>31</v>
      </c>
      <c r="G2295" t="s">
        <v>1716</v>
      </c>
      <c r="H2295" t="s">
        <v>15</v>
      </c>
      <c r="I2295" s="26" t="s">
        <v>897</v>
      </c>
    </row>
    <row r="2296" spans="1:9" x14ac:dyDescent="0.3">
      <c r="A2296" s="24">
        <v>45365</v>
      </c>
      <c r="B2296" t="s">
        <v>150</v>
      </c>
      <c r="C2296" t="s">
        <v>29</v>
      </c>
      <c r="D2296">
        <v>2.0299999999999998</v>
      </c>
      <c r="E2296" t="s">
        <v>114</v>
      </c>
      <c r="F2296" t="s">
        <v>31</v>
      </c>
      <c r="G2296" t="s">
        <v>438</v>
      </c>
      <c r="H2296" t="s">
        <v>15</v>
      </c>
      <c r="I2296" s="26" t="s">
        <v>897</v>
      </c>
    </row>
    <row r="2297" spans="1:9" x14ac:dyDescent="0.3">
      <c r="A2297" s="24">
        <v>45365</v>
      </c>
      <c r="B2297" t="s">
        <v>150</v>
      </c>
      <c r="C2297" t="s">
        <v>85</v>
      </c>
      <c r="D2297">
        <v>0.23</v>
      </c>
      <c r="E2297" t="s">
        <v>156</v>
      </c>
      <c r="F2297" t="s">
        <v>55</v>
      </c>
      <c r="G2297" t="s">
        <v>1717</v>
      </c>
      <c r="H2297" t="s">
        <v>15</v>
      </c>
      <c r="I2297" s="26" t="s">
        <v>897</v>
      </c>
    </row>
    <row r="2298" spans="1:9" x14ac:dyDescent="0.3">
      <c r="A2298" s="24">
        <v>45365</v>
      </c>
      <c r="B2298" t="s">
        <v>150</v>
      </c>
      <c r="C2298" t="s">
        <v>53</v>
      </c>
      <c r="D2298">
        <v>0.32</v>
      </c>
      <c r="E2298" t="s">
        <v>54</v>
      </c>
      <c r="F2298" t="s">
        <v>55</v>
      </c>
      <c r="G2298" t="s">
        <v>1718</v>
      </c>
      <c r="H2298" t="s">
        <v>15</v>
      </c>
      <c r="I2298" s="26" t="s">
        <v>897</v>
      </c>
    </row>
    <row r="2299" spans="1:9" x14ac:dyDescent="0.3">
      <c r="A2299" s="24">
        <v>45365</v>
      </c>
      <c r="B2299" t="s">
        <v>150</v>
      </c>
      <c r="C2299" t="s">
        <v>58</v>
      </c>
      <c r="D2299">
        <v>1.33</v>
      </c>
      <c r="E2299" t="s">
        <v>54</v>
      </c>
      <c r="F2299" t="s">
        <v>55</v>
      </c>
      <c r="G2299" t="s">
        <v>1719</v>
      </c>
      <c r="H2299" t="s">
        <v>15</v>
      </c>
      <c r="I2299" s="26" t="s">
        <v>897</v>
      </c>
    </row>
    <row r="2300" spans="1:9" x14ac:dyDescent="0.3">
      <c r="A2300" s="24">
        <v>45365</v>
      </c>
      <c r="B2300" t="s">
        <v>150</v>
      </c>
      <c r="C2300" t="s">
        <v>60</v>
      </c>
      <c r="D2300">
        <v>0.52</v>
      </c>
      <c r="E2300" t="s">
        <v>156</v>
      </c>
      <c r="F2300" t="s">
        <v>31</v>
      </c>
      <c r="G2300" t="s">
        <v>1720</v>
      </c>
      <c r="H2300" t="s">
        <v>15</v>
      </c>
      <c r="I2300" s="26" t="s">
        <v>897</v>
      </c>
    </row>
    <row r="2301" spans="1:9" x14ac:dyDescent="0.3">
      <c r="A2301" s="24">
        <v>45365</v>
      </c>
      <c r="B2301" t="s">
        <v>150</v>
      </c>
      <c r="C2301" t="s">
        <v>60</v>
      </c>
      <c r="D2301">
        <v>3.72</v>
      </c>
      <c r="E2301" t="s">
        <v>156</v>
      </c>
      <c r="F2301" t="s">
        <v>31</v>
      </c>
      <c r="G2301" t="s">
        <v>624</v>
      </c>
      <c r="H2301" t="s">
        <v>15</v>
      </c>
      <c r="I2301" s="26" t="s">
        <v>897</v>
      </c>
    </row>
    <row r="2302" spans="1:9" x14ac:dyDescent="0.3">
      <c r="A2302" s="24">
        <v>45365</v>
      </c>
      <c r="B2302" t="s">
        <v>164</v>
      </c>
      <c r="C2302" t="s">
        <v>73</v>
      </c>
      <c r="D2302">
        <v>4</v>
      </c>
      <c r="E2302" t="s">
        <v>54</v>
      </c>
      <c r="F2302" t="s">
        <v>55</v>
      </c>
      <c r="H2302" t="s">
        <v>15</v>
      </c>
      <c r="I2302" s="26" t="s">
        <v>897</v>
      </c>
    </row>
    <row r="2303" spans="1:9" x14ac:dyDescent="0.3">
      <c r="A2303" s="24">
        <v>45365</v>
      </c>
      <c r="B2303" t="s">
        <v>164</v>
      </c>
      <c r="C2303" t="s">
        <v>85</v>
      </c>
      <c r="D2303">
        <v>0.37</v>
      </c>
      <c r="E2303" t="s">
        <v>96</v>
      </c>
      <c r="F2303" t="s">
        <v>55</v>
      </c>
      <c r="G2303" t="s">
        <v>1721</v>
      </c>
      <c r="H2303" t="s">
        <v>15</v>
      </c>
      <c r="I2303" s="26" t="s">
        <v>897</v>
      </c>
    </row>
    <row r="2304" spans="1:9" x14ac:dyDescent="0.3">
      <c r="A2304" s="24">
        <v>45365</v>
      </c>
      <c r="B2304" t="s">
        <v>164</v>
      </c>
      <c r="C2304" t="s">
        <v>53</v>
      </c>
      <c r="D2304">
        <v>0.25</v>
      </c>
      <c r="E2304" t="s">
        <v>54</v>
      </c>
      <c r="F2304" t="s">
        <v>55</v>
      </c>
      <c r="G2304" t="s">
        <v>1722</v>
      </c>
      <c r="H2304" t="s">
        <v>15</v>
      </c>
      <c r="I2304" s="26" t="s">
        <v>897</v>
      </c>
    </row>
    <row r="2305" spans="1:9" x14ac:dyDescent="0.3">
      <c r="A2305" s="24">
        <v>45365</v>
      </c>
      <c r="B2305" t="s">
        <v>164</v>
      </c>
      <c r="C2305" t="s">
        <v>53</v>
      </c>
      <c r="D2305">
        <v>0.8</v>
      </c>
      <c r="E2305" t="s">
        <v>54</v>
      </c>
      <c r="F2305" t="s">
        <v>55</v>
      </c>
      <c r="G2305" t="s">
        <v>1723</v>
      </c>
      <c r="H2305" t="s">
        <v>15</v>
      </c>
      <c r="I2305" s="26" t="s">
        <v>897</v>
      </c>
    </row>
    <row r="2306" spans="1:9" x14ac:dyDescent="0.3">
      <c r="A2306" s="24">
        <v>45365</v>
      </c>
      <c r="B2306" t="s">
        <v>164</v>
      </c>
      <c r="C2306" t="s">
        <v>53</v>
      </c>
      <c r="D2306">
        <v>1.1000000000000001</v>
      </c>
      <c r="E2306" t="s">
        <v>54</v>
      </c>
      <c r="F2306" t="s">
        <v>55</v>
      </c>
      <c r="G2306" t="s">
        <v>1724</v>
      </c>
      <c r="H2306" t="s">
        <v>15</v>
      </c>
      <c r="I2306" s="26" t="s">
        <v>897</v>
      </c>
    </row>
    <row r="2307" spans="1:9" x14ac:dyDescent="0.3">
      <c r="A2307" s="24">
        <v>45365</v>
      </c>
      <c r="B2307" t="s">
        <v>164</v>
      </c>
      <c r="C2307" t="s">
        <v>275</v>
      </c>
      <c r="D2307">
        <v>1.18</v>
      </c>
      <c r="E2307" t="s">
        <v>1074</v>
      </c>
      <c r="F2307" t="s">
        <v>31</v>
      </c>
      <c r="G2307" t="s">
        <v>1725</v>
      </c>
      <c r="H2307" t="s">
        <v>15</v>
      </c>
      <c r="I2307" s="26" t="s">
        <v>897</v>
      </c>
    </row>
    <row r="2308" spans="1:9" x14ac:dyDescent="0.3">
      <c r="A2308" s="24">
        <v>45365</v>
      </c>
      <c r="B2308" t="s">
        <v>164</v>
      </c>
      <c r="C2308" t="s">
        <v>58</v>
      </c>
      <c r="D2308">
        <v>0.2</v>
      </c>
      <c r="E2308" t="s">
        <v>54</v>
      </c>
      <c r="F2308" t="s">
        <v>55</v>
      </c>
      <c r="G2308" t="s">
        <v>1726</v>
      </c>
      <c r="H2308" t="s">
        <v>15</v>
      </c>
      <c r="I2308" s="26" t="s">
        <v>897</v>
      </c>
    </row>
    <row r="2309" spans="1:9" x14ac:dyDescent="0.3">
      <c r="A2309" s="24">
        <v>45365</v>
      </c>
      <c r="B2309" t="s">
        <v>164</v>
      </c>
      <c r="C2309" t="s">
        <v>60</v>
      </c>
      <c r="D2309">
        <v>0.18</v>
      </c>
      <c r="E2309" t="s">
        <v>182</v>
      </c>
      <c r="F2309" t="s">
        <v>55</v>
      </c>
      <c r="G2309" t="s">
        <v>1727</v>
      </c>
      <c r="H2309" t="s">
        <v>15</v>
      </c>
      <c r="I2309" s="26" t="s">
        <v>897</v>
      </c>
    </row>
    <row r="2310" spans="1:9" x14ac:dyDescent="0.3">
      <c r="A2310" s="24">
        <v>45365</v>
      </c>
      <c r="B2310" t="s">
        <v>169</v>
      </c>
      <c r="C2310" t="s">
        <v>29</v>
      </c>
      <c r="D2310">
        <v>6.98</v>
      </c>
      <c r="E2310" t="s">
        <v>170</v>
      </c>
      <c r="F2310" t="s">
        <v>31</v>
      </c>
      <c r="H2310" t="s">
        <v>15</v>
      </c>
      <c r="I2310" s="26" t="s">
        <v>897</v>
      </c>
    </row>
    <row r="2311" spans="1:9" x14ac:dyDescent="0.3">
      <c r="A2311" s="24">
        <v>45365</v>
      </c>
      <c r="B2311" t="s">
        <v>169</v>
      </c>
      <c r="C2311" t="s">
        <v>60</v>
      </c>
      <c r="D2311">
        <v>0.93</v>
      </c>
      <c r="E2311" t="s">
        <v>445</v>
      </c>
      <c r="F2311" t="s">
        <v>31</v>
      </c>
      <c r="G2311" t="s">
        <v>1728</v>
      </c>
      <c r="H2311" t="s">
        <v>15</v>
      </c>
      <c r="I2311" s="26" t="s">
        <v>897</v>
      </c>
    </row>
    <row r="2312" spans="1:9" x14ac:dyDescent="0.3">
      <c r="A2312" s="24">
        <v>45365</v>
      </c>
      <c r="B2312" t="s">
        <v>172</v>
      </c>
      <c r="C2312" t="s">
        <v>173</v>
      </c>
      <c r="D2312">
        <v>8</v>
      </c>
      <c r="E2312" t="s">
        <v>162</v>
      </c>
      <c r="F2312" t="s">
        <v>31</v>
      </c>
      <c r="G2312" t="s">
        <v>1729</v>
      </c>
      <c r="H2312" t="s">
        <v>15</v>
      </c>
      <c r="I2312" s="26" t="s">
        <v>897</v>
      </c>
    </row>
    <row r="2313" spans="1:9" x14ac:dyDescent="0.3">
      <c r="A2313" s="24">
        <v>45365</v>
      </c>
      <c r="B2313" t="s">
        <v>175</v>
      </c>
      <c r="C2313" t="s">
        <v>29</v>
      </c>
      <c r="D2313">
        <v>0.33</v>
      </c>
      <c r="E2313" t="s">
        <v>177</v>
      </c>
      <c r="F2313" t="s">
        <v>31</v>
      </c>
      <c r="H2313" t="s">
        <v>15</v>
      </c>
      <c r="I2313" s="26" t="s">
        <v>897</v>
      </c>
    </row>
    <row r="2314" spans="1:9" x14ac:dyDescent="0.3">
      <c r="A2314" s="24">
        <v>45365</v>
      </c>
      <c r="B2314" t="s">
        <v>175</v>
      </c>
      <c r="C2314" t="s">
        <v>29</v>
      </c>
      <c r="D2314">
        <v>0.43</v>
      </c>
      <c r="E2314" t="s">
        <v>185</v>
      </c>
      <c r="F2314" t="s">
        <v>31</v>
      </c>
      <c r="H2314" t="s">
        <v>15</v>
      </c>
      <c r="I2314" s="26" t="s">
        <v>897</v>
      </c>
    </row>
    <row r="2315" spans="1:9" x14ac:dyDescent="0.3">
      <c r="A2315" s="24">
        <v>45365</v>
      </c>
      <c r="B2315" t="s">
        <v>175</v>
      </c>
      <c r="C2315" t="s">
        <v>29</v>
      </c>
      <c r="D2315">
        <v>0.47</v>
      </c>
      <c r="E2315" t="s">
        <v>127</v>
      </c>
      <c r="F2315" t="s">
        <v>31</v>
      </c>
      <c r="G2315" t="s">
        <v>1730</v>
      </c>
      <c r="H2315" t="s">
        <v>15</v>
      </c>
      <c r="I2315" s="26" t="s">
        <v>897</v>
      </c>
    </row>
    <row r="2316" spans="1:9" x14ac:dyDescent="0.3">
      <c r="A2316" s="24">
        <v>45365</v>
      </c>
      <c r="B2316" t="s">
        <v>175</v>
      </c>
      <c r="C2316" t="s">
        <v>29</v>
      </c>
      <c r="D2316">
        <v>0.5</v>
      </c>
      <c r="E2316" t="s">
        <v>185</v>
      </c>
      <c r="F2316" t="s">
        <v>31</v>
      </c>
      <c r="G2316" t="s">
        <v>1731</v>
      </c>
      <c r="H2316" t="s">
        <v>15</v>
      </c>
      <c r="I2316" s="26" t="s">
        <v>897</v>
      </c>
    </row>
    <row r="2317" spans="1:9" x14ac:dyDescent="0.3">
      <c r="A2317" s="24">
        <v>45365</v>
      </c>
      <c r="B2317" t="s">
        <v>175</v>
      </c>
      <c r="C2317" t="s">
        <v>29</v>
      </c>
      <c r="D2317">
        <v>0.5</v>
      </c>
      <c r="E2317" t="s">
        <v>176</v>
      </c>
      <c r="F2317" t="s">
        <v>31</v>
      </c>
      <c r="G2317" t="s">
        <v>1732</v>
      </c>
      <c r="H2317" t="s">
        <v>15</v>
      </c>
      <c r="I2317" s="26" t="s">
        <v>897</v>
      </c>
    </row>
    <row r="2318" spans="1:9" x14ac:dyDescent="0.3">
      <c r="A2318" s="24">
        <v>45365</v>
      </c>
      <c r="B2318" t="s">
        <v>175</v>
      </c>
      <c r="C2318" t="s">
        <v>29</v>
      </c>
      <c r="D2318">
        <v>0.5</v>
      </c>
      <c r="E2318" t="s">
        <v>177</v>
      </c>
      <c r="F2318" t="s">
        <v>31</v>
      </c>
      <c r="G2318" t="s">
        <v>1733</v>
      </c>
      <c r="H2318" t="s">
        <v>15</v>
      </c>
      <c r="I2318" s="26" t="s">
        <v>897</v>
      </c>
    </row>
    <row r="2319" spans="1:9" x14ac:dyDescent="0.3">
      <c r="A2319" s="24">
        <v>45365</v>
      </c>
      <c r="B2319" t="s">
        <v>175</v>
      </c>
      <c r="C2319" t="s">
        <v>29</v>
      </c>
      <c r="D2319">
        <v>1.1200000000000001</v>
      </c>
      <c r="E2319" t="s">
        <v>182</v>
      </c>
      <c r="F2319" t="s">
        <v>31</v>
      </c>
      <c r="H2319" t="s">
        <v>15</v>
      </c>
      <c r="I2319" s="26" t="s">
        <v>897</v>
      </c>
    </row>
    <row r="2320" spans="1:9" x14ac:dyDescent="0.3">
      <c r="A2320" s="24">
        <v>45365</v>
      </c>
      <c r="B2320" t="s">
        <v>175</v>
      </c>
      <c r="C2320" t="s">
        <v>29</v>
      </c>
      <c r="D2320">
        <v>2</v>
      </c>
      <c r="E2320" t="s">
        <v>170</v>
      </c>
      <c r="F2320" t="s">
        <v>31</v>
      </c>
      <c r="G2320" t="s">
        <v>949</v>
      </c>
      <c r="H2320" t="s">
        <v>15</v>
      </c>
      <c r="I2320" s="26" t="s">
        <v>897</v>
      </c>
    </row>
    <row r="2321" spans="1:9" x14ac:dyDescent="0.3">
      <c r="A2321" s="24">
        <v>45365</v>
      </c>
      <c r="B2321" t="s">
        <v>175</v>
      </c>
      <c r="C2321" t="s">
        <v>29</v>
      </c>
      <c r="D2321">
        <v>2.15</v>
      </c>
      <c r="E2321" t="s">
        <v>182</v>
      </c>
      <c r="F2321" t="s">
        <v>31</v>
      </c>
      <c r="G2321" t="s">
        <v>1734</v>
      </c>
      <c r="H2321" t="s">
        <v>15</v>
      </c>
      <c r="I2321" s="26" t="s">
        <v>897</v>
      </c>
    </row>
    <row r="2322" spans="1:9" x14ac:dyDescent="0.3">
      <c r="A2322" s="24">
        <v>45365</v>
      </c>
      <c r="B2322" t="s">
        <v>188</v>
      </c>
      <c r="C2322" t="s">
        <v>454</v>
      </c>
      <c r="D2322">
        <v>8</v>
      </c>
      <c r="E2322" t="s">
        <v>54</v>
      </c>
      <c r="F2322" t="s">
        <v>55</v>
      </c>
      <c r="G2322" t="s">
        <v>1277</v>
      </c>
      <c r="H2322" t="s">
        <v>15</v>
      </c>
      <c r="I2322" s="26" t="s">
        <v>897</v>
      </c>
    </row>
    <row r="2323" spans="1:9" x14ac:dyDescent="0.3">
      <c r="A2323" s="24">
        <v>45365</v>
      </c>
      <c r="B2323" t="s">
        <v>190</v>
      </c>
      <c r="C2323" t="s">
        <v>89</v>
      </c>
      <c r="D2323">
        <v>8</v>
      </c>
      <c r="E2323" t="s">
        <v>54</v>
      </c>
      <c r="F2323" t="s">
        <v>55</v>
      </c>
      <c r="H2323" t="s">
        <v>15</v>
      </c>
      <c r="I2323" s="26" t="s">
        <v>897</v>
      </c>
    </row>
    <row r="2324" spans="1:9" x14ac:dyDescent="0.3">
      <c r="A2324" s="24">
        <v>45365</v>
      </c>
      <c r="B2324" t="s">
        <v>191</v>
      </c>
      <c r="C2324" t="s">
        <v>89</v>
      </c>
      <c r="D2324">
        <v>8</v>
      </c>
      <c r="E2324" t="s">
        <v>54</v>
      </c>
      <c r="F2324" t="s">
        <v>55</v>
      </c>
      <c r="G2324" t="s">
        <v>1735</v>
      </c>
      <c r="H2324" t="s">
        <v>15</v>
      </c>
      <c r="I2324" s="26" t="s">
        <v>897</v>
      </c>
    </row>
    <row r="2325" spans="1:9" x14ac:dyDescent="0.3">
      <c r="A2325" s="24">
        <v>45365</v>
      </c>
      <c r="B2325" t="s">
        <v>193</v>
      </c>
      <c r="C2325" t="s">
        <v>29</v>
      </c>
      <c r="D2325">
        <v>0.33</v>
      </c>
      <c r="E2325" t="s">
        <v>205</v>
      </c>
      <c r="F2325" t="s">
        <v>31</v>
      </c>
      <c r="G2325" t="s">
        <v>1736</v>
      </c>
      <c r="H2325" t="s">
        <v>15</v>
      </c>
      <c r="I2325" s="26" t="s">
        <v>897</v>
      </c>
    </row>
    <row r="2326" spans="1:9" x14ac:dyDescent="0.3">
      <c r="A2326" s="24">
        <v>45365</v>
      </c>
      <c r="B2326" t="s">
        <v>193</v>
      </c>
      <c r="C2326" t="s">
        <v>29</v>
      </c>
      <c r="D2326">
        <v>0.38</v>
      </c>
      <c r="E2326" t="s">
        <v>953</v>
      </c>
      <c r="F2326" t="s">
        <v>31</v>
      </c>
      <c r="G2326" t="s">
        <v>1737</v>
      </c>
      <c r="H2326" t="s">
        <v>15</v>
      </c>
      <c r="I2326" s="26" t="s">
        <v>897</v>
      </c>
    </row>
    <row r="2327" spans="1:9" x14ac:dyDescent="0.3">
      <c r="A2327" s="24">
        <v>45365</v>
      </c>
      <c r="B2327" t="s">
        <v>193</v>
      </c>
      <c r="C2327" t="s">
        <v>29</v>
      </c>
      <c r="D2327">
        <v>0.42</v>
      </c>
      <c r="E2327" t="s">
        <v>102</v>
      </c>
      <c r="F2327" t="s">
        <v>31</v>
      </c>
      <c r="G2327" t="s">
        <v>1738</v>
      </c>
      <c r="H2327" t="s">
        <v>15</v>
      </c>
      <c r="I2327" s="26" t="s">
        <v>897</v>
      </c>
    </row>
    <row r="2328" spans="1:9" x14ac:dyDescent="0.3">
      <c r="A2328" s="24">
        <v>45365</v>
      </c>
      <c r="B2328" t="s">
        <v>193</v>
      </c>
      <c r="C2328" t="s">
        <v>29</v>
      </c>
      <c r="D2328">
        <v>0.42</v>
      </c>
      <c r="E2328" t="s">
        <v>104</v>
      </c>
      <c r="F2328" t="s">
        <v>31</v>
      </c>
      <c r="G2328" t="s">
        <v>1739</v>
      </c>
      <c r="H2328" t="s">
        <v>15</v>
      </c>
      <c r="I2328" s="26" t="s">
        <v>897</v>
      </c>
    </row>
    <row r="2329" spans="1:9" x14ac:dyDescent="0.3">
      <c r="A2329" s="24">
        <v>45365</v>
      </c>
      <c r="B2329" t="s">
        <v>193</v>
      </c>
      <c r="C2329" t="s">
        <v>29</v>
      </c>
      <c r="D2329">
        <v>0.62</v>
      </c>
      <c r="E2329" t="s">
        <v>195</v>
      </c>
      <c r="F2329" t="s">
        <v>31</v>
      </c>
      <c r="G2329" t="s">
        <v>1740</v>
      </c>
      <c r="H2329" t="s">
        <v>15</v>
      </c>
      <c r="I2329" s="26" t="s">
        <v>897</v>
      </c>
    </row>
    <row r="2330" spans="1:9" x14ac:dyDescent="0.3">
      <c r="A2330" s="24">
        <v>45365</v>
      </c>
      <c r="B2330" t="s">
        <v>193</v>
      </c>
      <c r="C2330" t="s">
        <v>29</v>
      </c>
      <c r="D2330">
        <v>0.97</v>
      </c>
      <c r="E2330" t="s">
        <v>205</v>
      </c>
      <c r="F2330" t="s">
        <v>31</v>
      </c>
      <c r="G2330" t="s">
        <v>1741</v>
      </c>
      <c r="H2330" t="s">
        <v>15</v>
      </c>
      <c r="I2330" s="26" t="s">
        <v>897</v>
      </c>
    </row>
    <row r="2331" spans="1:9" x14ac:dyDescent="0.3">
      <c r="A2331" s="24">
        <v>45365</v>
      </c>
      <c r="B2331" t="s">
        <v>193</v>
      </c>
      <c r="C2331" t="s">
        <v>202</v>
      </c>
      <c r="D2331">
        <v>0.56999999999999995</v>
      </c>
      <c r="E2331" t="s">
        <v>295</v>
      </c>
      <c r="F2331" t="s">
        <v>55</v>
      </c>
      <c r="G2331" t="s">
        <v>1742</v>
      </c>
      <c r="H2331" t="s">
        <v>15</v>
      </c>
      <c r="I2331" s="26" t="s">
        <v>897</v>
      </c>
    </row>
    <row r="2332" spans="1:9" x14ac:dyDescent="0.3">
      <c r="A2332" s="24">
        <v>45365</v>
      </c>
      <c r="B2332" t="s">
        <v>193</v>
      </c>
      <c r="C2332" t="s">
        <v>202</v>
      </c>
      <c r="D2332">
        <v>1.18</v>
      </c>
      <c r="E2332" t="s">
        <v>205</v>
      </c>
      <c r="F2332" t="s">
        <v>31</v>
      </c>
      <c r="G2332" t="s">
        <v>1743</v>
      </c>
      <c r="H2332" t="s">
        <v>15</v>
      </c>
      <c r="I2332" s="26" t="s">
        <v>897</v>
      </c>
    </row>
    <row r="2333" spans="1:9" x14ac:dyDescent="0.3">
      <c r="A2333" s="24">
        <v>45365</v>
      </c>
      <c r="B2333" t="s">
        <v>193</v>
      </c>
      <c r="C2333" t="s">
        <v>53</v>
      </c>
      <c r="D2333">
        <v>0.15</v>
      </c>
      <c r="E2333" t="s">
        <v>54</v>
      </c>
      <c r="F2333" t="s">
        <v>55</v>
      </c>
      <c r="G2333" t="s">
        <v>1744</v>
      </c>
      <c r="H2333" t="s">
        <v>15</v>
      </c>
      <c r="I2333" s="26" t="s">
        <v>897</v>
      </c>
    </row>
    <row r="2334" spans="1:9" x14ac:dyDescent="0.3">
      <c r="A2334" s="24">
        <v>45365</v>
      </c>
      <c r="B2334" t="s">
        <v>193</v>
      </c>
      <c r="C2334" t="s">
        <v>53</v>
      </c>
      <c r="D2334">
        <v>0.15</v>
      </c>
      <c r="E2334" t="s">
        <v>54</v>
      </c>
      <c r="F2334" t="s">
        <v>55</v>
      </c>
      <c r="G2334" t="s">
        <v>1745</v>
      </c>
      <c r="H2334" t="s">
        <v>15</v>
      </c>
      <c r="I2334" s="26" t="s">
        <v>897</v>
      </c>
    </row>
    <row r="2335" spans="1:9" x14ac:dyDescent="0.3">
      <c r="A2335" s="24">
        <v>45365</v>
      </c>
      <c r="B2335" t="s">
        <v>193</v>
      </c>
      <c r="C2335" t="s">
        <v>53</v>
      </c>
      <c r="D2335">
        <v>0.17</v>
      </c>
      <c r="E2335" t="s">
        <v>54</v>
      </c>
      <c r="F2335" t="s">
        <v>55</v>
      </c>
      <c r="G2335" t="s">
        <v>1746</v>
      </c>
      <c r="H2335" t="s">
        <v>15</v>
      </c>
      <c r="I2335" s="26" t="s">
        <v>897</v>
      </c>
    </row>
    <row r="2336" spans="1:9" x14ac:dyDescent="0.3">
      <c r="A2336" s="24">
        <v>45365</v>
      </c>
      <c r="B2336" t="s">
        <v>193</v>
      </c>
      <c r="C2336" t="s">
        <v>60</v>
      </c>
      <c r="D2336">
        <v>0.05</v>
      </c>
      <c r="E2336" t="s">
        <v>162</v>
      </c>
      <c r="F2336" t="s">
        <v>31</v>
      </c>
      <c r="G2336" t="s">
        <v>1747</v>
      </c>
      <c r="H2336" t="s">
        <v>15</v>
      </c>
      <c r="I2336" s="26" t="s">
        <v>897</v>
      </c>
    </row>
    <row r="2337" spans="1:9" x14ac:dyDescent="0.3">
      <c r="A2337" s="24">
        <v>45365</v>
      </c>
      <c r="B2337" t="s">
        <v>193</v>
      </c>
      <c r="C2337" t="s">
        <v>60</v>
      </c>
      <c r="D2337">
        <v>0.15</v>
      </c>
      <c r="E2337" t="s">
        <v>195</v>
      </c>
      <c r="F2337" t="s">
        <v>31</v>
      </c>
      <c r="G2337" t="s">
        <v>1748</v>
      </c>
      <c r="H2337" t="s">
        <v>15</v>
      </c>
      <c r="I2337" s="26" t="s">
        <v>897</v>
      </c>
    </row>
    <row r="2338" spans="1:9" x14ac:dyDescent="0.3">
      <c r="A2338" s="24">
        <v>45365</v>
      </c>
      <c r="B2338" t="s">
        <v>193</v>
      </c>
      <c r="C2338" t="s">
        <v>60</v>
      </c>
      <c r="D2338">
        <v>0.37</v>
      </c>
      <c r="E2338" t="s">
        <v>195</v>
      </c>
      <c r="F2338" t="s">
        <v>31</v>
      </c>
      <c r="G2338" t="s">
        <v>1749</v>
      </c>
      <c r="H2338" t="s">
        <v>15</v>
      </c>
      <c r="I2338" s="26" t="s">
        <v>897</v>
      </c>
    </row>
    <row r="2339" spans="1:9" x14ac:dyDescent="0.3">
      <c r="A2339" s="24">
        <v>45365</v>
      </c>
      <c r="B2339" t="s">
        <v>193</v>
      </c>
      <c r="C2339" t="s">
        <v>60</v>
      </c>
      <c r="D2339">
        <v>1.03</v>
      </c>
      <c r="E2339" t="s">
        <v>657</v>
      </c>
      <c r="F2339" t="s">
        <v>31</v>
      </c>
      <c r="G2339" t="s">
        <v>1750</v>
      </c>
      <c r="H2339" t="s">
        <v>15</v>
      </c>
      <c r="I2339" s="26" t="s">
        <v>897</v>
      </c>
    </row>
    <row r="2340" spans="1:9" x14ac:dyDescent="0.3">
      <c r="A2340" s="24">
        <v>45365</v>
      </c>
      <c r="B2340" t="s">
        <v>193</v>
      </c>
      <c r="C2340" t="s">
        <v>60</v>
      </c>
      <c r="D2340">
        <v>1.52</v>
      </c>
      <c r="E2340" t="s">
        <v>162</v>
      </c>
      <c r="F2340" t="s">
        <v>31</v>
      </c>
      <c r="G2340" t="s">
        <v>1751</v>
      </c>
      <c r="H2340" t="s">
        <v>15</v>
      </c>
      <c r="I2340" s="26" t="s">
        <v>897</v>
      </c>
    </row>
    <row r="2341" spans="1:9" x14ac:dyDescent="0.3">
      <c r="A2341" s="24">
        <v>45365</v>
      </c>
      <c r="B2341" t="s">
        <v>212</v>
      </c>
      <c r="C2341" t="s">
        <v>1752</v>
      </c>
      <c r="D2341">
        <v>0.18</v>
      </c>
      <c r="E2341" t="s">
        <v>1170</v>
      </c>
      <c r="F2341" t="s">
        <v>55</v>
      </c>
      <c r="G2341" t="s">
        <v>1753</v>
      </c>
      <c r="H2341" t="s">
        <v>15</v>
      </c>
      <c r="I2341" s="26" t="s">
        <v>897</v>
      </c>
    </row>
    <row r="2342" spans="1:9" x14ac:dyDescent="0.3">
      <c r="A2342" s="24">
        <v>45365</v>
      </c>
      <c r="B2342" t="s">
        <v>212</v>
      </c>
      <c r="C2342" t="s">
        <v>85</v>
      </c>
      <c r="D2342">
        <v>0.15</v>
      </c>
      <c r="E2342" t="s">
        <v>1754</v>
      </c>
      <c r="F2342" t="s">
        <v>55</v>
      </c>
      <c r="G2342" t="s">
        <v>1755</v>
      </c>
      <c r="H2342" t="s">
        <v>15</v>
      </c>
      <c r="I2342" s="26" t="s">
        <v>897</v>
      </c>
    </row>
    <row r="2343" spans="1:9" x14ac:dyDescent="0.3">
      <c r="A2343" s="24">
        <v>45365</v>
      </c>
      <c r="B2343" t="s">
        <v>212</v>
      </c>
      <c r="C2343" t="s">
        <v>85</v>
      </c>
      <c r="D2343">
        <v>0.15</v>
      </c>
      <c r="E2343" t="s">
        <v>1756</v>
      </c>
      <c r="F2343" t="s">
        <v>55</v>
      </c>
      <c r="G2343" t="s">
        <v>1757</v>
      </c>
      <c r="H2343" t="s">
        <v>15</v>
      </c>
      <c r="I2343" s="26" t="s">
        <v>897</v>
      </c>
    </row>
    <row r="2344" spans="1:9" x14ac:dyDescent="0.3">
      <c r="A2344" s="24">
        <v>45365</v>
      </c>
      <c r="B2344" t="s">
        <v>212</v>
      </c>
      <c r="C2344" t="s">
        <v>85</v>
      </c>
      <c r="D2344">
        <v>0.18</v>
      </c>
      <c r="E2344" t="s">
        <v>967</v>
      </c>
      <c r="F2344" t="s">
        <v>55</v>
      </c>
      <c r="G2344" t="s">
        <v>489</v>
      </c>
      <c r="H2344" t="s">
        <v>15</v>
      </c>
      <c r="I2344" s="26" t="s">
        <v>897</v>
      </c>
    </row>
    <row r="2345" spans="1:9" x14ac:dyDescent="0.3">
      <c r="A2345" s="24">
        <v>45365</v>
      </c>
      <c r="B2345" t="s">
        <v>212</v>
      </c>
      <c r="C2345" t="s">
        <v>85</v>
      </c>
      <c r="D2345">
        <v>0.23</v>
      </c>
      <c r="E2345" t="s">
        <v>54</v>
      </c>
      <c r="F2345" t="s">
        <v>55</v>
      </c>
      <c r="G2345" t="s">
        <v>1758</v>
      </c>
      <c r="H2345" t="s">
        <v>15</v>
      </c>
      <c r="I2345" s="26" t="s">
        <v>897</v>
      </c>
    </row>
    <row r="2346" spans="1:9" x14ac:dyDescent="0.3">
      <c r="A2346" s="24">
        <v>45365</v>
      </c>
      <c r="B2346" t="s">
        <v>212</v>
      </c>
      <c r="C2346" t="s">
        <v>85</v>
      </c>
      <c r="D2346">
        <v>0.23</v>
      </c>
      <c r="E2346" t="s">
        <v>1759</v>
      </c>
      <c r="F2346" t="s">
        <v>55</v>
      </c>
      <c r="G2346" t="s">
        <v>1760</v>
      </c>
      <c r="H2346" t="s">
        <v>15</v>
      </c>
      <c r="I2346" s="26" t="s">
        <v>897</v>
      </c>
    </row>
    <row r="2347" spans="1:9" x14ac:dyDescent="0.3">
      <c r="A2347" s="24">
        <v>45365</v>
      </c>
      <c r="B2347" t="s">
        <v>212</v>
      </c>
      <c r="C2347" t="s">
        <v>85</v>
      </c>
      <c r="D2347">
        <v>0.25</v>
      </c>
      <c r="E2347" t="s">
        <v>1761</v>
      </c>
      <c r="F2347" t="s">
        <v>55</v>
      </c>
      <c r="G2347" t="s">
        <v>1762</v>
      </c>
      <c r="H2347" t="s">
        <v>15</v>
      </c>
      <c r="I2347" s="26" t="s">
        <v>897</v>
      </c>
    </row>
    <row r="2348" spans="1:9" x14ac:dyDescent="0.3">
      <c r="A2348" s="24">
        <v>45365</v>
      </c>
      <c r="B2348" t="s">
        <v>212</v>
      </c>
      <c r="C2348" t="s">
        <v>85</v>
      </c>
      <c r="D2348">
        <v>0.25</v>
      </c>
      <c r="E2348" t="s">
        <v>304</v>
      </c>
      <c r="F2348" t="s">
        <v>55</v>
      </c>
      <c r="G2348" t="s">
        <v>1763</v>
      </c>
      <c r="H2348" t="s">
        <v>15</v>
      </c>
      <c r="I2348" s="26" t="s">
        <v>897</v>
      </c>
    </row>
    <row r="2349" spans="1:9" x14ac:dyDescent="0.3">
      <c r="A2349" s="24">
        <v>45365</v>
      </c>
      <c r="B2349" t="s">
        <v>212</v>
      </c>
      <c r="C2349" t="s">
        <v>85</v>
      </c>
      <c r="D2349">
        <v>0.3</v>
      </c>
      <c r="E2349" t="s">
        <v>81</v>
      </c>
      <c r="F2349" t="s">
        <v>55</v>
      </c>
      <c r="G2349" t="s">
        <v>1764</v>
      </c>
      <c r="H2349" t="s">
        <v>15</v>
      </c>
      <c r="I2349" s="26" t="s">
        <v>897</v>
      </c>
    </row>
    <row r="2350" spans="1:9" x14ac:dyDescent="0.3">
      <c r="A2350" s="24">
        <v>45365</v>
      </c>
      <c r="B2350" t="s">
        <v>212</v>
      </c>
      <c r="C2350" t="s">
        <v>85</v>
      </c>
      <c r="D2350">
        <v>0.48</v>
      </c>
      <c r="E2350" t="s">
        <v>81</v>
      </c>
      <c r="F2350" t="s">
        <v>55</v>
      </c>
      <c r="G2350" t="s">
        <v>1765</v>
      </c>
      <c r="H2350" t="s">
        <v>15</v>
      </c>
      <c r="I2350" s="26" t="s">
        <v>897</v>
      </c>
    </row>
    <row r="2351" spans="1:9" x14ac:dyDescent="0.3">
      <c r="A2351" s="24">
        <v>45365</v>
      </c>
      <c r="B2351" t="s">
        <v>212</v>
      </c>
      <c r="C2351" t="s">
        <v>53</v>
      </c>
      <c r="D2351">
        <v>0.25</v>
      </c>
      <c r="E2351" t="s">
        <v>54</v>
      </c>
      <c r="F2351" t="s">
        <v>55</v>
      </c>
      <c r="G2351" t="s">
        <v>1766</v>
      </c>
      <c r="H2351" t="s">
        <v>15</v>
      </c>
      <c r="I2351" s="26" t="s">
        <v>897</v>
      </c>
    </row>
    <row r="2352" spans="1:9" x14ac:dyDescent="0.3">
      <c r="A2352" s="24">
        <v>45365</v>
      </c>
      <c r="B2352" t="s">
        <v>212</v>
      </c>
      <c r="C2352" t="s">
        <v>53</v>
      </c>
      <c r="D2352">
        <v>0.25</v>
      </c>
      <c r="E2352" t="s">
        <v>54</v>
      </c>
      <c r="F2352" t="s">
        <v>55</v>
      </c>
      <c r="G2352" t="s">
        <v>222</v>
      </c>
      <c r="H2352" t="s">
        <v>15</v>
      </c>
      <c r="I2352" s="26" t="s">
        <v>897</v>
      </c>
    </row>
    <row r="2353" spans="1:9" x14ac:dyDescent="0.3">
      <c r="A2353" s="24">
        <v>45365</v>
      </c>
      <c r="B2353" t="s">
        <v>212</v>
      </c>
      <c r="C2353" t="s">
        <v>53</v>
      </c>
      <c r="D2353">
        <v>0.37</v>
      </c>
      <c r="E2353" t="s">
        <v>54</v>
      </c>
      <c r="F2353" t="s">
        <v>55</v>
      </c>
      <c r="H2353" t="s">
        <v>15</v>
      </c>
      <c r="I2353" s="26" t="s">
        <v>897</v>
      </c>
    </row>
    <row r="2354" spans="1:9" x14ac:dyDescent="0.3">
      <c r="A2354" s="24">
        <v>45365</v>
      </c>
      <c r="B2354" t="s">
        <v>212</v>
      </c>
      <c r="C2354" t="s">
        <v>1767</v>
      </c>
      <c r="D2354">
        <v>0.18</v>
      </c>
      <c r="E2354" t="s">
        <v>114</v>
      </c>
      <c r="F2354" t="s">
        <v>55</v>
      </c>
      <c r="G2354" t="s">
        <v>1768</v>
      </c>
      <c r="H2354" t="s">
        <v>15</v>
      </c>
      <c r="I2354" s="26" t="s">
        <v>897</v>
      </c>
    </row>
    <row r="2355" spans="1:9" x14ac:dyDescent="0.3">
      <c r="A2355" s="24">
        <v>45365</v>
      </c>
      <c r="B2355" t="s">
        <v>212</v>
      </c>
      <c r="C2355" t="s">
        <v>1767</v>
      </c>
      <c r="D2355">
        <v>0.32</v>
      </c>
      <c r="E2355" t="s">
        <v>114</v>
      </c>
      <c r="F2355" t="s">
        <v>31</v>
      </c>
      <c r="G2355" t="s">
        <v>1768</v>
      </c>
      <c r="H2355" t="s">
        <v>15</v>
      </c>
      <c r="I2355" s="26" t="s">
        <v>897</v>
      </c>
    </row>
    <row r="2356" spans="1:9" x14ac:dyDescent="0.3">
      <c r="A2356" s="24">
        <v>45365</v>
      </c>
      <c r="B2356" t="s">
        <v>212</v>
      </c>
      <c r="C2356" t="s">
        <v>225</v>
      </c>
      <c r="D2356">
        <v>0.62</v>
      </c>
      <c r="E2356" t="s">
        <v>81</v>
      </c>
      <c r="F2356" t="s">
        <v>55</v>
      </c>
      <c r="G2356" t="s">
        <v>1769</v>
      </c>
      <c r="H2356" t="s">
        <v>15</v>
      </c>
      <c r="I2356" s="26" t="s">
        <v>897</v>
      </c>
    </row>
    <row r="2357" spans="1:9" x14ac:dyDescent="0.3">
      <c r="A2357" s="24">
        <v>45365</v>
      </c>
      <c r="B2357" t="s">
        <v>212</v>
      </c>
      <c r="C2357" t="s">
        <v>225</v>
      </c>
      <c r="D2357">
        <v>0.95</v>
      </c>
      <c r="E2357" t="s">
        <v>1605</v>
      </c>
      <c r="F2357" t="s">
        <v>55</v>
      </c>
      <c r="G2357" t="s">
        <v>1768</v>
      </c>
      <c r="H2357" t="s">
        <v>15</v>
      </c>
      <c r="I2357" s="26" t="s">
        <v>897</v>
      </c>
    </row>
    <row r="2358" spans="1:9" x14ac:dyDescent="0.3">
      <c r="A2358" s="24">
        <v>45365</v>
      </c>
      <c r="B2358" t="s">
        <v>212</v>
      </c>
      <c r="C2358" t="s">
        <v>225</v>
      </c>
      <c r="D2358">
        <v>1.02</v>
      </c>
      <c r="E2358" t="s">
        <v>195</v>
      </c>
      <c r="F2358" t="s">
        <v>31</v>
      </c>
      <c r="G2358" t="s">
        <v>1770</v>
      </c>
      <c r="H2358" t="s">
        <v>15</v>
      </c>
      <c r="I2358" s="26" t="s">
        <v>897</v>
      </c>
    </row>
    <row r="2359" spans="1:9" x14ac:dyDescent="0.3">
      <c r="A2359" s="24">
        <v>45365</v>
      </c>
      <c r="B2359" t="s">
        <v>212</v>
      </c>
      <c r="C2359" t="s">
        <v>1771</v>
      </c>
      <c r="D2359">
        <v>0.18</v>
      </c>
      <c r="E2359" t="s">
        <v>1772</v>
      </c>
      <c r="F2359" t="s">
        <v>55</v>
      </c>
      <c r="G2359" t="s">
        <v>1773</v>
      </c>
      <c r="H2359" t="s">
        <v>15</v>
      </c>
      <c r="I2359" s="26" t="s">
        <v>897</v>
      </c>
    </row>
    <row r="2360" spans="1:9" x14ac:dyDescent="0.3">
      <c r="A2360" s="24">
        <v>45365</v>
      </c>
      <c r="B2360" t="s">
        <v>212</v>
      </c>
      <c r="C2360" t="s">
        <v>232</v>
      </c>
      <c r="D2360">
        <v>0.33</v>
      </c>
      <c r="E2360" t="s">
        <v>1170</v>
      </c>
      <c r="F2360" t="s">
        <v>31</v>
      </c>
      <c r="H2360" t="s">
        <v>15</v>
      </c>
      <c r="I2360" s="26" t="s">
        <v>897</v>
      </c>
    </row>
    <row r="2361" spans="1:9" x14ac:dyDescent="0.3">
      <c r="A2361" s="24">
        <v>45365</v>
      </c>
      <c r="B2361" t="s">
        <v>212</v>
      </c>
      <c r="C2361" t="s">
        <v>148</v>
      </c>
      <c r="D2361">
        <v>0.32</v>
      </c>
      <c r="E2361" t="s">
        <v>54</v>
      </c>
      <c r="F2361" t="s">
        <v>55</v>
      </c>
      <c r="G2361" t="s">
        <v>1774</v>
      </c>
      <c r="H2361" t="s">
        <v>15</v>
      </c>
      <c r="I2361" s="26" t="s">
        <v>897</v>
      </c>
    </row>
    <row r="2362" spans="1:9" x14ac:dyDescent="0.3">
      <c r="A2362" s="24">
        <v>45365</v>
      </c>
      <c r="B2362" t="s">
        <v>212</v>
      </c>
      <c r="C2362" t="s">
        <v>148</v>
      </c>
      <c r="D2362">
        <v>0.77</v>
      </c>
      <c r="E2362" t="s">
        <v>54</v>
      </c>
      <c r="F2362" t="s">
        <v>55</v>
      </c>
      <c r="G2362" t="s">
        <v>1775</v>
      </c>
      <c r="H2362" t="s">
        <v>15</v>
      </c>
      <c r="I2362" s="26" t="s">
        <v>897</v>
      </c>
    </row>
    <row r="2363" spans="1:9" x14ac:dyDescent="0.3">
      <c r="A2363" s="24">
        <v>45365</v>
      </c>
      <c r="B2363" t="s">
        <v>212</v>
      </c>
      <c r="C2363" t="s">
        <v>58</v>
      </c>
      <c r="D2363">
        <v>0.08</v>
      </c>
      <c r="E2363" t="s">
        <v>54</v>
      </c>
      <c r="F2363" t="s">
        <v>55</v>
      </c>
      <c r="G2363" t="s">
        <v>1776</v>
      </c>
      <c r="H2363" t="s">
        <v>15</v>
      </c>
      <c r="I2363" s="26" t="s">
        <v>897</v>
      </c>
    </row>
    <row r="2364" spans="1:9" x14ac:dyDescent="0.3">
      <c r="A2364" s="24">
        <v>45365</v>
      </c>
      <c r="B2364" t="s">
        <v>498</v>
      </c>
      <c r="C2364" t="s">
        <v>197</v>
      </c>
      <c r="D2364">
        <v>0.83</v>
      </c>
      <c r="E2364" t="s">
        <v>54</v>
      </c>
      <c r="F2364" t="s">
        <v>55</v>
      </c>
      <c r="G2364" t="s">
        <v>1777</v>
      </c>
      <c r="H2364" t="s">
        <v>15</v>
      </c>
      <c r="I2364" s="26" t="s">
        <v>897</v>
      </c>
    </row>
    <row r="2365" spans="1:9" x14ac:dyDescent="0.3">
      <c r="A2365" s="24">
        <v>45365</v>
      </c>
      <c r="B2365" t="s">
        <v>498</v>
      </c>
      <c r="C2365" t="s">
        <v>123</v>
      </c>
      <c r="D2365">
        <v>2</v>
      </c>
      <c r="E2365" t="s">
        <v>54</v>
      </c>
      <c r="F2365" t="s">
        <v>55</v>
      </c>
      <c r="G2365" t="s">
        <v>1778</v>
      </c>
      <c r="H2365" t="s">
        <v>15</v>
      </c>
      <c r="I2365" s="26" t="s">
        <v>897</v>
      </c>
    </row>
    <row r="2366" spans="1:9" x14ac:dyDescent="0.3">
      <c r="A2366" s="24">
        <v>45365</v>
      </c>
      <c r="B2366" t="s">
        <v>240</v>
      </c>
      <c r="C2366" t="s">
        <v>29</v>
      </c>
      <c r="D2366">
        <v>0.3</v>
      </c>
      <c r="E2366" t="s">
        <v>242</v>
      </c>
      <c r="F2366" t="s">
        <v>31</v>
      </c>
      <c r="H2366" t="s">
        <v>15</v>
      </c>
      <c r="I2366" s="26" t="s">
        <v>897</v>
      </c>
    </row>
    <row r="2367" spans="1:9" x14ac:dyDescent="0.3">
      <c r="A2367" s="24">
        <v>45365</v>
      </c>
      <c r="B2367" t="s">
        <v>240</v>
      </c>
      <c r="C2367" t="s">
        <v>29</v>
      </c>
      <c r="D2367">
        <v>0.47</v>
      </c>
      <c r="E2367" t="s">
        <v>217</v>
      </c>
      <c r="F2367" t="s">
        <v>31</v>
      </c>
      <c r="H2367" t="s">
        <v>15</v>
      </c>
      <c r="I2367" s="26" t="s">
        <v>897</v>
      </c>
    </row>
    <row r="2368" spans="1:9" x14ac:dyDescent="0.3">
      <c r="A2368" s="24">
        <v>45365</v>
      </c>
      <c r="B2368" t="s">
        <v>240</v>
      </c>
      <c r="C2368" t="s">
        <v>29</v>
      </c>
      <c r="D2368">
        <v>5.77</v>
      </c>
      <c r="E2368" t="s">
        <v>81</v>
      </c>
      <c r="F2368" t="s">
        <v>31</v>
      </c>
      <c r="H2368" t="s">
        <v>15</v>
      </c>
      <c r="I2368" s="26" t="s">
        <v>897</v>
      </c>
    </row>
    <row r="2369" spans="1:9" x14ac:dyDescent="0.3">
      <c r="A2369" s="24">
        <v>45365</v>
      </c>
      <c r="B2369" t="s">
        <v>240</v>
      </c>
      <c r="C2369" t="s">
        <v>58</v>
      </c>
      <c r="D2369">
        <v>0.02</v>
      </c>
      <c r="E2369" t="s">
        <v>54</v>
      </c>
      <c r="F2369" t="s">
        <v>55</v>
      </c>
      <c r="G2369" t="s">
        <v>1779</v>
      </c>
      <c r="H2369" t="s">
        <v>15</v>
      </c>
      <c r="I2369" s="26" t="s">
        <v>897</v>
      </c>
    </row>
    <row r="2370" spans="1:9" x14ac:dyDescent="0.3">
      <c r="A2370" s="24">
        <v>45365</v>
      </c>
      <c r="B2370" t="s">
        <v>240</v>
      </c>
      <c r="C2370" t="s">
        <v>60</v>
      </c>
      <c r="D2370">
        <v>1.58</v>
      </c>
      <c r="E2370" t="s">
        <v>217</v>
      </c>
      <c r="F2370" t="s">
        <v>31</v>
      </c>
      <c r="H2370" t="s">
        <v>15</v>
      </c>
      <c r="I2370" s="26" t="s">
        <v>897</v>
      </c>
    </row>
    <row r="2371" spans="1:9" x14ac:dyDescent="0.3">
      <c r="A2371" s="24">
        <v>45365</v>
      </c>
      <c r="B2371" t="s">
        <v>249</v>
      </c>
      <c r="C2371" t="s">
        <v>250</v>
      </c>
      <c r="D2371">
        <v>1.5</v>
      </c>
      <c r="E2371" t="s">
        <v>81</v>
      </c>
      <c r="F2371" t="s">
        <v>55</v>
      </c>
      <c r="G2371" t="s">
        <v>1780</v>
      </c>
      <c r="H2371" t="s">
        <v>15</v>
      </c>
      <c r="I2371" s="26" t="s">
        <v>897</v>
      </c>
    </row>
    <row r="2372" spans="1:9" x14ac:dyDescent="0.3">
      <c r="A2372" s="24">
        <v>45365</v>
      </c>
      <c r="B2372" t="s">
        <v>249</v>
      </c>
      <c r="C2372" t="s">
        <v>252</v>
      </c>
      <c r="D2372">
        <v>1</v>
      </c>
      <c r="E2372" t="s">
        <v>54</v>
      </c>
      <c r="F2372" t="s">
        <v>55</v>
      </c>
      <c r="H2372" t="s">
        <v>15</v>
      </c>
      <c r="I2372" s="26" t="s">
        <v>897</v>
      </c>
    </row>
    <row r="2373" spans="1:9" x14ac:dyDescent="0.3">
      <c r="A2373" s="24">
        <v>45365</v>
      </c>
      <c r="B2373" t="s">
        <v>249</v>
      </c>
      <c r="C2373" t="s">
        <v>252</v>
      </c>
      <c r="D2373">
        <v>1</v>
      </c>
      <c r="E2373" t="s">
        <v>54</v>
      </c>
      <c r="F2373" t="s">
        <v>55</v>
      </c>
      <c r="G2373" t="s">
        <v>1781</v>
      </c>
      <c r="H2373" t="s">
        <v>15</v>
      </c>
      <c r="I2373" s="26" t="s">
        <v>897</v>
      </c>
    </row>
    <row r="2374" spans="1:9" x14ac:dyDescent="0.3">
      <c r="A2374" s="24">
        <v>45365</v>
      </c>
      <c r="B2374" t="s">
        <v>249</v>
      </c>
      <c r="C2374" t="s">
        <v>252</v>
      </c>
      <c r="D2374">
        <v>4</v>
      </c>
      <c r="E2374" t="s">
        <v>81</v>
      </c>
      <c r="F2374" t="s">
        <v>31</v>
      </c>
      <c r="H2374" t="s">
        <v>15</v>
      </c>
      <c r="I2374" s="26" t="s">
        <v>897</v>
      </c>
    </row>
    <row r="2375" spans="1:9" x14ac:dyDescent="0.3">
      <c r="A2375" s="24">
        <v>45365</v>
      </c>
      <c r="B2375" t="s">
        <v>249</v>
      </c>
      <c r="C2375" t="s">
        <v>53</v>
      </c>
      <c r="D2375">
        <v>0.5</v>
      </c>
      <c r="E2375" t="s">
        <v>54</v>
      </c>
      <c r="F2375" t="s">
        <v>55</v>
      </c>
      <c r="G2375" t="s">
        <v>110</v>
      </c>
      <c r="H2375" t="s">
        <v>15</v>
      </c>
      <c r="I2375" s="26" t="s">
        <v>897</v>
      </c>
    </row>
    <row r="2376" spans="1:9" x14ac:dyDescent="0.3">
      <c r="A2376" s="24">
        <v>45365</v>
      </c>
      <c r="B2376" t="s">
        <v>256</v>
      </c>
      <c r="C2376" t="s">
        <v>53</v>
      </c>
      <c r="D2376">
        <v>1.5</v>
      </c>
      <c r="E2376" t="s">
        <v>54</v>
      </c>
      <c r="F2376" t="s">
        <v>55</v>
      </c>
      <c r="G2376" t="s">
        <v>1782</v>
      </c>
      <c r="H2376" t="s">
        <v>15</v>
      </c>
      <c r="I2376" s="26" t="s">
        <v>897</v>
      </c>
    </row>
    <row r="2377" spans="1:9" x14ac:dyDescent="0.3">
      <c r="A2377" s="24">
        <v>45365</v>
      </c>
      <c r="B2377" t="s">
        <v>256</v>
      </c>
      <c r="C2377" t="s">
        <v>53</v>
      </c>
      <c r="D2377">
        <v>7.45</v>
      </c>
      <c r="E2377" t="s">
        <v>54</v>
      </c>
      <c r="F2377" t="s">
        <v>55</v>
      </c>
      <c r="G2377" t="s">
        <v>258</v>
      </c>
      <c r="H2377" t="s">
        <v>15</v>
      </c>
      <c r="I2377" s="26" t="s">
        <v>897</v>
      </c>
    </row>
    <row r="2378" spans="1:9" x14ac:dyDescent="0.3">
      <c r="A2378" s="24">
        <v>45365</v>
      </c>
      <c r="B2378" t="s">
        <v>262</v>
      </c>
      <c r="C2378" t="s">
        <v>29</v>
      </c>
      <c r="D2378">
        <v>0.17</v>
      </c>
      <c r="E2378" t="s">
        <v>1180</v>
      </c>
      <c r="F2378" t="s">
        <v>31</v>
      </c>
      <c r="G2378" t="s">
        <v>1783</v>
      </c>
      <c r="H2378" t="s">
        <v>15</v>
      </c>
      <c r="I2378" s="26" t="s">
        <v>897</v>
      </c>
    </row>
    <row r="2379" spans="1:9" x14ac:dyDescent="0.3">
      <c r="A2379" s="24">
        <v>45365</v>
      </c>
      <c r="B2379" t="s">
        <v>262</v>
      </c>
      <c r="C2379" t="s">
        <v>29</v>
      </c>
      <c r="D2379">
        <v>2.2200000000000002</v>
      </c>
      <c r="E2379" t="s">
        <v>263</v>
      </c>
      <c r="F2379" t="s">
        <v>31</v>
      </c>
      <c r="G2379" t="s">
        <v>1784</v>
      </c>
      <c r="H2379" t="s">
        <v>15</v>
      </c>
      <c r="I2379" s="26" t="s">
        <v>897</v>
      </c>
    </row>
    <row r="2380" spans="1:9" x14ac:dyDescent="0.3">
      <c r="A2380" s="24">
        <v>45365</v>
      </c>
      <c r="B2380" t="s">
        <v>262</v>
      </c>
      <c r="C2380" t="s">
        <v>29</v>
      </c>
      <c r="D2380">
        <v>4.28</v>
      </c>
      <c r="E2380" t="s">
        <v>263</v>
      </c>
      <c r="F2380" t="s">
        <v>31</v>
      </c>
      <c r="G2380" t="s">
        <v>1785</v>
      </c>
      <c r="H2380" t="s">
        <v>15</v>
      </c>
      <c r="I2380" s="26" t="s">
        <v>897</v>
      </c>
    </row>
    <row r="2381" spans="1:9" x14ac:dyDescent="0.3">
      <c r="A2381" s="24">
        <v>45365</v>
      </c>
      <c r="B2381" t="s">
        <v>262</v>
      </c>
      <c r="C2381" t="s">
        <v>53</v>
      </c>
      <c r="D2381">
        <v>0.5</v>
      </c>
      <c r="E2381" t="s">
        <v>54</v>
      </c>
      <c r="F2381" t="s">
        <v>55</v>
      </c>
      <c r="G2381" t="s">
        <v>253</v>
      </c>
      <c r="H2381" t="s">
        <v>15</v>
      </c>
      <c r="I2381" s="26" t="s">
        <v>897</v>
      </c>
    </row>
    <row r="2382" spans="1:9" x14ac:dyDescent="0.3">
      <c r="A2382" s="24">
        <v>45365</v>
      </c>
      <c r="B2382" t="s">
        <v>262</v>
      </c>
      <c r="C2382" t="s">
        <v>148</v>
      </c>
      <c r="D2382">
        <v>0.87</v>
      </c>
      <c r="E2382" t="s">
        <v>54</v>
      </c>
      <c r="F2382" t="s">
        <v>55</v>
      </c>
      <c r="G2382" t="s">
        <v>63</v>
      </c>
      <c r="H2382" t="s">
        <v>15</v>
      </c>
      <c r="I2382" s="26" t="s">
        <v>897</v>
      </c>
    </row>
    <row r="2383" spans="1:9" x14ac:dyDescent="0.3">
      <c r="A2383" s="24">
        <v>45365</v>
      </c>
      <c r="B2383" t="s">
        <v>266</v>
      </c>
      <c r="C2383" t="s">
        <v>267</v>
      </c>
      <c r="D2383">
        <v>9</v>
      </c>
      <c r="E2383" t="s">
        <v>54</v>
      </c>
      <c r="F2383" t="s">
        <v>55</v>
      </c>
      <c r="G2383" t="s">
        <v>1786</v>
      </c>
      <c r="H2383" t="s">
        <v>15</v>
      </c>
      <c r="I2383" s="26" t="s">
        <v>897</v>
      </c>
    </row>
    <row r="2384" spans="1:9" x14ac:dyDescent="0.3">
      <c r="A2384" s="24">
        <v>45365</v>
      </c>
      <c r="B2384" t="s">
        <v>269</v>
      </c>
      <c r="C2384" t="s">
        <v>442</v>
      </c>
      <c r="D2384">
        <v>8</v>
      </c>
      <c r="E2384" t="s">
        <v>54</v>
      </c>
      <c r="F2384" t="s">
        <v>55</v>
      </c>
      <c r="H2384" t="s">
        <v>15</v>
      </c>
      <c r="I2384" s="26" t="s">
        <v>897</v>
      </c>
    </row>
    <row r="2385" spans="1:9" x14ac:dyDescent="0.3">
      <c r="A2385" s="24">
        <v>45365</v>
      </c>
      <c r="B2385" t="s">
        <v>278</v>
      </c>
      <c r="C2385" t="s">
        <v>279</v>
      </c>
      <c r="D2385">
        <v>0.83</v>
      </c>
      <c r="E2385" t="s">
        <v>54</v>
      </c>
      <c r="F2385" t="s">
        <v>55</v>
      </c>
      <c r="G2385" t="s">
        <v>1787</v>
      </c>
      <c r="H2385" t="s">
        <v>15</v>
      </c>
      <c r="I2385" s="26" t="s">
        <v>897</v>
      </c>
    </row>
    <row r="2386" spans="1:9" x14ac:dyDescent="0.3">
      <c r="A2386" s="24">
        <v>45365</v>
      </c>
      <c r="B2386" t="s">
        <v>278</v>
      </c>
      <c r="C2386" t="s">
        <v>279</v>
      </c>
      <c r="D2386">
        <v>2.2200000000000002</v>
      </c>
      <c r="E2386" t="s">
        <v>54</v>
      </c>
      <c r="F2386" t="s">
        <v>55</v>
      </c>
      <c r="G2386" t="s">
        <v>1788</v>
      </c>
      <c r="H2386" t="s">
        <v>15</v>
      </c>
      <c r="I2386" s="26" t="s">
        <v>897</v>
      </c>
    </row>
    <row r="2387" spans="1:9" x14ac:dyDescent="0.3">
      <c r="A2387" s="24">
        <v>45365</v>
      </c>
      <c r="B2387" t="s">
        <v>278</v>
      </c>
      <c r="C2387" t="s">
        <v>279</v>
      </c>
      <c r="D2387">
        <v>3.8</v>
      </c>
      <c r="E2387" t="s">
        <v>254</v>
      </c>
      <c r="F2387" t="s">
        <v>55</v>
      </c>
      <c r="G2387" t="s">
        <v>1789</v>
      </c>
      <c r="H2387" t="s">
        <v>15</v>
      </c>
      <c r="I2387" s="26" t="s">
        <v>897</v>
      </c>
    </row>
    <row r="2388" spans="1:9" x14ac:dyDescent="0.3">
      <c r="A2388" s="24">
        <v>45365</v>
      </c>
      <c r="B2388" t="s">
        <v>278</v>
      </c>
      <c r="C2388" t="s">
        <v>1008</v>
      </c>
      <c r="D2388">
        <v>2.83</v>
      </c>
      <c r="E2388" t="s">
        <v>54</v>
      </c>
      <c r="F2388" t="s">
        <v>55</v>
      </c>
      <c r="G2388" t="s">
        <v>1790</v>
      </c>
      <c r="H2388" t="s">
        <v>15</v>
      </c>
      <c r="I2388" s="26" t="s">
        <v>897</v>
      </c>
    </row>
    <row r="2389" spans="1:9" x14ac:dyDescent="0.3">
      <c r="A2389" s="24">
        <v>45365</v>
      </c>
      <c r="B2389" t="s">
        <v>286</v>
      </c>
      <c r="C2389" t="s">
        <v>287</v>
      </c>
      <c r="D2389">
        <v>10</v>
      </c>
      <c r="E2389" t="s">
        <v>54</v>
      </c>
      <c r="F2389" t="s">
        <v>55</v>
      </c>
      <c r="G2389" t="s">
        <v>1791</v>
      </c>
      <c r="H2389" t="s">
        <v>15</v>
      </c>
      <c r="I2389" s="26" t="s">
        <v>897</v>
      </c>
    </row>
    <row r="2390" spans="1:9" x14ac:dyDescent="0.3">
      <c r="A2390" s="24">
        <v>45365</v>
      </c>
      <c r="B2390" t="s">
        <v>289</v>
      </c>
      <c r="C2390" t="s">
        <v>29</v>
      </c>
      <c r="D2390">
        <v>0.5</v>
      </c>
      <c r="E2390" t="s">
        <v>291</v>
      </c>
      <c r="F2390" t="s">
        <v>31</v>
      </c>
      <c r="G2390" t="s">
        <v>1792</v>
      </c>
      <c r="H2390" t="s">
        <v>15</v>
      </c>
      <c r="I2390" s="26" t="s">
        <v>897</v>
      </c>
    </row>
    <row r="2391" spans="1:9" x14ac:dyDescent="0.3">
      <c r="A2391" s="24">
        <v>45365</v>
      </c>
      <c r="B2391" t="s">
        <v>289</v>
      </c>
      <c r="C2391" t="s">
        <v>29</v>
      </c>
      <c r="D2391">
        <v>0.5</v>
      </c>
      <c r="E2391" t="s">
        <v>524</v>
      </c>
      <c r="F2391" t="s">
        <v>31</v>
      </c>
      <c r="H2391" t="s">
        <v>15</v>
      </c>
      <c r="I2391" s="26" t="s">
        <v>897</v>
      </c>
    </row>
    <row r="2392" spans="1:9" x14ac:dyDescent="0.3">
      <c r="A2392" s="24">
        <v>45365</v>
      </c>
      <c r="B2392" t="s">
        <v>289</v>
      </c>
      <c r="C2392" t="s">
        <v>29</v>
      </c>
      <c r="D2392">
        <v>0.5</v>
      </c>
      <c r="E2392" t="s">
        <v>226</v>
      </c>
      <c r="F2392" t="s">
        <v>31</v>
      </c>
      <c r="H2392" t="s">
        <v>15</v>
      </c>
      <c r="I2392" s="26" t="s">
        <v>897</v>
      </c>
    </row>
    <row r="2393" spans="1:9" x14ac:dyDescent="0.3">
      <c r="A2393" s="24">
        <v>45365</v>
      </c>
      <c r="B2393" t="s">
        <v>289</v>
      </c>
      <c r="C2393" t="s">
        <v>29</v>
      </c>
      <c r="D2393">
        <v>0.5</v>
      </c>
      <c r="E2393" t="s">
        <v>290</v>
      </c>
      <c r="F2393" t="s">
        <v>31</v>
      </c>
      <c r="H2393" t="s">
        <v>15</v>
      </c>
      <c r="I2393" s="26" t="s">
        <v>897</v>
      </c>
    </row>
    <row r="2394" spans="1:9" x14ac:dyDescent="0.3">
      <c r="A2394" s="24">
        <v>45365</v>
      </c>
      <c r="B2394" t="s">
        <v>289</v>
      </c>
      <c r="C2394" t="s">
        <v>29</v>
      </c>
      <c r="D2394">
        <v>2.5</v>
      </c>
      <c r="E2394" t="s">
        <v>49</v>
      </c>
      <c r="F2394" t="s">
        <v>31</v>
      </c>
      <c r="H2394" t="s">
        <v>15</v>
      </c>
      <c r="I2394" s="26" t="s">
        <v>897</v>
      </c>
    </row>
    <row r="2395" spans="1:9" x14ac:dyDescent="0.3">
      <c r="A2395" s="24">
        <v>45365</v>
      </c>
      <c r="B2395" t="s">
        <v>289</v>
      </c>
      <c r="C2395" t="s">
        <v>60</v>
      </c>
      <c r="D2395">
        <v>0.5</v>
      </c>
      <c r="E2395" t="s">
        <v>848</v>
      </c>
      <c r="F2395" t="s">
        <v>31</v>
      </c>
      <c r="H2395" t="s">
        <v>15</v>
      </c>
      <c r="I2395" s="26" t="s">
        <v>897</v>
      </c>
    </row>
    <row r="2396" spans="1:9" x14ac:dyDescent="0.3">
      <c r="A2396" s="24">
        <v>45365</v>
      </c>
      <c r="B2396" t="s">
        <v>294</v>
      </c>
      <c r="C2396" t="s">
        <v>202</v>
      </c>
      <c r="D2396">
        <v>0.13</v>
      </c>
      <c r="E2396" t="s">
        <v>30</v>
      </c>
      <c r="F2396" t="s">
        <v>31</v>
      </c>
      <c r="G2396" t="s">
        <v>1793</v>
      </c>
      <c r="H2396" t="s">
        <v>15</v>
      </c>
      <c r="I2396" s="26" t="s">
        <v>897</v>
      </c>
    </row>
    <row r="2397" spans="1:9" x14ac:dyDescent="0.3">
      <c r="A2397" s="24">
        <v>45365</v>
      </c>
      <c r="B2397" t="s">
        <v>294</v>
      </c>
      <c r="C2397" t="s">
        <v>202</v>
      </c>
      <c r="D2397">
        <v>0.82</v>
      </c>
      <c r="E2397" t="s">
        <v>295</v>
      </c>
      <c r="F2397" t="s">
        <v>55</v>
      </c>
      <c r="G2397" t="s">
        <v>1794</v>
      </c>
      <c r="H2397" t="s">
        <v>15</v>
      </c>
      <c r="I2397" s="26" t="s">
        <v>897</v>
      </c>
    </row>
    <row r="2398" spans="1:9" x14ac:dyDescent="0.3">
      <c r="A2398" s="24">
        <v>45365</v>
      </c>
      <c r="B2398" t="s">
        <v>294</v>
      </c>
      <c r="C2398" t="s">
        <v>202</v>
      </c>
      <c r="D2398">
        <v>4.7300000000000004</v>
      </c>
      <c r="E2398" t="s">
        <v>445</v>
      </c>
      <c r="F2398" t="s">
        <v>31</v>
      </c>
      <c r="G2398" t="s">
        <v>1795</v>
      </c>
      <c r="H2398" t="s">
        <v>15</v>
      </c>
      <c r="I2398" s="26" t="s">
        <v>897</v>
      </c>
    </row>
    <row r="2399" spans="1:9" x14ac:dyDescent="0.3">
      <c r="A2399" s="24">
        <v>45365</v>
      </c>
      <c r="B2399" t="s">
        <v>294</v>
      </c>
      <c r="C2399" t="s">
        <v>53</v>
      </c>
      <c r="D2399">
        <v>0.32</v>
      </c>
      <c r="E2399" t="s">
        <v>54</v>
      </c>
      <c r="F2399" t="s">
        <v>55</v>
      </c>
      <c r="G2399" t="s">
        <v>300</v>
      </c>
      <c r="H2399" t="s">
        <v>15</v>
      </c>
      <c r="I2399" s="26" t="s">
        <v>897</v>
      </c>
    </row>
    <row r="2400" spans="1:9" x14ac:dyDescent="0.3">
      <c r="A2400" s="24">
        <v>45365</v>
      </c>
      <c r="B2400" t="s">
        <v>301</v>
      </c>
      <c r="C2400" t="s">
        <v>29</v>
      </c>
      <c r="D2400">
        <v>0.38</v>
      </c>
      <c r="E2400" t="s">
        <v>156</v>
      </c>
      <c r="F2400" t="s">
        <v>55</v>
      </c>
      <c r="G2400" t="s">
        <v>1687</v>
      </c>
      <c r="H2400" t="s">
        <v>15</v>
      </c>
      <c r="I2400" s="26" t="s">
        <v>897</v>
      </c>
    </row>
    <row r="2401" spans="1:9" x14ac:dyDescent="0.3">
      <c r="A2401" s="24">
        <v>45365</v>
      </c>
      <c r="B2401" t="s">
        <v>301</v>
      </c>
      <c r="C2401" t="s">
        <v>29</v>
      </c>
      <c r="D2401">
        <v>0.8</v>
      </c>
      <c r="E2401" t="s">
        <v>304</v>
      </c>
      <c r="F2401" t="s">
        <v>31</v>
      </c>
      <c r="G2401" t="s">
        <v>1796</v>
      </c>
      <c r="H2401" t="s">
        <v>15</v>
      </c>
      <c r="I2401" s="26" t="s">
        <v>897</v>
      </c>
    </row>
    <row r="2402" spans="1:9" x14ac:dyDescent="0.3">
      <c r="A2402" s="24">
        <v>45365</v>
      </c>
      <c r="B2402" t="s">
        <v>301</v>
      </c>
      <c r="C2402" t="s">
        <v>29</v>
      </c>
      <c r="D2402">
        <v>1.42</v>
      </c>
      <c r="E2402" t="s">
        <v>304</v>
      </c>
      <c r="F2402" t="s">
        <v>31</v>
      </c>
      <c r="G2402" t="s">
        <v>1797</v>
      </c>
      <c r="H2402" t="s">
        <v>15</v>
      </c>
      <c r="I2402" s="26" t="s">
        <v>897</v>
      </c>
    </row>
    <row r="2403" spans="1:9" x14ac:dyDescent="0.3">
      <c r="A2403" s="24">
        <v>45365</v>
      </c>
      <c r="B2403" t="s">
        <v>301</v>
      </c>
      <c r="C2403" t="s">
        <v>29</v>
      </c>
      <c r="D2403">
        <v>2.3199999999999998</v>
      </c>
      <c r="E2403" t="s">
        <v>156</v>
      </c>
      <c r="F2403" t="s">
        <v>31</v>
      </c>
      <c r="G2403" t="s">
        <v>1798</v>
      </c>
      <c r="H2403" t="s">
        <v>15</v>
      </c>
      <c r="I2403" s="26" t="s">
        <v>897</v>
      </c>
    </row>
    <row r="2404" spans="1:9" x14ac:dyDescent="0.3">
      <c r="A2404" s="24">
        <v>45365</v>
      </c>
      <c r="B2404" t="s">
        <v>301</v>
      </c>
      <c r="C2404" t="s">
        <v>29</v>
      </c>
      <c r="D2404">
        <v>3.15</v>
      </c>
      <c r="E2404" t="s">
        <v>156</v>
      </c>
      <c r="F2404" t="s">
        <v>31</v>
      </c>
      <c r="G2404" t="s">
        <v>1799</v>
      </c>
      <c r="H2404" t="s">
        <v>15</v>
      </c>
      <c r="I2404" s="26" t="s">
        <v>897</v>
      </c>
    </row>
    <row r="2405" spans="1:9" x14ac:dyDescent="0.3">
      <c r="A2405" s="24">
        <v>45365</v>
      </c>
      <c r="B2405" t="s">
        <v>313</v>
      </c>
      <c r="C2405" t="s">
        <v>29</v>
      </c>
      <c r="D2405">
        <v>1.5</v>
      </c>
      <c r="E2405" t="s">
        <v>91</v>
      </c>
      <c r="F2405" t="s">
        <v>31</v>
      </c>
      <c r="G2405" t="s">
        <v>1800</v>
      </c>
      <c r="H2405" t="s">
        <v>15</v>
      </c>
      <c r="I2405" s="26" t="s">
        <v>897</v>
      </c>
    </row>
    <row r="2406" spans="1:9" x14ac:dyDescent="0.3">
      <c r="A2406" s="24">
        <v>45365</v>
      </c>
      <c r="B2406" t="s">
        <v>313</v>
      </c>
      <c r="C2406" t="s">
        <v>29</v>
      </c>
      <c r="D2406">
        <v>2.9</v>
      </c>
      <c r="E2406" t="s">
        <v>170</v>
      </c>
      <c r="F2406" t="s">
        <v>31</v>
      </c>
      <c r="G2406" t="s">
        <v>1801</v>
      </c>
      <c r="H2406" t="s">
        <v>15</v>
      </c>
      <c r="I2406" s="26" t="s">
        <v>897</v>
      </c>
    </row>
    <row r="2407" spans="1:9" x14ac:dyDescent="0.3">
      <c r="A2407" s="24">
        <v>45365</v>
      </c>
      <c r="B2407" t="s">
        <v>313</v>
      </c>
      <c r="C2407" t="s">
        <v>53</v>
      </c>
      <c r="D2407">
        <v>0.37</v>
      </c>
      <c r="E2407" t="s">
        <v>54</v>
      </c>
      <c r="F2407" t="s">
        <v>55</v>
      </c>
      <c r="G2407" t="s">
        <v>316</v>
      </c>
      <c r="H2407" t="s">
        <v>15</v>
      </c>
      <c r="I2407" s="26" t="s">
        <v>897</v>
      </c>
    </row>
    <row r="2408" spans="1:9" x14ac:dyDescent="0.3">
      <c r="A2408" s="24">
        <v>45365</v>
      </c>
      <c r="B2408" t="s">
        <v>313</v>
      </c>
      <c r="C2408" t="s">
        <v>159</v>
      </c>
      <c r="D2408">
        <v>3.77</v>
      </c>
      <c r="E2408" t="s">
        <v>170</v>
      </c>
      <c r="F2408" t="s">
        <v>31</v>
      </c>
      <c r="G2408" t="s">
        <v>1802</v>
      </c>
      <c r="H2408" t="s">
        <v>15</v>
      </c>
      <c r="I2408" s="26" t="s">
        <v>897</v>
      </c>
    </row>
    <row r="2409" spans="1:9" x14ac:dyDescent="0.3">
      <c r="A2409" s="24">
        <v>45365</v>
      </c>
      <c r="B2409" t="s">
        <v>318</v>
      </c>
      <c r="C2409" t="s">
        <v>53</v>
      </c>
      <c r="D2409">
        <v>4.95</v>
      </c>
      <c r="E2409" t="s">
        <v>54</v>
      </c>
      <c r="F2409" t="s">
        <v>55</v>
      </c>
      <c r="G2409" t="s">
        <v>1803</v>
      </c>
      <c r="H2409" t="s">
        <v>15</v>
      </c>
      <c r="I2409" s="26" t="s">
        <v>897</v>
      </c>
    </row>
    <row r="2410" spans="1:9" x14ac:dyDescent="0.3">
      <c r="A2410" s="24">
        <v>45365</v>
      </c>
      <c r="B2410" t="s">
        <v>318</v>
      </c>
      <c r="C2410" t="s">
        <v>58</v>
      </c>
      <c r="D2410">
        <v>4.5</v>
      </c>
      <c r="E2410" t="s">
        <v>54</v>
      </c>
      <c r="F2410" t="s">
        <v>55</v>
      </c>
      <c r="G2410" t="s">
        <v>1804</v>
      </c>
      <c r="H2410" t="s">
        <v>15</v>
      </c>
      <c r="I2410" s="26" t="s">
        <v>897</v>
      </c>
    </row>
    <row r="2411" spans="1:9" x14ac:dyDescent="0.3">
      <c r="A2411" s="24">
        <v>45365</v>
      </c>
      <c r="B2411" t="s">
        <v>324</v>
      </c>
      <c r="C2411" t="s">
        <v>29</v>
      </c>
      <c r="D2411">
        <v>8.7799999999999994</v>
      </c>
      <c r="E2411" t="s">
        <v>81</v>
      </c>
      <c r="F2411" t="s">
        <v>31</v>
      </c>
      <c r="H2411" t="s">
        <v>15</v>
      </c>
      <c r="I2411" s="26" t="s">
        <v>897</v>
      </c>
    </row>
    <row r="2412" spans="1:9" x14ac:dyDescent="0.3">
      <c r="A2412" s="24">
        <v>45365</v>
      </c>
      <c r="B2412" t="s">
        <v>328</v>
      </c>
      <c r="C2412" t="s">
        <v>53</v>
      </c>
      <c r="D2412">
        <v>0.5</v>
      </c>
      <c r="E2412" t="s">
        <v>54</v>
      </c>
      <c r="F2412" t="s">
        <v>55</v>
      </c>
      <c r="G2412" t="s">
        <v>253</v>
      </c>
      <c r="H2412" t="s">
        <v>15</v>
      </c>
      <c r="I2412" s="26" t="s">
        <v>897</v>
      </c>
    </row>
    <row r="2413" spans="1:9" x14ac:dyDescent="0.3">
      <c r="A2413" s="24">
        <v>45365</v>
      </c>
      <c r="B2413" t="s">
        <v>328</v>
      </c>
      <c r="C2413" t="s">
        <v>53</v>
      </c>
      <c r="D2413">
        <v>0.5</v>
      </c>
      <c r="E2413" t="s">
        <v>54</v>
      </c>
      <c r="F2413" t="s">
        <v>55</v>
      </c>
      <c r="G2413" t="s">
        <v>1805</v>
      </c>
      <c r="H2413" t="s">
        <v>15</v>
      </c>
      <c r="I2413" s="26" t="s">
        <v>897</v>
      </c>
    </row>
    <row r="2414" spans="1:9" x14ac:dyDescent="0.3">
      <c r="A2414" s="24">
        <v>45365</v>
      </c>
      <c r="B2414" t="s">
        <v>328</v>
      </c>
      <c r="C2414" t="s">
        <v>53</v>
      </c>
      <c r="D2414">
        <v>0.62</v>
      </c>
      <c r="E2414" t="s">
        <v>54</v>
      </c>
      <c r="F2414" t="s">
        <v>55</v>
      </c>
      <c r="G2414" t="s">
        <v>1806</v>
      </c>
      <c r="H2414" t="s">
        <v>15</v>
      </c>
      <c r="I2414" s="26" t="s">
        <v>897</v>
      </c>
    </row>
    <row r="2415" spans="1:9" x14ac:dyDescent="0.3">
      <c r="A2415" s="24">
        <v>45365</v>
      </c>
      <c r="B2415" t="s">
        <v>328</v>
      </c>
      <c r="C2415" t="s">
        <v>53</v>
      </c>
      <c r="D2415">
        <v>0.63</v>
      </c>
      <c r="E2415" t="s">
        <v>54</v>
      </c>
      <c r="F2415" t="s">
        <v>55</v>
      </c>
      <c r="G2415" t="s">
        <v>1807</v>
      </c>
      <c r="H2415" t="s">
        <v>15</v>
      </c>
      <c r="I2415" s="26" t="s">
        <v>897</v>
      </c>
    </row>
    <row r="2416" spans="1:9" x14ac:dyDescent="0.3">
      <c r="A2416" s="24">
        <v>45365</v>
      </c>
      <c r="B2416" t="s">
        <v>328</v>
      </c>
      <c r="C2416" t="s">
        <v>225</v>
      </c>
      <c r="D2416">
        <v>0.23</v>
      </c>
      <c r="E2416" t="s">
        <v>1808</v>
      </c>
      <c r="F2416" t="s">
        <v>31</v>
      </c>
      <c r="G2416" t="s">
        <v>1809</v>
      </c>
      <c r="H2416" t="s">
        <v>15</v>
      </c>
      <c r="I2416" s="26" t="s">
        <v>897</v>
      </c>
    </row>
    <row r="2417" spans="1:9" x14ac:dyDescent="0.3">
      <c r="A2417" s="24">
        <v>45365</v>
      </c>
      <c r="B2417" t="s">
        <v>328</v>
      </c>
      <c r="C2417" t="s">
        <v>60</v>
      </c>
      <c r="D2417">
        <v>0.13</v>
      </c>
      <c r="E2417" t="s">
        <v>217</v>
      </c>
      <c r="F2417" t="s">
        <v>31</v>
      </c>
      <c r="G2417" t="s">
        <v>547</v>
      </c>
      <c r="H2417" t="s">
        <v>15</v>
      </c>
      <c r="I2417" s="26" t="s">
        <v>897</v>
      </c>
    </row>
    <row r="2418" spans="1:9" x14ac:dyDescent="0.3">
      <c r="A2418" s="24">
        <v>45365</v>
      </c>
      <c r="B2418" t="s">
        <v>328</v>
      </c>
      <c r="C2418" t="s">
        <v>60</v>
      </c>
      <c r="D2418">
        <v>0.23</v>
      </c>
      <c r="E2418" t="s">
        <v>445</v>
      </c>
      <c r="F2418" t="s">
        <v>31</v>
      </c>
      <c r="G2418" t="s">
        <v>1810</v>
      </c>
      <c r="H2418" t="s">
        <v>15</v>
      </c>
      <c r="I2418" s="26" t="s">
        <v>897</v>
      </c>
    </row>
    <row r="2419" spans="1:9" x14ac:dyDescent="0.3">
      <c r="A2419" s="24">
        <v>45365</v>
      </c>
      <c r="B2419" t="s">
        <v>328</v>
      </c>
      <c r="C2419" t="s">
        <v>60</v>
      </c>
      <c r="D2419">
        <v>0.23</v>
      </c>
      <c r="E2419" t="s">
        <v>162</v>
      </c>
      <c r="F2419" t="s">
        <v>31</v>
      </c>
      <c r="G2419" t="s">
        <v>1811</v>
      </c>
      <c r="H2419" t="s">
        <v>15</v>
      </c>
      <c r="I2419" s="26" t="s">
        <v>897</v>
      </c>
    </row>
    <row r="2420" spans="1:9" x14ac:dyDescent="0.3">
      <c r="A2420" s="24">
        <v>45365</v>
      </c>
      <c r="B2420" t="s">
        <v>328</v>
      </c>
      <c r="C2420" t="s">
        <v>60</v>
      </c>
      <c r="D2420">
        <v>0.37</v>
      </c>
      <c r="E2420" t="s">
        <v>81</v>
      </c>
      <c r="F2420" t="s">
        <v>31</v>
      </c>
      <c r="G2420" t="s">
        <v>1812</v>
      </c>
      <c r="H2420" t="s">
        <v>15</v>
      </c>
      <c r="I2420" s="26" t="s">
        <v>897</v>
      </c>
    </row>
    <row r="2421" spans="1:9" x14ac:dyDescent="0.3">
      <c r="A2421" s="24">
        <v>45365</v>
      </c>
      <c r="B2421" t="s">
        <v>328</v>
      </c>
      <c r="C2421" t="s">
        <v>60</v>
      </c>
      <c r="D2421">
        <v>0.4</v>
      </c>
      <c r="E2421" t="s">
        <v>81</v>
      </c>
      <c r="F2421" t="s">
        <v>31</v>
      </c>
      <c r="G2421" t="s">
        <v>1813</v>
      </c>
      <c r="H2421" t="s">
        <v>15</v>
      </c>
      <c r="I2421" s="26" t="s">
        <v>897</v>
      </c>
    </row>
    <row r="2422" spans="1:9" x14ac:dyDescent="0.3">
      <c r="A2422" s="24">
        <v>45365</v>
      </c>
      <c r="B2422" t="s">
        <v>328</v>
      </c>
      <c r="C2422" t="s">
        <v>60</v>
      </c>
      <c r="D2422">
        <v>0.56999999999999995</v>
      </c>
      <c r="E2422" t="s">
        <v>217</v>
      </c>
      <c r="F2422" t="s">
        <v>31</v>
      </c>
      <c r="G2422" t="s">
        <v>1814</v>
      </c>
      <c r="H2422" t="s">
        <v>15</v>
      </c>
      <c r="I2422" s="26" t="s">
        <v>897</v>
      </c>
    </row>
    <row r="2423" spans="1:9" x14ac:dyDescent="0.3">
      <c r="A2423" s="24">
        <v>45365</v>
      </c>
      <c r="B2423" t="s">
        <v>328</v>
      </c>
      <c r="C2423" t="s">
        <v>60</v>
      </c>
      <c r="D2423">
        <v>0.67</v>
      </c>
      <c r="E2423" t="s">
        <v>81</v>
      </c>
      <c r="F2423" t="s">
        <v>31</v>
      </c>
      <c r="G2423" t="s">
        <v>1815</v>
      </c>
      <c r="H2423" t="s">
        <v>15</v>
      </c>
      <c r="I2423" s="26" t="s">
        <v>897</v>
      </c>
    </row>
    <row r="2424" spans="1:9" x14ac:dyDescent="0.3">
      <c r="A2424" s="24">
        <v>45365</v>
      </c>
      <c r="B2424" t="s">
        <v>328</v>
      </c>
      <c r="C2424" t="s">
        <v>60</v>
      </c>
      <c r="D2424">
        <v>1.1000000000000001</v>
      </c>
      <c r="E2424" t="s">
        <v>81</v>
      </c>
      <c r="F2424" t="s">
        <v>31</v>
      </c>
      <c r="G2424" t="s">
        <v>1816</v>
      </c>
      <c r="H2424" t="s">
        <v>15</v>
      </c>
      <c r="I2424" s="26" t="s">
        <v>897</v>
      </c>
    </row>
    <row r="2425" spans="1:9" x14ac:dyDescent="0.3">
      <c r="A2425" s="24">
        <v>45365</v>
      </c>
      <c r="B2425" t="s">
        <v>328</v>
      </c>
      <c r="C2425" t="s">
        <v>60</v>
      </c>
      <c r="D2425">
        <v>1.83</v>
      </c>
      <c r="E2425" t="s">
        <v>81</v>
      </c>
      <c r="F2425" t="s">
        <v>31</v>
      </c>
      <c r="G2425" t="s">
        <v>716</v>
      </c>
      <c r="H2425" t="s">
        <v>15</v>
      </c>
      <c r="I2425" s="26" t="s">
        <v>897</v>
      </c>
    </row>
    <row r="2426" spans="1:9" x14ac:dyDescent="0.3">
      <c r="A2426" s="24">
        <v>45365</v>
      </c>
      <c r="B2426" t="s">
        <v>329</v>
      </c>
      <c r="C2426" t="s">
        <v>90</v>
      </c>
      <c r="D2426">
        <v>0.77</v>
      </c>
      <c r="E2426" t="s">
        <v>91</v>
      </c>
      <c r="F2426" t="s">
        <v>31</v>
      </c>
      <c r="G2426" t="s">
        <v>1817</v>
      </c>
      <c r="H2426" t="s">
        <v>15</v>
      </c>
      <c r="I2426" s="26" t="s">
        <v>897</v>
      </c>
    </row>
    <row r="2427" spans="1:9" x14ac:dyDescent="0.3">
      <c r="A2427" s="24">
        <v>45365</v>
      </c>
      <c r="B2427" t="s">
        <v>331</v>
      </c>
      <c r="C2427" t="s">
        <v>29</v>
      </c>
      <c r="D2427">
        <v>0.38</v>
      </c>
      <c r="E2427" t="s">
        <v>91</v>
      </c>
      <c r="F2427" t="s">
        <v>31</v>
      </c>
      <c r="G2427" t="s">
        <v>1818</v>
      </c>
      <c r="H2427" t="s">
        <v>15</v>
      </c>
      <c r="I2427" s="26" t="s">
        <v>897</v>
      </c>
    </row>
    <row r="2428" spans="1:9" x14ac:dyDescent="0.3">
      <c r="A2428" s="24">
        <v>45365</v>
      </c>
      <c r="B2428" t="s">
        <v>331</v>
      </c>
      <c r="C2428" t="s">
        <v>29</v>
      </c>
      <c r="D2428">
        <v>0.4</v>
      </c>
      <c r="E2428" t="s">
        <v>176</v>
      </c>
      <c r="F2428" t="s">
        <v>31</v>
      </c>
      <c r="G2428" t="s">
        <v>1819</v>
      </c>
      <c r="H2428" t="s">
        <v>15</v>
      </c>
      <c r="I2428" s="26" t="s">
        <v>897</v>
      </c>
    </row>
    <row r="2429" spans="1:9" x14ac:dyDescent="0.3">
      <c r="A2429" s="24">
        <v>45365</v>
      </c>
      <c r="B2429" t="s">
        <v>331</v>
      </c>
      <c r="C2429" t="s">
        <v>29</v>
      </c>
      <c r="D2429">
        <v>1.25</v>
      </c>
      <c r="E2429" t="s">
        <v>176</v>
      </c>
      <c r="F2429" t="s">
        <v>31</v>
      </c>
      <c r="G2429" t="s">
        <v>1820</v>
      </c>
      <c r="H2429" t="s">
        <v>15</v>
      </c>
      <c r="I2429" s="26" t="s">
        <v>897</v>
      </c>
    </row>
    <row r="2430" spans="1:9" x14ac:dyDescent="0.3">
      <c r="A2430" s="24">
        <v>45365</v>
      </c>
      <c r="B2430" t="s">
        <v>331</v>
      </c>
      <c r="C2430" t="s">
        <v>29</v>
      </c>
      <c r="D2430">
        <v>3.12</v>
      </c>
      <c r="E2430" t="s">
        <v>91</v>
      </c>
      <c r="F2430" t="s">
        <v>31</v>
      </c>
      <c r="G2430" t="s">
        <v>1821</v>
      </c>
      <c r="H2430" t="s">
        <v>15</v>
      </c>
      <c r="I2430" s="26" t="s">
        <v>897</v>
      </c>
    </row>
    <row r="2431" spans="1:9" x14ac:dyDescent="0.3">
      <c r="A2431" s="24">
        <v>45365</v>
      </c>
      <c r="B2431" t="s">
        <v>331</v>
      </c>
      <c r="C2431" t="s">
        <v>53</v>
      </c>
      <c r="D2431">
        <v>0.5</v>
      </c>
      <c r="E2431" t="s">
        <v>54</v>
      </c>
      <c r="F2431" t="s">
        <v>55</v>
      </c>
      <c r="G2431" t="s">
        <v>332</v>
      </c>
      <c r="H2431" t="s">
        <v>15</v>
      </c>
      <c r="I2431" s="26" t="s">
        <v>897</v>
      </c>
    </row>
    <row r="2432" spans="1:9" x14ac:dyDescent="0.3">
      <c r="A2432" s="24">
        <v>45365</v>
      </c>
      <c r="B2432" t="s">
        <v>331</v>
      </c>
      <c r="C2432" t="s">
        <v>60</v>
      </c>
      <c r="D2432">
        <v>0.13</v>
      </c>
      <c r="E2432" t="s">
        <v>229</v>
      </c>
      <c r="F2432" t="s">
        <v>31</v>
      </c>
      <c r="H2432" t="s">
        <v>15</v>
      </c>
      <c r="I2432" s="26" t="s">
        <v>897</v>
      </c>
    </row>
    <row r="2433" spans="1:9" x14ac:dyDescent="0.3">
      <c r="A2433" s="24">
        <v>45365</v>
      </c>
      <c r="B2433" t="s">
        <v>331</v>
      </c>
      <c r="C2433" t="s">
        <v>60</v>
      </c>
      <c r="D2433">
        <v>1.4</v>
      </c>
      <c r="E2433" t="s">
        <v>334</v>
      </c>
      <c r="F2433" t="s">
        <v>31</v>
      </c>
      <c r="G2433" t="s">
        <v>1822</v>
      </c>
      <c r="H2433" t="s">
        <v>15</v>
      </c>
      <c r="I2433" s="26" t="s">
        <v>897</v>
      </c>
    </row>
    <row r="2434" spans="1:9" x14ac:dyDescent="0.3">
      <c r="A2434" s="24">
        <v>45365</v>
      </c>
      <c r="B2434" t="s">
        <v>331</v>
      </c>
      <c r="C2434" t="s">
        <v>877</v>
      </c>
      <c r="D2434">
        <v>1.1200000000000001</v>
      </c>
      <c r="E2434" t="s">
        <v>182</v>
      </c>
      <c r="F2434" t="s">
        <v>31</v>
      </c>
      <c r="G2434" t="s">
        <v>1823</v>
      </c>
      <c r="H2434" t="s">
        <v>15</v>
      </c>
      <c r="I2434" s="26" t="s">
        <v>897</v>
      </c>
    </row>
    <row r="2435" spans="1:9" x14ac:dyDescent="0.3">
      <c r="A2435" s="24">
        <v>45365</v>
      </c>
      <c r="B2435" t="s">
        <v>340</v>
      </c>
      <c r="C2435" t="s">
        <v>202</v>
      </c>
      <c r="D2435">
        <v>0.5</v>
      </c>
      <c r="E2435" t="s">
        <v>156</v>
      </c>
      <c r="F2435" t="s">
        <v>31</v>
      </c>
      <c r="G2435" t="s">
        <v>1824</v>
      </c>
      <c r="H2435" t="s">
        <v>15</v>
      </c>
      <c r="I2435" s="26" t="s">
        <v>897</v>
      </c>
    </row>
    <row r="2436" spans="1:9" x14ac:dyDescent="0.3">
      <c r="A2436" s="24">
        <v>45365</v>
      </c>
      <c r="B2436" t="s">
        <v>340</v>
      </c>
      <c r="C2436" t="s">
        <v>202</v>
      </c>
      <c r="D2436">
        <v>1</v>
      </c>
      <c r="E2436" t="s">
        <v>1216</v>
      </c>
      <c r="F2436" t="s">
        <v>55</v>
      </c>
      <c r="G2436" t="s">
        <v>1825</v>
      </c>
      <c r="H2436" t="s">
        <v>15</v>
      </c>
      <c r="I2436" s="26" t="s">
        <v>897</v>
      </c>
    </row>
    <row r="2437" spans="1:9" x14ac:dyDescent="0.3">
      <c r="A2437" s="24">
        <v>45365</v>
      </c>
      <c r="B2437" t="s">
        <v>340</v>
      </c>
      <c r="C2437" t="s">
        <v>202</v>
      </c>
      <c r="D2437">
        <v>4</v>
      </c>
      <c r="E2437" t="s">
        <v>1216</v>
      </c>
      <c r="F2437" t="s">
        <v>31</v>
      </c>
      <c r="G2437" t="s">
        <v>1826</v>
      </c>
      <c r="H2437" t="s">
        <v>15</v>
      </c>
      <c r="I2437" s="26" t="s">
        <v>897</v>
      </c>
    </row>
    <row r="2438" spans="1:9" x14ac:dyDescent="0.3">
      <c r="A2438" s="24">
        <v>45365</v>
      </c>
      <c r="B2438" t="s">
        <v>340</v>
      </c>
      <c r="C2438" t="s">
        <v>53</v>
      </c>
      <c r="D2438">
        <v>0.5</v>
      </c>
      <c r="E2438" t="s">
        <v>54</v>
      </c>
      <c r="F2438" t="s">
        <v>55</v>
      </c>
      <c r="G2438" t="s">
        <v>1827</v>
      </c>
      <c r="H2438" t="s">
        <v>15</v>
      </c>
      <c r="I2438" s="26" t="s">
        <v>897</v>
      </c>
    </row>
    <row r="2439" spans="1:9" x14ac:dyDescent="0.3">
      <c r="A2439" s="24">
        <v>45365</v>
      </c>
      <c r="B2439" t="s">
        <v>340</v>
      </c>
      <c r="C2439" t="s">
        <v>53</v>
      </c>
      <c r="D2439">
        <v>1</v>
      </c>
      <c r="E2439" t="s">
        <v>54</v>
      </c>
      <c r="F2439" t="s">
        <v>55</v>
      </c>
      <c r="G2439" t="s">
        <v>1828</v>
      </c>
      <c r="H2439" t="s">
        <v>15</v>
      </c>
      <c r="I2439" s="26" t="s">
        <v>897</v>
      </c>
    </row>
    <row r="2440" spans="1:9" x14ac:dyDescent="0.3">
      <c r="A2440" s="24">
        <v>45365</v>
      </c>
      <c r="B2440" t="s">
        <v>340</v>
      </c>
      <c r="C2440" t="s">
        <v>225</v>
      </c>
      <c r="D2440">
        <v>0.17</v>
      </c>
      <c r="E2440" t="s">
        <v>233</v>
      </c>
      <c r="F2440" t="s">
        <v>31</v>
      </c>
      <c r="G2440" t="s">
        <v>1350</v>
      </c>
      <c r="H2440" t="s">
        <v>15</v>
      </c>
      <c r="I2440" s="26" t="s">
        <v>897</v>
      </c>
    </row>
    <row r="2441" spans="1:9" x14ac:dyDescent="0.3">
      <c r="A2441" s="24">
        <v>45365</v>
      </c>
      <c r="B2441" t="s">
        <v>340</v>
      </c>
      <c r="C2441" t="s">
        <v>225</v>
      </c>
      <c r="D2441">
        <v>0.17</v>
      </c>
      <c r="E2441" t="s">
        <v>234</v>
      </c>
      <c r="F2441" t="s">
        <v>31</v>
      </c>
      <c r="G2441" t="s">
        <v>1350</v>
      </c>
      <c r="H2441" t="s">
        <v>15</v>
      </c>
      <c r="I2441" s="26" t="s">
        <v>897</v>
      </c>
    </row>
    <row r="2442" spans="1:9" x14ac:dyDescent="0.3">
      <c r="A2442" s="24">
        <v>45365</v>
      </c>
      <c r="B2442" t="s">
        <v>340</v>
      </c>
      <c r="C2442" t="s">
        <v>225</v>
      </c>
      <c r="D2442">
        <v>0.25</v>
      </c>
      <c r="E2442" t="s">
        <v>81</v>
      </c>
      <c r="F2442" t="s">
        <v>31</v>
      </c>
      <c r="G2442" t="s">
        <v>1829</v>
      </c>
      <c r="H2442" t="s">
        <v>15</v>
      </c>
      <c r="I2442" s="26" t="s">
        <v>897</v>
      </c>
    </row>
    <row r="2443" spans="1:9" x14ac:dyDescent="0.3">
      <c r="A2443" s="24">
        <v>45365</v>
      </c>
      <c r="B2443" t="s">
        <v>340</v>
      </c>
      <c r="C2443" t="s">
        <v>225</v>
      </c>
      <c r="D2443">
        <v>0.5</v>
      </c>
      <c r="E2443" t="s">
        <v>1605</v>
      </c>
      <c r="F2443" t="s">
        <v>31</v>
      </c>
      <c r="G2443" t="s">
        <v>1830</v>
      </c>
      <c r="H2443" t="s">
        <v>15</v>
      </c>
      <c r="I2443" s="26" t="s">
        <v>897</v>
      </c>
    </row>
    <row r="2444" spans="1:9" x14ac:dyDescent="0.3">
      <c r="A2444" s="24">
        <v>45365</v>
      </c>
      <c r="B2444" t="s">
        <v>351</v>
      </c>
      <c r="C2444" t="s">
        <v>29</v>
      </c>
      <c r="D2444">
        <v>8.75</v>
      </c>
      <c r="E2444" t="s">
        <v>81</v>
      </c>
      <c r="F2444" t="s">
        <v>31</v>
      </c>
      <c r="G2444" t="s">
        <v>1831</v>
      </c>
      <c r="H2444" t="s">
        <v>15</v>
      </c>
      <c r="I2444" s="26" t="s">
        <v>897</v>
      </c>
    </row>
    <row r="2445" spans="1:9" x14ac:dyDescent="0.3">
      <c r="A2445" s="24">
        <v>45365</v>
      </c>
      <c r="B2445" t="s">
        <v>355</v>
      </c>
      <c r="C2445" t="s">
        <v>29</v>
      </c>
      <c r="D2445">
        <v>0.3</v>
      </c>
      <c r="E2445" t="s">
        <v>91</v>
      </c>
      <c r="F2445" t="s">
        <v>31</v>
      </c>
      <c r="G2445" t="s">
        <v>1832</v>
      </c>
      <c r="H2445" t="s">
        <v>15</v>
      </c>
      <c r="I2445" s="26" t="s">
        <v>897</v>
      </c>
    </row>
    <row r="2446" spans="1:9" x14ac:dyDescent="0.3">
      <c r="A2446" s="24">
        <v>45365</v>
      </c>
      <c r="B2446" t="s">
        <v>355</v>
      </c>
      <c r="C2446" t="s">
        <v>29</v>
      </c>
      <c r="D2446">
        <v>1</v>
      </c>
      <c r="E2446" t="s">
        <v>91</v>
      </c>
      <c r="F2446" t="s">
        <v>31</v>
      </c>
      <c r="G2446" t="s">
        <v>1833</v>
      </c>
      <c r="H2446" t="s">
        <v>15</v>
      </c>
      <c r="I2446" s="26" t="s">
        <v>897</v>
      </c>
    </row>
    <row r="2447" spans="1:9" x14ac:dyDescent="0.3">
      <c r="A2447" s="24">
        <v>45365</v>
      </c>
      <c r="B2447" t="s">
        <v>355</v>
      </c>
      <c r="C2447" t="s">
        <v>94</v>
      </c>
      <c r="D2447">
        <v>0.2</v>
      </c>
      <c r="E2447" t="s">
        <v>1074</v>
      </c>
      <c r="F2447" t="s">
        <v>55</v>
      </c>
      <c r="G2447" t="s">
        <v>1834</v>
      </c>
      <c r="H2447" t="s">
        <v>15</v>
      </c>
      <c r="I2447" s="26" t="s">
        <v>897</v>
      </c>
    </row>
    <row r="2448" spans="1:9" x14ac:dyDescent="0.3">
      <c r="A2448" s="24">
        <v>45365</v>
      </c>
      <c r="B2448" t="s">
        <v>355</v>
      </c>
      <c r="C2448" t="s">
        <v>202</v>
      </c>
      <c r="D2448">
        <v>0.3</v>
      </c>
      <c r="E2448" t="s">
        <v>177</v>
      </c>
      <c r="F2448" t="s">
        <v>31</v>
      </c>
      <c r="G2448" t="s">
        <v>1835</v>
      </c>
      <c r="H2448" t="s">
        <v>15</v>
      </c>
      <c r="I2448" s="26" t="s">
        <v>897</v>
      </c>
    </row>
    <row r="2449" spans="1:9" x14ac:dyDescent="0.3">
      <c r="A2449" s="24">
        <v>45365</v>
      </c>
      <c r="B2449" t="s">
        <v>355</v>
      </c>
      <c r="C2449" t="s">
        <v>202</v>
      </c>
      <c r="D2449">
        <v>0.5</v>
      </c>
      <c r="E2449" t="s">
        <v>91</v>
      </c>
      <c r="F2449" t="s">
        <v>31</v>
      </c>
      <c r="G2449" t="s">
        <v>1836</v>
      </c>
      <c r="H2449" t="s">
        <v>15</v>
      </c>
      <c r="I2449" s="26" t="s">
        <v>897</v>
      </c>
    </row>
    <row r="2450" spans="1:9" x14ac:dyDescent="0.3">
      <c r="A2450" s="24">
        <v>45365</v>
      </c>
      <c r="B2450" t="s">
        <v>355</v>
      </c>
      <c r="C2450" t="s">
        <v>53</v>
      </c>
      <c r="D2450">
        <v>0.3</v>
      </c>
      <c r="E2450" t="s">
        <v>54</v>
      </c>
      <c r="F2450" t="s">
        <v>55</v>
      </c>
      <c r="G2450" t="s">
        <v>1837</v>
      </c>
      <c r="H2450" t="s">
        <v>15</v>
      </c>
      <c r="I2450" s="26" t="s">
        <v>897</v>
      </c>
    </row>
    <row r="2451" spans="1:9" x14ac:dyDescent="0.3">
      <c r="A2451" s="24">
        <v>45365</v>
      </c>
      <c r="B2451" t="s">
        <v>355</v>
      </c>
      <c r="C2451" t="s">
        <v>53</v>
      </c>
      <c r="D2451">
        <v>1.2</v>
      </c>
      <c r="E2451" t="s">
        <v>54</v>
      </c>
      <c r="F2451" t="s">
        <v>55</v>
      </c>
      <c r="G2451" t="s">
        <v>1838</v>
      </c>
      <c r="H2451" t="s">
        <v>15</v>
      </c>
      <c r="I2451" s="26" t="s">
        <v>897</v>
      </c>
    </row>
    <row r="2452" spans="1:9" x14ac:dyDescent="0.3">
      <c r="A2452" s="24">
        <v>45365</v>
      </c>
      <c r="B2452" t="s">
        <v>355</v>
      </c>
      <c r="C2452" t="s">
        <v>159</v>
      </c>
      <c r="D2452">
        <v>2.82</v>
      </c>
      <c r="E2452" t="s">
        <v>358</v>
      </c>
      <c r="F2452" t="s">
        <v>31</v>
      </c>
      <c r="H2452" t="s">
        <v>15</v>
      </c>
      <c r="I2452" s="26" t="s">
        <v>897</v>
      </c>
    </row>
    <row r="2453" spans="1:9" x14ac:dyDescent="0.3">
      <c r="A2453" s="24">
        <v>45365</v>
      </c>
      <c r="B2453" t="s">
        <v>355</v>
      </c>
      <c r="C2453" t="s">
        <v>60</v>
      </c>
      <c r="D2453">
        <v>0.4</v>
      </c>
      <c r="E2453" t="s">
        <v>44</v>
      </c>
      <c r="F2453" t="s">
        <v>31</v>
      </c>
      <c r="G2453" t="s">
        <v>1839</v>
      </c>
      <c r="H2453" t="s">
        <v>15</v>
      </c>
      <c r="I2453" s="26" t="s">
        <v>897</v>
      </c>
    </row>
    <row r="2454" spans="1:9" x14ac:dyDescent="0.3">
      <c r="A2454" s="24">
        <v>45365</v>
      </c>
      <c r="B2454" t="s">
        <v>374</v>
      </c>
      <c r="C2454" t="s">
        <v>73</v>
      </c>
      <c r="D2454">
        <v>4</v>
      </c>
      <c r="E2454" t="s">
        <v>54</v>
      </c>
      <c r="F2454" t="s">
        <v>55</v>
      </c>
      <c r="H2454" t="s">
        <v>15</v>
      </c>
      <c r="I2454" s="26" t="s">
        <v>897</v>
      </c>
    </row>
    <row r="2455" spans="1:9" x14ac:dyDescent="0.3">
      <c r="A2455" s="24">
        <v>45365</v>
      </c>
      <c r="B2455" t="s">
        <v>374</v>
      </c>
      <c r="C2455" t="s">
        <v>123</v>
      </c>
      <c r="D2455">
        <v>4</v>
      </c>
      <c r="E2455" t="s">
        <v>54</v>
      </c>
      <c r="F2455" t="s">
        <v>55</v>
      </c>
      <c r="G2455" t="e">
        <f>- endorse candidates to Carly. coordinate and finalize interview schedules - draft announcement for New hires - create personnel folders for New hires - General Admin</f>
        <v>#NAME?</v>
      </c>
      <c r="H2455" t="s">
        <v>15</v>
      </c>
      <c r="I2455" s="26" t="s">
        <v>897</v>
      </c>
    </row>
    <row r="2456" spans="1:9" x14ac:dyDescent="0.3">
      <c r="A2456" s="24">
        <v>45366</v>
      </c>
      <c r="B2456" t="s">
        <v>28</v>
      </c>
      <c r="C2456" t="s">
        <v>29</v>
      </c>
      <c r="D2456">
        <v>7.0000000000000007E-2</v>
      </c>
      <c r="E2456" t="s">
        <v>37</v>
      </c>
      <c r="F2456" t="s">
        <v>31</v>
      </c>
      <c r="G2456" t="s">
        <v>32</v>
      </c>
      <c r="H2456" t="s">
        <v>15</v>
      </c>
      <c r="I2456" s="26" t="s">
        <v>33</v>
      </c>
    </row>
    <row r="2457" spans="1:9" x14ac:dyDescent="0.3">
      <c r="A2457" s="24">
        <v>45366</v>
      </c>
      <c r="B2457" t="s">
        <v>28</v>
      </c>
      <c r="C2457" t="s">
        <v>29</v>
      </c>
      <c r="D2457">
        <v>0.08</v>
      </c>
      <c r="E2457" t="s">
        <v>30</v>
      </c>
      <c r="F2457" t="s">
        <v>31</v>
      </c>
      <c r="G2457" t="s">
        <v>34</v>
      </c>
      <c r="H2457" t="s">
        <v>15</v>
      </c>
      <c r="I2457" s="26" t="s">
        <v>33</v>
      </c>
    </row>
    <row r="2458" spans="1:9" x14ac:dyDescent="0.3">
      <c r="A2458" s="24">
        <v>45366</v>
      </c>
      <c r="B2458" t="s">
        <v>28</v>
      </c>
      <c r="C2458" t="s">
        <v>29</v>
      </c>
      <c r="D2458">
        <v>0.08</v>
      </c>
      <c r="E2458" t="s">
        <v>35</v>
      </c>
      <c r="F2458" t="s">
        <v>31</v>
      </c>
      <c r="G2458" t="s">
        <v>36</v>
      </c>
      <c r="H2458" t="s">
        <v>15</v>
      </c>
      <c r="I2458" s="26" t="s">
        <v>33</v>
      </c>
    </row>
    <row r="2459" spans="1:9" x14ac:dyDescent="0.3">
      <c r="A2459" s="24">
        <v>45366</v>
      </c>
      <c r="B2459" t="s">
        <v>28</v>
      </c>
      <c r="C2459" t="s">
        <v>29</v>
      </c>
      <c r="D2459">
        <v>0.1</v>
      </c>
      <c r="E2459" t="s">
        <v>61</v>
      </c>
      <c r="F2459" t="s">
        <v>31</v>
      </c>
      <c r="G2459" t="s">
        <v>243</v>
      </c>
      <c r="H2459" t="s">
        <v>15</v>
      </c>
      <c r="I2459" s="26" t="s">
        <v>33</v>
      </c>
    </row>
    <row r="2460" spans="1:9" x14ac:dyDescent="0.3">
      <c r="A2460" s="24">
        <v>45366</v>
      </c>
      <c r="B2460" t="s">
        <v>28</v>
      </c>
      <c r="C2460" t="s">
        <v>29</v>
      </c>
      <c r="D2460">
        <v>0.15</v>
      </c>
      <c r="E2460" t="s">
        <v>42</v>
      </c>
      <c r="F2460" t="s">
        <v>31</v>
      </c>
      <c r="G2460" t="s">
        <v>753</v>
      </c>
      <c r="H2460" t="s">
        <v>15</v>
      </c>
      <c r="I2460" s="26" t="s">
        <v>33</v>
      </c>
    </row>
    <row r="2461" spans="1:9" x14ac:dyDescent="0.3">
      <c r="A2461" s="24">
        <v>45366</v>
      </c>
      <c r="B2461" t="s">
        <v>28</v>
      </c>
      <c r="C2461" t="s">
        <v>29</v>
      </c>
      <c r="D2461">
        <v>0.15</v>
      </c>
      <c r="E2461" t="s">
        <v>48</v>
      </c>
      <c r="F2461" t="s">
        <v>31</v>
      </c>
      <c r="G2461" t="s">
        <v>38</v>
      </c>
      <c r="H2461" t="s">
        <v>15</v>
      </c>
      <c r="I2461" s="26" t="s">
        <v>33</v>
      </c>
    </row>
    <row r="2462" spans="1:9" x14ac:dyDescent="0.3">
      <c r="A2462" s="24">
        <v>45366</v>
      </c>
      <c r="B2462" t="s">
        <v>28</v>
      </c>
      <c r="C2462" t="s">
        <v>29</v>
      </c>
      <c r="D2462">
        <v>0.17</v>
      </c>
      <c r="E2462" t="s">
        <v>44</v>
      </c>
      <c r="F2462" t="s">
        <v>31</v>
      </c>
      <c r="G2462" t="s">
        <v>579</v>
      </c>
      <c r="H2462" t="s">
        <v>15</v>
      </c>
      <c r="I2462" s="26" t="s">
        <v>33</v>
      </c>
    </row>
    <row r="2463" spans="1:9" x14ac:dyDescent="0.3">
      <c r="A2463" s="24">
        <v>45366</v>
      </c>
      <c r="B2463" t="s">
        <v>28</v>
      </c>
      <c r="C2463" t="s">
        <v>29</v>
      </c>
      <c r="D2463">
        <v>0.2</v>
      </c>
      <c r="E2463" t="s">
        <v>35</v>
      </c>
      <c r="F2463" t="s">
        <v>31</v>
      </c>
      <c r="G2463" t="s">
        <v>1083</v>
      </c>
      <c r="H2463" t="s">
        <v>15</v>
      </c>
      <c r="I2463" s="26" t="s">
        <v>33</v>
      </c>
    </row>
    <row r="2464" spans="1:9" x14ac:dyDescent="0.3">
      <c r="A2464" s="24">
        <v>45366</v>
      </c>
      <c r="B2464" t="s">
        <v>28</v>
      </c>
      <c r="C2464" t="s">
        <v>29</v>
      </c>
      <c r="D2464">
        <v>0.22</v>
      </c>
      <c r="E2464" t="s">
        <v>42</v>
      </c>
      <c r="F2464" t="s">
        <v>31</v>
      </c>
      <c r="G2464" t="s">
        <v>43</v>
      </c>
      <c r="H2464" t="s">
        <v>15</v>
      </c>
      <c r="I2464" s="26" t="s">
        <v>33</v>
      </c>
    </row>
    <row r="2465" spans="1:9" x14ac:dyDescent="0.3">
      <c r="A2465" s="24">
        <v>45366</v>
      </c>
      <c r="B2465" t="s">
        <v>28</v>
      </c>
      <c r="C2465" t="s">
        <v>29</v>
      </c>
      <c r="D2465">
        <v>0.25</v>
      </c>
      <c r="E2465" t="s">
        <v>40</v>
      </c>
      <c r="F2465" t="s">
        <v>31</v>
      </c>
      <c r="G2465" t="s">
        <v>579</v>
      </c>
      <c r="H2465" t="s">
        <v>15</v>
      </c>
      <c r="I2465" s="26" t="s">
        <v>33</v>
      </c>
    </row>
    <row r="2466" spans="1:9" x14ac:dyDescent="0.3">
      <c r="A2466" s="24">
        <v>45366</v>
      </c>
      <c r="B2466" t="s">
        <v>28</v>
      </c>
      <c r="C2466" t="s">
        <v>29</v>
      </c>
      <c r="D2466">
        <v>0.27</v>
      </c>
      <c r="E2466" t="s">
        <v>30</v>
      </c>
      <c r="F2466" t="s">
        <v>55</v>
      </c>
      <c r="G2466" t="s">
        <v>1840</v>
      </c>
      <c r="H2466" t="s">
        <v>15</v>
      </c>
      <c r="I2466" s="26" t="s">
        <v>33</v>
      </c>
    </row>
    <row r="2467" spans="1:9" x14ac:dyDescent="0.3">
      <c r="A2467" s="24">
        <v>45366</v>
      </c>
      <c r="B2467" t="s">
        <v>28</v>
      </c>
      <c r="C2467" t="s">
        <v>29</v>
      </c>
      <c r="D2467">
        <v>0.37</v>
      </c>
      <c r="E2467" t="s">
        <v>44</v>
      </c>
      <c r="F2467" t="s">
        <v>31</v>
      </c>
      <c r="G2467" t="s">
        <v>38</v>
      </c>
      <c r="H2467" t="s">
        <v>15</v>
      </c>
      <c r="I2467" s="26" t="s">
        <v>33</v>
      </c>
    </row>
    <row r="2468" spans="1:9" x14ac:dyDescent="0.3">
      <c r="A2468" s="24">
        <v>45366</v>
      </c>
      <c r="B2468" t="s">
        <v>28</v>
      </c>
      <c r="C2468" t="s">
        <v>29</v>
      </c>
      <c r="D2468">
        <v>0.53</v>
      </c>
      <c r="E2468" t="s">
        <v>35</v>
      </c>
      <c r="F2468" t="s">
        <v>31</v>
      </c>
      <c r="G2468" t="s">
        <v>1841</v>
      </c>
      <c r="H2468" t="s">
        <v>15</v>
      </c>
      <c r="I2468" s="26" t="s">
        <v>33</v>
      </c>
    </row>
    <row r="2469" spans="1:9" x14ac:dyDescent="0.3">
      <c r="A2469" s="24">
        <v>45366</v>
      </c>
      <c r="B2469" t="s">
        <v>28</v>
      </c>
      <c r="C2469" t="s">
        <v>29</v>
      </c>
      <c r="D2469">
        <v>0.55000000000000004</v>
      </c>
      <c r="E2469" t="s">
        <v>49</v>
      </c>
      <c r="F2469" t="s">
        <v>31</v>
      </c>
      <c r="G2469" t="s">
        <v>579</v>
      </c>
      <c r="H2469" t="s">
        <v>15</v>
      </c>
      <c r="I2469" s="26" t="s">
        <v>33</v>
      </c>
    </row>
    <row r="2470" spans="1:9" x14ac:dyDescent="0.3">
      <c r="A2470" s="24">
        <v>45366</v>
      </c>
      <c r="B2470" t="s">
        <v>28</v>
      </c>
      <c r="C2470" t="s">
        <v>29</v>
      </c>
      <c r="D2470">
        <v>0.62</v>
      </c>
      <c r="E2470" t="s">
        <v>35</v>
      </c>
      <c r="F2470" t="s">
        <v>31</v>
      </c>
      <c r="G2470" t="s">
        <v>1842</v>
      </c>
      <c r="H2470" t="s">
        <v>15</v>
      </c>
      <c r="I2470" s="26" t="s">
        <v>33</v>
      </c>
    </row>
    <row r="2471" spans="1:9" x14ac:dyDescent="0.3">
      <c r="A2471" s="24">
        <v>45366</v>
      </c>
      <c r="B2471" t="s">
        <v>28</v>
      </c>
      <c r="C2471" t="s">
        <v>29</v>
      </c>
      <c r="D2471">
        <v>0.87</v>
      </c>
      <c r="E2471" t="s">
        <v>42</v>
      </c>
      <c r="F2471" t="s">
        <v>31</v>
      </c>
      <c r="G2471" t="s">
        <v>579</v>
      </c>
      <c r="H2471" t="s">
        <v>15</v>
      </c>
      <c r="I2471" s="26" t="s">
        <v>33</v>
      </c>
    </row>
    <row r="2472" spans="1:9" x14ac:dyDescent="0.3">
      <c r="A2472" s="24">
        <v>45366</v>
      </c>
      <c r="B2472" t="s">
        <v>28</v>
      </c>
      <c r="C2472" t="s">
        <v>29</v>
      </c>
      <c r="D2472">
        <v>1.17</v>
      </c>
      <c r="E2472" t="s">
        <v>49</v>
      </c>
      <c r="F2472" t="s">
        <v>31</v>
      </c>
      <c r="G2472" t="s">
        <v>43</v>
      </c>
      <c r="H2472" t="s">
        <v>15</v>
      </c>
      <c r="I2472" s="26" t="s">
        <v>33</v>
      </c>
    </row>
    <row r="2473" spans="1:9" x14ac:dyDescent="0.3">
      <c r="A2473" s="24">
        <v>45366</v>
      </c>
      <c r="B2473" t="s">
        <v>28</v>
      </c>
      <c r="C2473" t="s">
        <v>29</v>
      </c>
      <c r="D2473">
        <v>1.38</v>
      </c>
      <c r="E2473" t="s">
        <v>30</v>
      </c>
      <c r="F2473" t="s">
        <v>55</v>
      </c>
      <c r="G2473" t="s">
        <v>1843</v>
      </c>
      <c r="H2473" t="s">
        <v>15</v>
      </c>
      <c r="I2473" s="26" t="s">
        <v>33</v>
      </c>
    </row>
    <row r="2474" spans="1:9" x14ac:dyDescent="0.3">
      <c r="A2474" s="24">
        <v>45366</v>
      </c>
      <c r="B2474" t="s">
        <v>28</v>
      </c>
      <c r="C2474" t="s">
        <v>53</v>
      </c>
      <c r="D2474">
        <v>0.25</v>
      </c>
      <c r="E2474" t="s">
        <v>54</v>
      </c>
      <c r="F2474" t="s">
        <v>55</v>
      </c>
      <c r="G2474" t="s">
        <v>56</v>
      </c>
      <c r="H2474" t="s">
        <v>15</v>
      </c>
      <c r="I2474" s="26" t="s">
        <v>33</v>
      </c>
    </row>
    <row r="2475" spans="1:9" x14ac:dyDescent="0.3">
      <c r="A2475" s="24">
        <v>45366</v>
      </c>
      <c r="B2475" t="s">
        <v>28</v>
      </c>
      <c r="C2475" t="s">
        <v>53</v>
      </c>
      <c r="D2475">
        <v>0.25</v>
      </c>
      <c r="E2475" t="s">
        <v>54</v>
      </c>
      <c r="F2475" t="s">
        <v>55</v>
      </c>
      <c r="G2475" t="s">
        <v>57</v>
      </c>
      <c r="H2475" t="s">
        <v>15</v>
      </c>
      <c r="I2475" s="26" t="s">
        <v>33</v>
      </c>
    </row>
    <row r="2476" spans="1:9" x14ac:dyDescent="0.3">
      <c r="A2476" s="24">
        <v>45366</v>
      </c>
      <c r="B2476" t="s">
        <v>28</v>
      </c>
      <c r="C2476" t="s">
        <v>148</v>
      </c>
      <c r="D2476">
        <v>0.13</v>
      </c>
      <c r="E2476" t="s">
        <v>54</v>
      </c>
      <c r="F2476" t="s">
        <v>55</v>
      </c>
      <c r="G2476" t="s">
        <v>1844</v>
      </c>
      <c r="H2476" t="s">
        <v>15</v>
      </c>
      <c r="I2476" s="26" t="s">
        <v>33</v>
      </c>
    </row>
    <row r="2477" spans="1:9" x14ac:dyDescent="0.3">
      <c r="A2477" s="24">
        <v>45366</v>
      </c>
      <c r="B2477" t="s">
        <v>28</v>
      </c>
      <c r="C2477" t="s">
        <v>60</v>
      </c>
      <c r="D2477">
        <v>0.15</v>
      </c>
      <c r="E2477" t="s">
        <v>62</v>
      </c>
      <c r="F2477" t="s">
        <v>31</v>
      </c>
      <c r="H2477" t="s">
        <v>15</v>
      </c>
      <c r="I2477" s="26" t="s">
        <v>33</v>
      </c>
    </row>
    <row r="2478" spans="1:9" x14ac:dyDescent="0.3">
      <c r="A2478" s="24">
        <v>45366</v>
      </c>
      <c r="B2478" t="s">
        <v>64</v>
      </c>
      <c r="C2478" t="s">
        <v>65</v>
      </c>
      <c r="D2478">
        <v>0.92</v>
      </c>
      <c r="E2478" t="s">
        <v>66</v>
      </c>
      <c r="F2478" t="s">
        <v>31</v>
      </c>
      <c r="G2478" t="s">
        <v>1845</v>
      </c>
      <c r="H2478" t="s">
        <v>15</v>
      </c>
      <c r="I2478" s="26" t="s">
        <v>33</v>
      </c>
    </row>
    <row r="2479" spans="1:9" x14ac:dyDescent="0.3">
      <c r="A2479" s="24">
        <v>45366</v>
      </c>
      <c r="B2479" t="s">
        <v>64</v>
      </c>
      <c r="C2479" t="s">
        <v>68</v>
      </c>
      <c r="D2479">
        <v>0.5</v>
      </c>
      <c r="E2479" t="s">
        <v>66</v>
      </c>
      <c r="F2479" t="s">
        <v>31</v>
      </c>
      <c r="G2479" t="s">
        <v>1846</v>
      </c>
      <c r="H2479" t="s">
        <v>15</v>
      </c>
      <c r="I2479" s="26" t="s">
        <v>33</v>
      </c>
    </row>
    <row r="2480" spans="1:9" x14ac:dyDescent="0.3">
      <c r="A2480" s="24">
        <v>45366</v>
      </c>
      <c r="B2480" t="s">
        <v>64</v>
      </c>
      <c r="C2480" t="s">
        <v>70</v>
      </c>
      <c r="D2480">
        <v>0.67</v>
      </c>
      <c r="E2480" t="s">
        <v>66</v>
      </c>
      <c r="F2480" t="s">
        <v>31</v>
      </c>
      <c r="G2480" t="s">
        <v>1847</v>
      </c>
      <c r="H2480" t="s">
        <v>15</v>
      </c>
      <c r="I2480" s="26" t="s">
        <v>33</v>
      </c>
    </row>
    <row r="2481" spans="1:9" x14ac:dyDescent="0.3">
      <c r="A2481" s="24">
        <v>45366</v>
      </c>
      <c r="B2481" t="s">
        <v>72</v>
      </c>
      <c r="C2481" t="s">
        <v>73</v>
      </c>
      <c r="D2481">
        <v>4</v>
      </c>
      <c r="E2481" t="s">
        <v>54</v>
      </c>
      <c r="F2481" t="s">
        <v>55</v>
      </c>
      <c r="H2481" t="s">
        <v>15</v>
      </c>
      <c r="I2481" s="26" t="s">
        <v>33</v>
      </c>
    </row>
    <row r="2482" spans="1:9" x14ac:dyDescent="0.3">
      <c r="A2482" s="24">
        <v>45366</v>
      </c>
      <c r="B2482" t="s">
        <v>72</v>
      </c>
      <c r="C2482" t="s">
        <v>29</v>
      </c>
      <c r="D2482">
        <v>0.42</v>
      </c>
      <c r="E2482" t="s">
        <v>358</v>
      </c>
      <c r="F2482" t="s">
        <v>31</v>
      </c>
      <c r="G2482" t="s">
        <v>1848</v>
      </c>
      <c r="H2482" t="s">
        <v>15</v>
      </c>
      <c r="I2482" s="26" t="s">
        <v>33</v>
      </c>
    </row>
    <row r="2483" spans="1:9" x14ac:dyDescent="0.3">
      <c r="A2483" s="24">
        <v>45366</v>
      </c>
      <c r="B2483" t="s">
        <v>72</v>
      </c>
      <c r="C2483" t="s">
        <v>29</v>
      </c>
      <c r="D2483">
        <v>0.85</v>
      </c>
      <c r="E2483" t="s">
        <v>358</v>
      </c>
      <c r="F2483" t="s">
        <v>31</v>
      </c>
      <c r="H2483" t="s">
        <v>15</v>
      </c>
      <c r="I2483" s="26" t="s">
        <v>33</v>
      </c>
    </row>
    <row r="2484" spans="1:9" x14ac:dyDescent="0.3">
      <c r="A2484" s="24">
        <v>45366</v>
      </c>
      <c r="B2484" t="s">
        <v>72</v>
      </c>
      <c r="C2484" t="s">
        <v>29</v>
      </c>
      <c r="D2484">
        <v>0.97</v>
      </c>
      <c r="E2484" t="s">
        <v>271</v>
      </c>
      <c r="F2484" t="s">
        <v>31</v>
      </c>
      <c r="H2484" t="s">
        <v>15</v>
      </c>
      <c r="I2484" s="26" t="s">
        <v>33</v>
      </c>
    </row>
    <row r="2485" spans="1:9" x14ac:dyDescent="0.3">
      <c r="A2485" s="24">
        <v>45366</v>
      </c>
      <c r="B2485" t="s">
        <v>72</v>
      </c>
      <c r="C2485" t="s">
        <v>53</v>
      </c>
      <c r="D2485">
        <v>0.6</v>
      </c>
      <c r="E2485" t="s">
        <v>54</v>
      </c>
      <c r="F2485" t="s">
        <v>55</v>
      </c>
      <c r="G2485" t="s">
        <v>1849</v>
      </c>
      <c r="H2485" t="s">
        <v>15</v>
      </c>
      <c r="I2485" s="26" t="s">
        <v>33</v>
      </c>
    </row>
    <row r="2486" spans="1:9" x14ac:dyDescent="0.3">
      <c r="A2486" s="24">
        <v>45366</v>
      </c>
      <c r="B2486" t="s">
        <v>72</v>
      </c>
      <c r="C2486" t="s">
        <v>53</v>
      </c>
      <c r="D2486">
        <v>1.18</v>
      </c>
      <c r="E2486" t="s">
        <v>54</v>
      </c>
      <c r="F2486" t="s">
        <v>55</v>
      </c>
      <c r="H2486" t="s">
        <v>15</v>
      </c>
      <c r="I2486" s="26" t="s">
        <v>33</v>
      </c>
    </row>
    <row r="2487" spans="1:9" x14ac:dyDescent="0.3">
      <c r="A2487" s="24">
        <v>45366</v>
      </c>
      <c r="B2487" t="s">
        <v>75</v>
      </c>
      <c r="C2487" t="s">
        <v>77</v>
      </c>
      <c r="D2487">
        <v>9</v>
      </c>
      <c r="E2487" t="s">
        <v>54</v>
      </c>
      <c r="F2487" t="s">
        <v>55</v>
      </c>
      <c r="G2487" t="s">
        <v>1385</v>
      </c>
      <c r="H2487" t="s">
        <v>15</v>
      </c>
      <c r="I2487" s="26" t="s">
        <v>33</v>
      </c>
    </row>
    <row r="2488" spans="1:9" x14ac:dyDescent="0.3">
      <c r="A2488" s="24">
        <v>45366</v>
      </c>
      <c r="B2488" t="s">
        <v>79</v>
      </c>
      <c r="C2488" t="s">
        <v>53</v>
      </c>
      <c r="D2488">
        <v>8</v>
      </c>
      <c r="E2488" t="s">
        <v>54</v>
      </c>
      <c r="F2488" t="s">
        <v>55</v>
      </c>
      <c r="H2488" t="s">
        <v>15</v>
      </c>
      <c r="I2488" s="26" t="s">
        <v>33</v>
      </c>
    </row>
    <row r="2489" spans="1:9" x14ac:dyDescent="0.3">
      <c r="A2489" s="24">
        <v>45366</v>
      </c>
      <c r="B2489" t="s">
        <v>80</v>
      </c>
      <c r="C2489" t="s">
        <v>29</v>
      </c>
      <c r="D2489">
        <v>0.83</v>
      </c>
      <c r="E2489" t="s">
        <v>81</v>
      </c>
      <c r="F2489" t="s">
        <v>31</v>
      </c>
      <c r="G2489" t="s">
        <v>1850</v>
      </c>
      <c r="H2489" t="s">
        <v>15</v>
      </c>
      <c r="I2489" s="26" t="s">
        <v>33</v>
      </c>
    </row>
    <row r="2490" spans="1:9" x14ac:dyDescent="0.3">
      <c r="A2490" s="24">
        <v>45366</v>
      </c>
      <c r="B2490" t="s">
        <v>80</v>
      </c>
      <c r="C2490" t="s">
        <v>29</v>
      </c>
      <c r="D2490">
        <v>1.6</v>
      </c>
      <c r="E2490" t="s">
        <v>81</v>
      </c>
      <c r="F2490" t="s">
        <v>31</v>
      </c>
      <c r="G2490" t="s">
        <v>1851</v>
      </c>
      <c r="H2490" t="s">
        <v>15</v>
      </c>
      <c r="I2490" s="26" t="s">
        <v>33</v>
      </c>
    </row>
    <row r="2491" spans="1:9" x14ac:dyDescent="0.3">
      <c r="A2491" s="24">
        <v>45366</v>
      </c>
      <c r="B2491" t="s">
        <v>80</v>
      </c>
      <c r="C2491" t="s">
        <v>29</v>
      </c>
      <c r="D2491">
        <v>1.67</v>
      </c>
      <c r="E2491" t="s">
        <v>81</v>
      </c>
      <c r="F2491" t="s">
        <v>31</v>
      </c>
      <c r="G2491" t="s">
        <v>1852</v>
      </c>
      <c r="H2491" t="s">
        <v>15</v>
      </c>
      <c r="I2491" s="26" t="s">
        <v>33</v>
      </c>
    </row>
    <row r="2492" spans="1:9" x14ac:dyDescent="0.3">
      <c r="A2492" s="24">
        <v>45366</v>
      </c>
      <c r="B2492" t="s">
        <v>80</v>
      </c>
      <c r="C2492" t="s">
        <v>29</v>
      </c>
      <c r="D2492">
        <v>1.77</v>
      </c>
      <c r="E2492" t="s">
        <v>81</v>
      </c>
      <c r="F2492" t="s">
        <v>31</v>
      </c>
      <c r="G2492" t="s">
        <v>1853</v>
      </c>
      <c r="H2492" t="s">
        <v>15</v>
      </c>
      <c r="I2492" s="26" t="s">
        <v>33</v>
      </c>
    </row>
    <row r="2493" spans="1:9" x14ac:dyDescent="0.3">
      <c r="A2493" s="24">
        <v>45366</v>
      </c>
      <c r="B2493" t="s">
        <v>80</v>
      </c>
      <c r="C2493" t="s">
        <v>29</v>
      </c>
      <c r="D2493">
        <v>2.4</v>
      </c>
      <c r="E2493" t="s">
        <v>81</v>
      </c>
      <c r="F2493" t="s">
        <v>31</v>
      </c>
      <c r="G2493" t="s">
        <v>1854</v>
      </c>
      <c r="H2493" t="s">
        <v>15</v>
      </c>
      <c r="I2493" s="26" t="s">
        <v>33</v>
      </c>
    </row>
    <row r="2494" spans="1:9" x14ac:dyDescent="0.3">
      <c r="A2494" s="24">
        <v>45366</v>
      </c>
      <c r="B2494" t="s">
        <v>88</v>
      </c>
      <c r="C2494" t="s">
        <v>394</v>
      </c>
      <c r="D2494">
        <v>8</v>
      </c>
      <c r="E2494" t="s">
        <v>54</v>
      </c>
      <c r="F2494" t="s">
        <v>55</v>
      </c>
      <c r="G2494" t="s">
        <v>1855</v>
      </c>
      <c r="H2494" t="s">
        <v>15</v>
      </c>
      <c r="I2494" s="26" t="s">
        <v>33</v>
      </c>
    </row>
    <row r="2495" spans="1:9" x14ac:dyDescent="0.3">
      <c r="A2495" s="24">
        <v>45366</v>
      </c>
      <c r="B2495" t="s">
        <v>93</v>
      </c>
      <c r="C2495" t="s">
        <v>94</v>
      </c>
      <c r="D2495">
        <v>0.02</v>
      </c>
      <c r="E2495" t="s">
        <v>1856</v>
      </c>
      <c r="F2495" t="s">
        <v>55</v>
      </c>
      <c r="H2495" t="s">
        <v>15</v>
      </c>
      <c r="I2495" s="26" t="s">
        <v>33</v>
      </c>
    </row>
    <row r="2496" spans="1:9" x14ac:dyDescent="0.3">
      <c r="A2496" s="24">
        <v>45366</v>
      </c>
      <c r="B2496" t="s">
        <v>93</v>
      </c>
      <c r="C2496" t="s">
        <v>94</v>
      </c>
      <c r="D2496">
        <v>0.02</v>
      </c>
      <c r="E2496" t="s">
        <v>1857</v>
      </c>
      <c r="F2496" t="s">
        <v>55</v>
      </c>
      <c r="H2496" t="s">
        <v>15</v>
      </c>
      <c r="I2496" s="26" t="s">
        <v>33</v>
      </c>
    </row>
    <row r="2497" spans="1:9" x14ac:dyDescent="0.3">
      <c r="A2497" s="24">
        <v>45366</v>
      </c>
      <c r="B2497" t="s">
        <v>93</v>
      </c>
      <c r="C2497" t="s">
        <v>94</v>
      </c>
      <c r="D2497">
        <v>0.02</v>
      </c>
      <c r="E2497" t="s">
        <v>1858</v>
      </c>
      <c r="F2497" t="s">
        <v>55</v>
      </c>
      <c r="H2497" t="s">
        <v>15</v>
      </c>
      <c r="I2497" s="26" t="s">
        <v>33</v>
      </c>
    </row>
    <row r="2498" spans="1:9" x14ac:dyDescent="0.3">
      <c r="A2498" s="24">
        <v>45366</v>
      </c>
      <c r="B2498" t="s">
        <v>93</v>
      </c>
      <c r="C2498" t="s">
        <v>94</v>
      </c>
      <c r="D2498">
        <v>0.02</v>
      </c>
      <c r="E2498" t="s">
        <v>1859</v>
      </c>
      <c r="F2498" t="s">
        <v>55</v>
      </c>
      <c r="H2498" t="s">
        <v>15</v>
      </c>
      <c r="I2498" s="26" t="s">
        <v>33</v>
      </c>
    </row>
    <row r="2499" spans="1:9" x14ac:dyDescent="0.3">
      <c r="A2499" s="24">
        <v>45366</v>
      </c>
      <c r="B2499" t="s">
        <v>93</v>
      </c>
      <c r="C2499" t="s">
        <v>94</v>
      </c>
      <c r="D2499">
        <v>0.02</v>
      </c>
      <c r="E2499" t="s">
        <v>1860</v>
      </c>
      <c r="F2499" t="s">
        <v>55</v>
      </c>
      <c r="H2499" t="s">
        <v>15</v>
      </c>
      <c r="I2499" s="26" t="s">
        <v>33</v>
      </c>
    </row>
    <row r="2500" spans="1:9" x14ac:dyDescent="0.3">
      <c r="A2500" s="24">
        <v>45366</v>
      </c>
      <c r="B2500" t="s">
        <v>99</v>
      </c>
      <c r="C2500" t="s">
        <v>601</v>
      </c>
      <c r="D2500">
        <v>9</v>
      </c>
      <c r="E2500" t="s">
        <v>54</v>
      </c>
      <c r="F2500" t="s">
        <v>55</v>
      </c>
      <c r="G2500" t="s">
        <v>1861</v>
      </c>
      <c r="H2500" t="s">
        <v>15</v>
      </c>
      <c r="I2500" s="26" t="s">
        <v>33</v>
      </c>
    </row>
    <row r="2501" spans="1:9" x14ac:dyDescent="0.3">
      <c r="A2501" s="24">
        <v>45366</v>
      </c>
      <c r="B2501" t="s">
        <v>101</v>
      </c>
      <c r="C2501" t="s">
        <v>29</v>
      </c>
      <c r="D2501">
        <v>0.08</v>
      </c>
      <c r="E2501" t="s">
        <v>195</v>
      </c>
      <c r="F2501" t="s">
        <v>31</v>
      </c>
      <c r="G2501" t="s">
        <v>1862</v>
      </c>
      <c r="H2501" t="s">
        <v>15</v>
      </c>
      <c r="I2501" s="26" t="s">
        <v>33</v>
      </c>
    </row>
    <row r="2502" spans="1:9" x14ac:dyDescent="0.3">
      <c r="A2502" s="24">
        <v>45366</v>
      </c>
      <c r="B2502" t="s">
        <v>101</v>
      </c>
      <c r="C2502" t="s">
        <v>29</v>
      </c>
      <c r="D2502">
        <v>1.25</v>
      </c>
      <c r="E2502" t="s">
        <v>108</v>
      </c>
      <c r="F2502" t="s">
        <v>31</v>
      </c>
      <c r="G2502" t="s">
        <v>1863</v>
      </c>
      <c r="H2502" t="s">
        <v>15</v>
      </c>
      <c r="I2502" s="26" t="s">
        <v>33</v>
      </c>
    </row>
    <row r="2503" spans="1:9" x14ac:dyDescent="0.3">
      <c r="A2503" s="24">
        <v>45366</v>
      </c>
      <c r="B2503" t="s">
        <v>101</v>
      </c>
      <c r="C2503" t="s">
        <v>29</v>
      </c>
      <c r="D2503">
        <v>2</v>
      </c>
      <c r="E2503" t="s">
        <v>1246</v>
      </c>
      <c r="F2503" t="s">
        <v>31</v>
      </c>
      <c r="G2503" t="s">
        <v>1864</v>
      </c>
      <c r="H2503" t="s">
        <v>15</v>
      </c>
      <c r="I2503" s="26" t="s">
        <v>33</v>
      </c>
    </row>
    <row r="2504" spans="1:9" x14ac:dyDescent="0.3">
      <c r="A2504" s="24">
        <v>45366</v>
      </c>
      <c r="B2504" t="s">
        <v>101</v>
      </c>
      <c r="C2504" t="s">
        <v>29</v>
      </c>
      <c r="D2504">
        <v>2.25</v>
      </c>
      <c r="E2504" t="s">
        <v>105</v>
      </c>
      <c r="F2504" t="s">
        <v>31</v>
      </c>
      <c r="G2504" t="s">
        <v>1113</v>
      </c>
      <c r="H2504" t="s">
        <v>15</v>
      </c>
      <c r="I2504" s="26" t="s">
        <v>33</v>
      </c>
    </row>
    <row r="2505" spans="1:9" x14ac:dyDescent="0.3">
      <c r="A2505" s="24">
        <v>45366</v>
      </c>
      <c r="B2505" t="s">
        <v>101</v>
      </c>
      <c r="C2505" t="s">
        <v>53</v>
      </c>
      <c r="D2505">
        <v>0.5</v>
      </c>
      <c r="E2505" t="s">
        <v>54</v>
      </c>
      <c r="F2505" t="s">
        <v>55</v>
      </c>
      <c r="G2505" t="s">
        <v>110</v>
      </c>
      <c r="H2505" t="s">
        <v>15</v>
      </c>
      <c r="I2505" s="26" t="s">
        <v>33</v>
      </c>
    </row>
    <row r="2506" spans="1:9" x14ac:dyDescent="0.3">
      <c r="A2506" s="24">
        <v>45366</v>
      </c>
      <c r="B2506" t="s">
        <v>101</v>
      </c>
      <c r="C2506" t="s">
        <v>90</v>
      </c>
      <c r="D2506">
        <v>0.17</v>
      </c>
      <c r="E2506" t="s">
        <v>1865</v>
      </c>
      <c r="F2506" t="s">
        <v>55</v>
      </c>
      <c r="G2506" t="s">
        <v>1866</v>
      </c>
      <c r="H2506" t="s">
        <v>15</v>
      </c>
      <c r="I2506" s="26" t="s">
        <v>33</v>
      </c>
    </row>
    <row r="2507" spans="1:9" x14ac:dyDescent="0.3">
      <c r="A2507" s="24">
        <v>45366</v>
      </c>
      <c r="B2507" t="s">
        <v>101</v>
      </c>
      <c r="C2507" t="s">
        <v>60</v>
      </c>
      <c r="D2507">
        <v>0.57999999999999996</v>
      </c>
      <c r="E2507" t="s">
        <v>295</v>
      </c>
      <c r="F2507" t="s">
        <v>55</v>
      </c>
      <c r="G2507" t="s">
        <v>1867</v>
      </c>
      <c r="H2507" t="s">
        <v>15</v>
      </c>
      <c r="I2507" s="26" t="s">
        <v>33</v>
      </c>
    </row>
    <row r="2508" spans="1:9" x14ac:dyDescent="0.3">
      <c r="A2508" s="24">
        <v>45366</v>
      </c>
      <c r="B2508" t="s">
        <v>101</v>
      </c>
      <c r="C2508" t="s">
        <v>60</v>
      </c>
      <c r="D2508">
        <v>1.17</v>
      </c>
      <c r="E2508" t="s">
        <v>295</v>
      </c>
      <c r="F2508" t="s">
        <v>31</v>
      </c>
      <c r="G2508" t="s">
        <v>1868</v>
      </c>
      <c r="H2508" t="s">
        <v>15</v>
      </c>
      <c r="I2508" s="26" t="s">
        <v>33</v>
      </c>
    </row>
    <row r="2509" spans="1:9" x14ac:dyDescent="0.3">
      <c r="A2509" s="24">
        <v>45366</v>
      </c>
      <c r="B2509" t="s">
        <v>113</v>
      </c>
      <c r="C2509" t="s">
        <v>73</v>
      </c>
      <c r="D2509">
        <v>4</v>
      </c>
      <c r="E2509" t="s">
        <v>54</v>
      </c>
      <c r="F2509" t="s">
        <v>55</v>
      </c>
      <c r="H2509" t="s">
        <v>15</v>
      </c>
      <c r="I2509" s="26" t="s">
        <v>33</v>
      </c>
    </row>
    <row r="2510" spans="1:9" x14ac:dyDescent="0.3">
      <c r="A2510" s="24">
        <v>45366</v>
      </c>
      <c r="B2510" t="s">
        <v>113</v>
      </c>
      <c r="C2510" t="s">
        <v>53</v>
      </c>
      <c r="D2510">
        <v>0.25</v>
      </c>
      <c r="E2510" t="s">
        <v>54</v>
      </c>
      <c r="F2510" t="s">
        <v>55</v>
      </c>
      <c r="G2510" t="s">
        <v>110</v>
      </c>
      <c r="H2510" t="s">
        <v>15</v>
      </c>
      <c r="I2510" s="26" t="s">
        <v>33</v>
      </c>
    </row>
    <row r="2511" spans="1:9" x14ac:dyDescent="0.3">
      <c r="A2511" s="24">
        <v>45366</v>
      </c>
      <c r="B2511" t="s">
        <v>113</v>
      </c>
      <c r="C2511" t="s">
        <v>53</v>
      </c>
      <c r="D2511">
        <v>0.73</v>
      </c>
      <c r="E2511" t="s">
        <v>54</v>
      </c>
      <c r="F2511" t="s">
        <v>55</v>
      </c>
      <c r="G2511" t="s">
        <v>1869</v>
      </c>
      <c r="H2511" t="s">
        <v>15</v>
      </c>
      <c r="I2511" s="26" t="s">
        <v>33</v>
      </c>
    </row>
    <row r="2512" spans="1:9" x14ac:dyDescent="0.3">
      <c r="A2512" s="24">
        <v>45366</v>
      </c>
      <c r="B2512" t="s">
        <v>113</v>
      </c>
      <c r="C2512" t="s">
        <v>225</v>
      </c>
      <c r="D2512">
        <v>0.93</v>
      </c>
      <c r="E2512" t="s">
        <v>195</v>
      </c>
      <c r="F2512" t="s">
        <v>31</v>
      </c>
      <c r="G2512" t="s">
        <v>1870</v>
      </c>
      <c r="H2512" t="s">
        <v>15</v>
      </c>
      <c r="I2512" s="26" t="s">
        <v>33</v>
      </c>
    </row>
    <row r="2513" spans="1:9" x14ac:dyDescent="0.3">
      <c r="A2513" s="24">
        <v>45366</v>
      </c>
      <c r="B2513" t="s">
        <v>113</v>
      </c>
      <c r="C2513" t="s">
        <v>58</v>
      </c>
      <c r="D2513">
        <v>1.17</v>
      </c>
      <c r="E2513" t="s">
        <v>54</v>
      </c>
      <c r="F2513" t="s">
        <v>55</v>
      </c>
      <c r="G2513" t="s">
        <v>1871</v>
      </c>
      <c r="H2513" t="s">
        <v>15</v>
      </c>
      <c r="I2513" s="26" t="s">
        <v>33</v>
      </c>
    </row>
    <row r="2514" spans="1:9" x14ac:dyDescent="0.3">
      <c r="A2514" s="24">
        <v>45366</v>
      </c>
      <c r="B2514" t="s">
        <v>113</v>
      </c>
      <c r="C2514" t="s">
        <v>60</v>
      </c>
      <c r="D2514">
        <v>0.92</v>
      </c>
      <c r="E2514" t="s">
        <v>81</v>
      </c>
      <c r="F2514" t="s">
        <v>55</v>
      </c>
      <c r="G2514" t="s">
        <v>1872</v>
      </c>
      <c r="H2514" t="s">
        <v>15</v>
      </c>
      <c r="I2514" s="26" t="s">
        <v>33</v>
      </c>
    </row>
    <row r="2515" spans="1:9" x14ac:dyDescent="0.3">
      <c r="A2515" s="24">
        <v>45366</v>
      </c>
      <c r="B2515" t="s">
        <v>132</v>
      </c>
      <c r="C2515" t="s">
        <v>53</v>
      </c>
      <c r="D2515">
        <v>9.5</v>
      </c>
      <c r="E2515" t="s">
        <v>54</v>
      </c>
      <c r="F2515" t="s">
        <v>55</v>
      </c>
      <c r="G2515" t="s">
        <v>1873</v>
      </c>
      <c r="H2515" t="s">
        <v>15</v>
      </c>
      <c r="I2515" s="26" t="s">
        <v>33</v>
      </c>
    </row>
    <row r="2516" spans="1:9" x14ac:dyDescent="0.3">
      <c r="A2516" s="24">
        <v>45366</v>
      </c>
      <c r="B2516" t="s">
        <v>134</v>
      </c>
      <c r="C2516" t="s">
        <v>29</v>
      </c>
      <c r="D2516">
        <v>0.23</v>
      </c>
      <c r="E2516" t="s">
        <v>139</v>
      </c>
      <c r="F2516" t="s">
        <v>31</v>
      </c>
      <c r="G2516" t="s">
        <v>1874</v>
      </c>
      <c r="H2516" t="s">
        <v>15</v>
      </c>
      <c r="I2516" s="26" t="s">
        <v>33</v>
      </c>
    </row>
    <row r="2517" spans="1:9" x14ac:dyDescent="0.3">
      <c r="A2517" s="24">
        <v>45366</v>
      </c>
      <c r="B2517" t="s">
        <v>134</v>
      </c>
      <c r="C2517" t="s">
        <v>29</v>
      </c>
      <c r="D2517">
        <v>0.5</v>
      </c>
      <c r="E2517" t="s">
        <v>139</v>
      </c>
      <c r="F2517" t="s">
        <v>31</v>
      </c>
      <c r="G2517" t="s">
        <v>207</v>
      </c>
      <c r="H2517" t="s">
        <v>15</v>
      </c>
      <c r="I2517" s="26" t="s">
        <v>33</v>
      </c>
    </row>
    <row r="2518" spans="1:9" x14ac:dyDescent="0.3">
      <c r="A2518" s="24">
        <v>45366</v>
      </c>
      <c r="B2518" t="s">
        <v>134</v>
      </c>
      <c r="C2518" t="s">
        <v>29</v>
      </c>
      <c r="D2518">
        <v>0.6</v>
      </c>
      <c r="E2518" t="s">
        <v>137</v>
      </c>
      <c r="F2518" t="s">
        <v>31</v>
      </c>
      <c r="G2518" t="s">
        <v>1714</v>
      </c>
      <c r="H2518" t="s">
        <v>15</v>
      </c>
      <c r="I2518" s="26" t="s">
        <v>33</v>
      </c>
    </row>
    <row r="2519" spans="1:9" x14ac:dyDescent="0.3">
      <c r="A2519" s="24">
        <v>45366</v>
      </c>
      <c r="B2519" t="s">
        <v>134</v>
      </c>
      <c r="C2519" t="s">
        <v>29</v>
      </c>
      <c r="D2519">
        <v>0.88</v>
      </c>
      <c r="E2519" t="s">
        <v>139</v>
      </c>
      <c r="F2519" t="s">
        <v>31</v>
      </c>
      <c r="G2519" t="s">
        <v>1875</v>
      </c>
      <c r="H2519" t="s">
        <v>15</v>
      </c>
      <c r="I2519" s="26" t="s">
        <v>33</v>
      </c>
    </row>
    <row r="2520" spans="1:9" x14ac:dyDescent="0.3">
      <c r="A2520" s="24">
        <v>45366</v>
      </c>
      <c r="B2520" t="s">
        <v>134</v>
      </c>
      <c r="C2520" t="s">
        <v>29</v>
      </c>
      <c r="D2520">
        <v>0.97</v>
      </c>
      <c r="E2520" t="s">
        <v>420</v>
      </c>
      <c r="F2520" t="s">
        <v>31</v>
      </c>
      <c r="G2520" t="s">
        <v>1876</v>
      </c>
      <c r="H2520" t="s">
        <v>15</v>
      </c>
      <c r="I2520" s="26" t="s">
        <v>33</v>
      </c>
    </row>
    <row r="2521" spans="1:9" x14ac:dyDescent="0.3">
      <c r="A2521" s="24">
        <v>45366</v>
      </c>
      <c r="B2521" t="s">
        <v>134</v>
      </c>
      <c r="C2521" t="s">
        <v>29</v>
      </c>
      <c r="D2521">
        <v>1.28</v>
      </c>
      <c r="E2521" t="s">
        <v>135</v>
      </c>
      <c r="F2521" t="s">
        <v>31</v>
      </c>
      <c r="G2521" t="s">
        <v>103</v>
      </c>
      <c r="H2521" t="s">
        <v>15</v>
      </c>
      <c r="I2521" s="26" t="s">
        <v>33</v>
      </c>
    </row>
    <row r="2522" spans="1:9" x14ac:dyDescent="0.3">
      <c r="A2522" s="24">
        <v>45366</v>
      </c>
      <c r="B2522" t="s">
        <v>134</v>
      </c>
      <c r="C2522" t="s">
        <v>29</v>
      </c>
      <c r="D2522">
        <v>1.3</v>
      </c>
      <c r="E2522" t="s">
        <v>423</v>
      </c>
      <c r="F2522" t="s">
        <v>31</v>
      </c>
      <c r="G2522" t="s">
        <v>103</v>
      </c>
      <c r="H2522" t="s">
        <v>15</v>
      </c>
      <c r="I2522" s="26" t="s">
        <v>33</v>
      </c>
    </row>
    <row r="2523" spans="1:9" x14ac:dyDescent="0.3">
      <c r="A2523" s="24">
        <v>45366</v>
      </c>
      <c r="B2523" t="s">
        <v>134</v>
      </c>
      <c r="C2523" t="s">
        <v>142</v>
      </c>
      <c r="D2523">
        <v>0.87</v>
      </c>
      <c r="E2523" t="s">
        <v>143</v>
      </c>
      <c r="F2523" t="s">
        <v>31</v>
      </c>
      <c r="G2523" t="s">
        <v>1877</v>
      </c>
      <c r="H2523" t="s">
        <v>15</v>
      </c>
      <c r="I2523" s="26" t="s">
        <v>33</v>
      </c>
    </row>
    <row r="2524" spans="1:9" x14ac:dyDescent="0.3">
      <c r="A2524" s="24">
        <v>45366</v>
      </c>
      <c r="B2524" t="s">
        <v>134</v>
      </c>
      <c r="C2524" t="s">
        <v>142</v>
      </c>
      <c r="D2524">
        <v>0.87</v>
      </c>
      <c r="E2524" t="s">
        <v>143</v>
      </c>
      <c r="F2524" t="s">
        <v>31</v>
      </c>
      <c r="G2524" t="s">
        <v>1130</v>
      </c>
      <c r="H2524" t="s">
        <v>15</v>
      </c>
      <c r="I2524" s="26" t="s">
        <v>33</v>
      </c>
    </row>
    <row r="2525" spans="1:9" x14ac:dyDescent="0.3">
      <c r="A2525" s="24">
        <v>45366</v>
      </c>
      <c r="B2525" t="s">
        <v>134</v>
      </c>
      <c r="C2525" t="s">
        <v>53</v>
      </c>
      <c r="D2525">
        <v>0.5</v>
      </c>
      <c r="E2525" t="s">
        <v>54</v>
      </c>
      <c r="F2525" t="s">
        <v>55</v>
      </c>
      <c r="G2525" t="s">
        <v>110</v>
      </c>
      <c r="H2525" t="s">
        <v>15</v>
      </c>
      <c r="I2525" s="26" t="s">
        <v>33</v>
      </c>
    </row>
    <row r="2526" spans="1:9" x14ac:dyDescent="0.3">
      <c r="A2526" s="24">
        <v>45366</v>
      </c>
      <c r="B2526" t="s">
        <v>150</v>
      </c>
      <c r="C2526" t="s">
        <v>29</v>
      </c>
      <c r="D2526">
        <v>0.25</v>
      </c>
      <c r="E2526" t="s">
        <v>151</v>
      </c>
      <c r="F2526" t="s">
        <v>31</v>
      </c>
      <c r="G2526" t="s">
        <v>1878</v>
      </c>
      <c r="H2526" t="s">
        <v>15</v>
      </c>
      <c r="I2526" s="26" t="s">
        <v>33</v>
      </c>
    </row>
    <row r="2527" spans="1:9" x14ac:dyDescent="0.3">
      <c r="A2527" s="24">
        <v>45366</v>
      </c>
      <c r="B2527" t="s">
        <v>150</v>
      </c>
      <c r="C2527" t="s">
        <v>29</v>
      </c>
      <c r="D2527">
        <v>0.33</v>
      </c>
      <c r="E2527" t="s">
        <v>151</v>
      </c>
      <c r="F2527" t="s">
        <v>55</v>
      </c>
      <c r="G2527" t="s">
        <v>1879</v>
      </c>
      <c r="H2527" t="s">
        <v>15</v>
      </c>
      <c r="I2527" s="26" t="s">
        <v>33</v>
      </c>
    </row>
    <row r="2528" spans="1:9" x14ac:dyDescent="0.3">
      <c r="A2528" s="24">
        <v>45366</v>
      </c>
      <c r="B2528" t="s">
        <v>150</v>
      </c>
      <c r="C2528" t="s">
        <v>29</v>
      </c>
      <c r="D2528">
        <v>1.38</v>
      </c>
      <c r="E2528" t="s">
        <v>437</v>
      </c>
      <c r="F2528" t="s">
        <v>31</v>
      </c>
      <c r="G2528" t="s">
        <v>1133</v>
      </c>
      <c r="H2528" t="s">
        <v>15</v>
      </c>
      <c r="I2528" s="26" t="s">
        <v>33</v>
      </c>
    </row>
    <row r="2529" spans="1:9" x14ac:dyDescent="0.3">
      <c r="A2529" s="24">
        <v>45366</v>
      </c>
      <c r="B2529" t="s">
        <v>150</v>
      </c>
      <c r="C2529" t="s">
        <v>29</v>
      </c>
      <c r="D2529">
        <v>1.7</v>
      </c>
      <c r="E2529" t="s">
        <v>437</v>
      </c>
      <c r="F2529" t="s">
        <v>31</v>
      </c>
      <c r="G2529" t="s">
        <v>1563</v>
      </c>
      <c r="H2529" t="s">
        <v>15</v>
      </c>
      <c r="I2529" s="26" t="s">
        <v>33</v>
      </c>
    </row>
    <row r="2530" spans="1:9" x14ac:dyDescent="0.3">
      <c r="A2530" s="24">
        <v>45366</v>
      </c>
      <c r="B2530" t="s">
        <v>150</v>
      </c>
      <c r="C2530" t="s">
        <v>53</v>
      </c>
      <c r="D2530">
        <v>0.25</v>
      </c>
      <c r="E2530" t="s">
        <v>54</v>
      </c>
      <c r="F2530" t="s">
        <v>55</v>
      </c>
      <c r="G2530" t="s">
        <v>1880</v>
      </c>
      <c r="H2530" t="s">
        <v>15</v>
      </c>
      <c r="I2530" s="26" t="s">
        <v>33</v>
      </c>
    </row>
    <row r="2531" spans="1:9" x14ac:dyDescent="0.3">
      <c r="A2531" s="24">
        <v>45366</v>
      </c>
      <c r="B2531" t="s">
        <v>150</v>
      </c>
      <c r="C2531" t="s">
        <v>159</v>
      </c>
      <c r="D2531">
        <v>0.78</v>
      </c>
      <c r="E2531" t="s">
        <v>114</v>
      </c>
      <c r="F2531" t="s">
        <v>31</v>
      </c>
      <c r="G2531" t="s">
        <v>1261</v>
      </c>
      <c r="H2531" t="s">
        <v>15</v>
      </c>
      <c r="I2531" s="26" t="s">
        <v>33</v>
      </c>
    </row>
    <row r="2532" spans="1:9" x14ac:dyDescent="0.3">
      <c r="A2532" s="24">
        <v>45366</v>
      </c>
      <c r="B2532" t="s">
        <v>150</v>
      </c>
      <c r="C2532" t="s">
        <v>60</v>
      </c>
      <c r="D2532">
        <v>1.17</v>
      </c>
      <c r="E2532" t="s">
        <v>162</v>
      </c>
      <c r="F2532" t="s">
        <v>31</v>
      </c>
      <c r="G2532" t="s">
        <v>1881</v>
      </c>
      <c r="H2532" t="s">
        <v>15</v>
      </c>
      <c r="I2532" s="26" t="s">
        <v>33</v>
      </c>
    </row>
    <row r="2533" spans="1:9" x14ac:dyDescent="0.3">
      <c r="A2533" s="24">
        <v>45366</v>
      </c>
      <c r="B2533" t="s">
        <v>150</v>
      </c>
      <c r="C2533" t="s">
        <v>60</v>
      </c>
      <c r="D2533">
        <v>2.13</v>
      </c>
      <c r="E2533" t="s">
        <v>162</v>
      </c>
      <c r="F2533" t="s">
        <v>31</v>
      </c>
      <c r="G2533" t="s">
        <v>1882</v>
      </c>
      <c r="H2533" t="s">
        <v>15</v>
      </c>
      <c r="I2533" s="26" t="s">
        <v>33</v>
      </c>
    </row>
    <row r="2534" spans="1:9" x14ac:dyDescent="0.3">
      <c r="A2534" s="24">
        <v>45366</v>
      </c>
      <c r="B2534" t="s">
        <v>164</v>
      </c>
      <c r="C2534" t="s">
        <v>29</v>
      </c>
      <c r="D2534">
        <v>2.2799999999999998</v>
      </c>
      <c r="E2534" t="s">
        <v>953</v>
      </c>
      <c r="F2534" t="s">
        <v>31</v>
      </c>
      <c r="G2534" t="s">
        <v>1424</v>
      </c>
      <c r="H2534" t="s">
        <v>15</v>
      </c>
      <c r="I2534" s="26" t="s">
        <v>33</v>
      </c>
    </row>
    <row r="2535" spans="1:9" x14ac:dyDescent="0.3">
      <c r="A2535" s="24">
        <v>45366</v>
      </c>
      <c r="B2535" t="s">
        <v>164</v>
      </c>
      <c r="C2535" t="s">
        <v>29</v>
      </c>
      <c r="D2535">
        <v>2.88</v>
      </c>
      <c r="E2535" t="s">
        <v>953</v>
      </c>
      <c r="F2535" t="s">
        <v>31</v>
      </c>
      <c r="G2535" t="s">
        <v>1569</v>
      </c>
      <c r="H2535" t="s">
        <v>15</v>
      </c>
      <c r="I2535" s="26" t="s">
        <v>33</v>
      </c>
    </row>
    <row r="2536" spans="1:9" x14ac:dyDescent="0.3">
      <c r="A2536" s="24">
        <v>45366</v>
      </c>
      <c r="B2536" t="s">
        <v>164</v>
      </c>
      <c r="C2536" t="s">
        <v>85</v>
      </c>
      <c r="D2536">
        <v>0.47</v>
      </c>
      <c r="E2536" t="s">
        <v>96</v>
      </c>
      <c r="F2536" t="s">
        <v>55</v>
      </c>
      <c r="G2536" t="s">
        <v>1883</v>
      </c>
      <c r="H2536" t="s">
        <v>15</v>
      </c>
      <c r="I2536" s="26" t="s">
        <v>33</v>
      </c>
    </row>
    <row r="2537" spans="1:9" x14ac:dyDescent="0.3">
      <c r="A2537" s="24">
        <v>45366</v>
      </c>
      <c r="B2537" t="s">
        <v>164</v>
      </c>
      <c r="C2537" t="s">
        <v>53</v>
      </c>
      <c r="D2537">
        <v>0.25</v>
      </c>
      <c r="E2537" t="s">
        <v>54</v>
      </c>
      <c r="F2537" t="s">
        <v>55</v>
      </c>
      <c r="G2537" t="s">
        <v>1722</v>
      </c>
      <c r="H2537" t="s">
        <v>15</v>
      </c>
      <c r="I2537" s="26" t="s">
        <v>33</v>
      </c>
    </row>
    <row r="2538" spans="1:9" x14ac:dyDescent="0.3">
      <c r="A2538" s="24">
        <v>45366</v>
      </c>
      <c r="B2538" t="s">
        <v>164</v>
      </c>
      <c r="C2538" t="s">
        <v>53</v>
      </c>
      <c r="D2538">
        <v>0.38</v>
      </c>
      <c r="E2538" t="s">
        <v>54</v>
      </c>
      <c r="F2538" t="s">
        <v>55</v>
      </c>
      <c r="G2538" t="s">
        <v>1884</v>
      </c>
      <c r="H2538" t="s">
        <v>15</v>
      </c>
      <c r="I2538" s="26" t="s">
        <v>33</v>
      </c>
    </row>
    <row r="2539" spans="1:9" x14ac:dyDescent="0.3">
      <c r="A2539" s="24">
        <v>45366</v>
      </c>
      <c r="B2539" t="s">
        <v>164</v>
      </c>
      <c r="C2539" t="s">
        <v>53</v>
      </c>
      <c r="D2539">
        <v>0.43</v>
      </c>
      <c r="E2539" t="s">
        <v>54</v>
      </c>
      <c r="F2539" t="s">
        <v>55</v>
      </c>
      <c r="G2539" t="s">
        <v>1885</v>
      </c>
      <c r="H2539" t="s">
        <v>15</v>
      </c>
      <c r="I2539" s="26" t="s">
        <v>33</v>
      </c>
    </row>
    <row r="2540" spans="1:9" x14ac:dyDescent="0.3">
      <c r="A2540" s="24">
        <v>45366</v>
      </c>
      <c r="B2540" t="s">
        <v>164</v>
      </c>
      <c r="C2540" t="s">
        <v>53</v>
      </c>
      <c r="D2540">
        <v>0.62</v>
      </c>
      <c r="E2540" t="s">
        <v>54</v>
      </c>
      <c r="F2540" t="s">
        <v>55</v>
      </c>
      <c r="G2540" t="s">
        <v>1886</v>
      </c>
      <c r="H2540" t="s">
        <v>15</v>
      </c>
      <c r="I2540" s="26" t="s">
        <v>33</v>
      </c>
    </row>
    <row r="2541" spans="1:9" x14ac:dyDescent="0.3">
      <c r="A2541" s="24">
        <v>45366</v>
      </c>
      <c r="B2541" t="s">
        <v>164</v>
      </c>
      <c r="C2541" t="s">
        <v>58</v>
      </c>
      <c r="D2541">
        <v>0.73</v>
      </c>
      <c r="E2541" t="s">
        <v>54</v>
      </c>
      <c r="F2541" t="s">
        <v>55</v>
      </c>
      <c r="G2541" t="s">
        <v>1887</v>
      </c>
      <c r="H2541" t="s">
        <v>15</v>
      </c>
      <c r="I2541" s="26" t="s">
        <v>33</v>
      </c>
    </row>
    <row r="2542" spans="1:9" x14ac:dyDescent="0.3">
      <c r="A2542" s="24">
        <v>45366</v>
      </c>
      <c r="B2542" t="s">
        <v>169</v>
      </c>
      <c r="C2542" t="s">
        <v>29</v>
      </c>
      <c r="D2542">
        <v>0.37</v>
      </c>
      <c r="E2542" t="s">
        <v>35</v>
      </c>
      <c r="F2542" t="s">
        <v>31</v>
      </c>
      <c r="G2542" t="s">
        <v>63</v>
      </c>
      <c r="H2542" t="s">
        <v>15</v>
      </c>
      <c r="I2542" s="26" t="s">
        <v>33</v>
      </c>
    </row>
    <row r="2543" spans="1:9" x14ac:dyDescent="0.3">
      <c r="A2543" s="24">
        <v>45366</v>
      </c>
      <c r="B2543" t="s">
        <v>169</v>
      </c>
      <c r="C2543" t="s">
        <v>29</v>
      </c>
      <c r="D2543">
        <v>4.63</v>
      </c>
      <c r="E2543" t="s">
        <v>170</v>
      </c>
      <c r="F2543" t="s">
        <v>31</v>
      </c>
      <c r="H2543" t="s">
        <v>15</v>
      </c>
      <c r="I2543" s="26" t="s">
        <v>33</v>
      </c>
    </row>
    <row r="2544" spans="1:9" x14ac:dyDescent="0.3">
      <c r="A2544" s="24">
        <v>45366</v>
      </c>
      <c r="B2544" t="s">
        <v>169</v>
      </c>
      <c r="C2544" t="s">
        <v>58</v>
      </c>
      <c r="D2544">
        <v>0.65</v>
      </c>
      <c r="E2544" t="s">
        <v>54</v>
      </c>
      <c r="F2544" t="s">
        <v>55</v>
      </c>
      <c r="G2544" t="s">
        <v>171</v>
      </c>
      <c r="H2544" t="s">
        <v>15</v>
      </c>
      <c r="I2544" s="26" t="s">
        <v>33</v>
      </c>
    </row>
    <row r="2545" spans="1:9" x14ac:dyDescent="0.3">
      <c r="A2545" s="24">
        <v>45366</v>
      </c>
      <c r="B2545" t="s">
        <v>169</v>
      </c>
      <c r="C2545" t="s">
        <v>60</v>
      </c>
      <c r="D2545">
        <v>0.33</v>
      </c>
      <c r="E2545" t="s">
        <v>445</v>
      </c>
      <c r="F2545" t="s">
        <v>31</v>
      </c>
      <c r="G2545" t="s">
        <v>1888</v>
      </c>
      <c r="H2545" t="s">
        <v>15</v>
      </c>
      <c r="I2545" s="26" t="s">
        <v>33</v>
      </c>
    </row>
    <row r="2546" spans="1:9" x14ac:dyDescent="0.3">
      <c r="A2546" s="24">
        <v>45366</v>
      </c>
      <c r="B2546" t="s">
        <v>169</v>
      </c>
      <c r="C2546" t="s">
        <v>60</v>
      </c>
      <c r="D2546">
        <v>0.95</v>
      </c>
      <c r="E2546" t="s">
        <v>35</v>
      </c>
      <c r="F2546" t="s">
        <v>31</v>
      </c>
      <c r="H2546" t="s">
        <v>15</v>
      </c>
      <c r="I2546" s="26" t="s">
        <v>33</v>
      </c>
    </row>
    <row r="2547" spans="1:9" x14ac:dyDescent="0.3">
      <c r="A2547" s="24">
        <v>45366</v>
      </c>
      <c r="B2547" t="s">
        <v>169</v>
      </c>
      <c r="C2547" t="s">
        <v>60</v>
      </c>
      <c r="D2547">
        <v>1.1200000000000001</v>
      </c>
      <c r="E2547" t="s">
        <v>445</v>
      </c>
      <c r="F2547" t="s">
        <v>31</v>
      </c>
      <c r="G2547" t="s">
        <v>1889</v>
      </c>
      <c r="H2547" t="s">
        <v>15</v>
      </c>
      <c r="I2547" s="26" t="s">
        <v>33</v>
      </c>
    </row>
    <row r="2548" spans="1:9" x14ac:dyDescent="0.3">
      <c r="A2548" s="24">
        <v>45366</v>
      </c>
      <c r="B2548" t="s">
        <v>175</v>
      </c>
      <c r="C2548" t="s">
        <v>29</v>
      </c>
      <c r="D2548">
        <v>0.13</v>
      </c>
      <c r="E2548" t="s">
        <v>179</v>
      </c>
      <c r="F2548" t="s">
        <v>31</v>
      </c>
      <c r="H2548" t="s">
        <v>15</v>
      </c>
      <c r="I2548" s="26" t="s">
        <v>33</v>
      </c>
    </row>
    <row r="2549" spans="1:9" x14ac:dyDescent="0.3">
      <c r="A2549" s="24">
        <v>45366</v>
      </c>
      <c r="B2549" t="s">
        <v>175</v>
      </c>
      <c r="C2549" t="s">
        <v>29</v>
      </c>
      <c r="D2549">
        <v>0.25</v>
      </c>
      <c r="E2549" t="s">
        <v>176</v>
      </c>
      <c r="F2549" t="s">
        <v>31</v>
      </c>
      <c r="H2549" t="s">
        <v>15</v>
      </c>
      <c r="I2549" s="26" t="s">
        <v>33</v>
      </c>
    </row>
    <row r="2550" spans="1:9" x14ac:dyDescent="0.3">
      <c r="A2550" s="24">
        <v>45366</v>
      </c>
      <c r="B2550" t="s">
        <v>175</v>
      </c>
      <c r="C2550" t="s">
        <v>29</v>
      </c>
      <c r="D2550">
        <v>0.5</v>
      </c>
      <c r="E2550" t="s">
        <v>177</v>
      </c>
      <c r="F2550" t="s">
        <v>31</v>
      </c>
      <c r="G2550" t="s">
        <v>1890</v>
      </c>
      <c r="H2550" t="s">
        <v>15</v>
      </c>
      <c r="I2550" s="26" t="s">
        <v>33</v>
      </c>
    </row>
    <row r="2551" spans="1:9" x14ac:dyDescent="0.3">
      <c r="A2551" s="24">
        <v>45366</v>
      </c>
      <c r="B2551" t="s">
        <v>175</v>
      </c>
      <c r="C2551" t="s">
        <v>29</v>
      </c>
      <c r="D2551">
        <v>0.5</v>
      </c>
      <c r="E2551" t="s">
        <v>178</v>
      </c>
      <c r="F2551" t="s">
        <v>31</v>
      </c>
      <c r="H2551" t="s">
        <v>15</v>
      </c>
      <c r="I2551" s="26" t="s">
        <v>33</v>
      </c>
    </row>
    <row r="2552" spans="1:9" x14ac:dyDescent="0.3">
      <c r="A2552" s="24">
        <v>45366</v>
      </c>
      <c r="B2552" t="s">
        <v>175</v>
      </c>
      <c r="C2552" t="s">
        <v>29</v>
      </c>
      <c r="D2552">
        <v>0.56999999999999995</v>
      </c>
      <c r="E2552" t="s">
        <v>182</v>
      </c>
      <c r="F2552" t="s">
        <v>31</v>
      </c>
      <c r="G2552" t="s">
        <v>1891</v>
      </c>
      <c r="H2552" t="s">
        <v>15</v>
      </c>
      <c r="I2552" s="26" t="s">
        <v>33</v>
      </c>
    </row>
    <row r="2553" spans="1:9" x14ac:dyDescent="0.3">
      <c r="A2553" s="24">
        <v>45366</v>
      </c>
      <c r="B2553" t="s">
        <v>175</v>
      </c>
      <c r="C2553" t="s">
        <v>29</v>
      </c>
      <c r="D2553">
        <v>1.47</v>
      </c>
      <c r="E2553" t="s">
        <v>182</v>
      </c>
      <c r="F2553" t="s">
        <v>31</v>
      </c>
      <c r="G2553" t="s">
        <v>1892</v>
      </c>
      <c r="H2553" t="s">
        <v>15</v>
      </c>
      <c r="I2553" s="26" t="s">
        <v>33</v>
      </c>
    </row>
    <row r="2554" spans="1:9" x14ac:dyDescent="0.3">
      <c r="A2554" s="24">
        <v>45366</v>
      </c>
      <c r="B2554" t="s">
        <v>175</v>
      </c>
      <c r="C2554" t="s">
        <v>29</v>
      </c>
      <c r="D2554">
        <v>1.78</v>
      </c>
      <c r="E2554" t="s">
        <v>182</v>
      </c>
      <c r="F2554" t="s">
        <v>31</v>
      </c>
      <c r="H2554" t="s">
        <v>15</v>
      </c>
      <c r="I2554" s="26" t="s">
        <v>33</v>
      </c>
    </row>
    <row r="2555" spans="1:9" x14ac:dyDescent="0.3">
      <c r="A2555" s="24">
        <v>45366</v>
      </c>
      <c r="B2555" t="s">
        <v>175</v>
      </c>
      <c r="C2555" t="s">
        <v>29</v>
      </c>
      <c r="D2555">
        <v>2.13</v>
      </c>
      <c r="E2555" t="s">
        <v>127</v>
      </c>
      <c r="F2555" t="s">
        <v>31</v>
      </c>
      <c r="H2555" t="s">
        <v>15</v>
      </c>
      <c r="I2555" s="26" t="s">
        <v>33</v>
      </c>
    </row>
    <row r="2556" spans="1:9" x14ac:dyDescent="0.3">
      <c r="A2556" s="24">
        <v>45366</v>
      </c>
      <c r="B2556" t="s">
        <v>175</v>
      </c>
      <c r="C2556" t="s">
        <v>58</v>
      </c>
      <c r="D2556">
        <v>0.5</v>
      </c>
      <c r="E2556" t="s">
        <v>54</v>
      </c>
      <c r="F2556" t="s">
        <v>55</v>
      </c>
      <c r="G2556" t="s">
        <v>1893</v>
      </c>
      <c r="H2556" t="s">
        <v>15</v>
      </c>
      <c r="I2556" s="26" t="s">
        <v>33</v>
      </c>
    </row>
    <row r="2557" spans="1:9" x14ac:dyDescent="0.3">
      <c r="A2557" s="24">
        <v>45366</v>
      </c>
      <c r="B2557" t="s">
        <v>175</v>
      </c>
      <c r="C2557" t="s">
        <v>60</v>
      </c>
      <c r="D2557">
        <v>0.17</v>
      </c>
      <c r="E2557" t="s">
        <v>177</v>
      </c>
      <c r="F2557" t="s">
        <v>31</v>
      </c>
      <c r="H2557" t="s">
        <v>15</v>
      </c>
      <c r="I2557" s="26" t="s">
        <v>33</v>
      </c>
    </row>
    <row r="2558" spans="1:9" x14ac:dyDescent="0.3">
      <c r="A2558" s="24">
        <v>45366</v>
      </c>
      <c r="B2558" t="s">
        <v>188</v>
      </c>
      <c r="C2558" t="s">
        <v>454</v>
      </c>
      <c r="D2558">
        <v>8</v>
      </c>
      <c r="E2558" t="s">
        <v>54</v>
      </c>
      <c r="F2558" t="s">
        <v>55</v>
      </c>
      <c r="G2558" t="s">
        <v>1277</v>
      </c>
      <c r="H2558" t="s">
        <v>15</v>
      </c>
      <c r="I2558" s="26" t="s">
        <v>33</v>
      </c>
    </row>
    <row r="2559" spans="1:9" x14ac:dyDescent="0.3">
      <c r="A2559" s="24">
        <v>45366</v>
      </c>
      <c r="B2559" t="s">
        <v>190</v>
      </c>
      <c r="C2559" t="s">
        <v>89</v>
      </c>
      <c r="D2559">
        <v>8</v>
      </c>
      <c r="E2559" t="s">
        <v>54</v>
      </c>
      <c r="F2559" t="s">
        <v>55</v>
      </c>
      <c r="H2559" t="s">
        <v>15</v>
      </c>
      <c r="I2559" s="26" t="s">
        <v>33</v>
      </c>
    </row>
    <row r="2560" spans="1:9" x14ac:dyDescent="0.3">
      <c r="A2560" s="24">
        <v>45366</v>
      </c>
      <c r="B2560" t="s">
        <v>191</v>
      </c>
      <c r="C2560" t="s">
        <v>442</v>
      </c>
      <c r="D2560">
        <v>8</v>
      </c>
      <c r="E2560" t="s">
        <v>54</v>
      </c>
      <c r="F2560" t="s">
        <v>55</v>
      </c>
      <c r="G2560" t="s">
        <v>442</v>
      </c>
      <c r="H2560" t="s">
        <v>15</v>
      </c>
      <c r="I2560" s="26" t="s">
        <v>33</v>
      </c>
    </row>
    <row r="2561" spans="1:9" x14ac:dyDescent="0.3">
      <c r="A2561" s="24">
        <v>45366</v>
      </c>
      <c r="B2561" t="s">
        <v>193</v>
      </c>
      <c r="C2561" t="s">
        <v>29</v>
      </c>
      <c r="D2561">
        <v>0.17</v>
      </c>
      <c r="E2561" t="s">
        <v>104</v>
      </c>
      <c r="F2561" t="s">
        <v>31</v>
      </c>
      <c r="G2561" t="s">
        <v>1894</v>
      </c>
      <c r="H2561" t="s">
        <v>15</v>
      </c>
      <c r="I2561" s="26" t="s">
        <v>33</v>
      </c>
    </row>
    <row r="2562" spans="1:9" x14ac:dyDescent="0.3">
      <c r="A2562" s="24">
        <v>45366</v>
      </c>
      <c r="B2562" t="s">
        <v>193</v>
      </c>
      <c r="C2562" t="s">
        <v>29</v>
      </c>
      <c r="D2562">
        <v>0.25</v>
      </c>
      <c r="E2562" t="s">
        <v>205</v>
      </c>
      <c r="F2562" t="s">
        <v>31</v>
      </c>
      <c r="G2562" t="s">
        <v>1895</v>
      </c>
      <c r="H2562" t="s">
        <v>15</v>
      </c>
      <c r="I2562" s="26" t="s">
        <v>33</v>
      </c>
    </row>
    <row r="2563" spans="1:9" x14ac:dyDescent="0.3">
      <c r="A2563" s="24">
        <v>45366</v>
      </c>
      <c r="B2563" t="s">
        <v>193</v>
      </c>
      <c r="C2563" t="s">
        <v>29</v>
      </c>
      <c r="D2563">
        <v>0.95</v>
      </c>
      <c r="E2563" t="s">
        <v>229</v>
      </c>
      <c r="F2563" t="s">
        <v>31</v>
      </c>
      <c r="G2563" t="s">
        <v>1896</v>
      </c>
      <c r="H2563" t="s">
        <v>15</v>
      </c>
      <c r="I2563" s="26" t="s">
        <v>33</v>
      </c>
    </row>
    <row r="2564" spans="1:9" x14ac:dyDescent="0.3">
      <c r="A2564" s="24">
        <v>45366</v>
      </c>
      <c r="B2564" t="s">
        <v>193</v>
      </c>
      <c r="C2564" t="s">
        <v>197</v>
      </c>
      <c r="D2564">
        <v>0.18</v>
      </c>
      <c r="E2564" t="s">
        <v>54</v>
      </c>
      <c r="F2564" t="s">
        <v>55</v>
      </c>
      <c r="G2564" t="s">
        <v>1897</v>
      </c>
      <c r="H2564" t="s">
        <v>15</v>
      </c>
      <c r="I2564" s="26" t="s">
        <v>33</v>
      </c>
    </row>
    <row r="2565" spans="1:9" x14ac:dyDescent="0.3">
      <c r="A2565" s="24">
        <v>45366</v>
      </c>
      <c r="B2565" t="s">
        <v>193</v>
      </c>
      <c r="C2565" t="s">
        <v>202</v>
      </c>
      <c r="D2565">
        <v>0.13</v>
      </c>
      <c r="E2565" t="s">
        <v>1246</v>
      </c>
      <c r="F2565" t="s">
        <v>31</v>
      </c>
      <c r="G2565" t="s">
        <v>1898</v>
      </c>
      <c r="H2565" t="s">
        <v>15</v>
      </c>
      <c r="I2565" s="26" t="s">
        <v>33</v>
      </c>
    </row>
    <row r="2566" spans="1:9" x14ac:dyDescent="0.3">
      <c r="A2566" s="24">
        <v>45366</v>
      </c>
      <c r="B2566" t="s">
        <v>193</v>
      </c>
      <c r="C2566" t="s">
        <v>202</v>
      </c>
      <c r="D2566">
        <v>0.38</v>
      </c>
      <c r="E2566" t="s">
        <v>748</v>
      </c>
      <c r="F2566" t="s">
        <v>31</v>
      </c>
      <c r="H2566" t="s">
        <v>15</v>
      </c>
      <c r="I2566" s="26" t="s">
        <v>33</v>
      </c>
    </row>
    <row r="2567" spans="1:9" x14ac:dyDescent="0.3">
      <c r="A2567" s="24">
        <v>45366</v>
      </c>
      <c r="B2567" t="s">
        <v>193</v>
      </c>
      <c r="C2567" t="s">
        <v>202</v>
      </c>
      <c r="D2567">
        <v>1.3</v>
      </c>
      <c r="E2567" t="s">
        <v>205</v>
      </c>
      <c r="F2567" t="s">
        <v>31</v>
      </c>
      <c r="G2567" t="s">
        <v>1899</v>
      </c>
      <c r="H2567" t="s">
        <v>15</v>
      </c>
      <c r="I2567" s="26" t="s">
        <v>33</v>
      </c>
    </row>
    <row r="2568" spans="1:9" x14ac:dyDescent="0.3">
      <c r="A2568" s="24">
        <v>45366</v>
      </c>
      <c r="B2568" t="s">
        <v>193</v>
      </c>
      <c r="C2568" t="s">
        <v>85</v>
      </c>
      <c r="D2568">
        <v>0.5</v>
      </c>
      <c r="E2568" t="s">
        <v>162</v>
      </c>
      <c r="F2568" t="s">
        <v>31</v>
      </c>
      <c r="G2568" t="s">
        <v>1900</v>
      </c>
      <c r="H2568" t="s">
        <v>15</v>
      </c>
      <c r="I2568" s="26" t="s">
        <v>33</v>
      </c>
    </row>
    <row r="2569" spans="1:9" x14ac:dyDescent="0.3">
      <c r="A2569" s="24">
        <v>45366</v>
      </c>
      <c r="B2569" t="s">
        <v>193</v>
      </c>
      <c r="C2569" t="s">
        <v>53</v>
      </c>
      <c r="D2569">
        <v>2.25</v>
      </c>
      <c r="E2569" t="s">
        <v>54</v>
      </c>
      <c r="F2569" t="s">
        <v>55</v>
      </c>
      <c r="G2569" t="s">
        <v>1901</v>
      </c>
      <c r="H2569" t="s">
        <v>15</v>
      </c>
      <c r="I2569" s="26" t="s">
        <v>33</v>
      </c>
    </row>
    <row r="2570" spans="1:9" x14ac:dyDescent="0.3">
      <c r="A2570" s="24">
        <v>45366</v>
      </c>
      <c r="B2570" t="s">
        <v>193</v>
      </c>
      <c r="C2570" t="s">
        <v>58</v>
      </c>
      <c r="D2570">
        <v>1</v>
      </c>
      <c r="E2570" t="s">
        <v>54</v>
      </c>
      <c r="F2570" t="s">
        <v>55</v>
      </c>
      <c r="G2570" t="s">
        <v>1902</v>
      </c>
      <c r="H2570" t="s">
        <v>15</v>
      </c>
      <c r="I2570" s="26" t="s">
        <v>33</v>
      </c>
    </row>
    <row r="2571" spans="1:9" x14ac:dyDescent="0.3">
      <c r="A2571" s="24">
        <v>45366</v>
      </c>
      <c r="B2571" t="s">
        <v>212</v>
      </c>
      <c r="C2571" t="s">
        <v>85</v>
      </c>
      <c r="D2571">
        <v>0.22</v>
      </c>
      <c r="E2571" t="s">
        <v>967</v>
      </c>
      <c r="F2571" t="s">
        <v>55</v>
      </c>
      <c r="G2571" t="s">
        <v>1903</v>
      </c>
      <c r="H2571" t="s">
        <v>15</v>
      </c>
      <c r="I2571" s="26" t="s">
        <v>33</v>
      </c>
    </row>
    <row r="2572" spans="1:9" x14ac:dyDescent="0.3">
      <c r="A2572" s="24">
        <v>45366</v>
      </c>
      <c r="B2572" t="s">
        <v>212</v>
      </c>
      <c r="C2572" t="s">
        <v>53</v>
      </c>
      <c r="D2572">
        <v>0.12</v>
      </c>
      <c r="E2572" t="s">
        <v>54</v>
      </c>
      <c r="F2572" t="s">
        <v>55</v>
      </c>
      <c r="G2572" t="s">
        <v>1904</v>
      </c>
      <c r="H2572" t="s">
        <v>15</v>
      </c>
      <c r="I2572" s="26" t="s">
        <v>33</v>
      </c>
    </row>
    <row r="2573" spans="1:9" x14ac:dyDescent="0.3">
      <c r="A2573" s="24">
        <v>45366</v>
      </c>
      <c r="B2573" t="s">
        <v>212</v>
      </c>
      <c r="C2573" t="s">
        <v>53</v>
      </c>
      <c r="D2573">
        <v>0.25</v>
      </c>
      <c r="E2573" t="s">
        <v>54</v>
      </c>
      <c r="F2573" t="s">
        <v>55</v>
      </c>
      <c r="G2573" t="s">
        <v>1905</v>
      </c>
      <c r="H2573" t="s">
        <v>15</v>
      </c>
      <c r="I2573" s="26" t="s">
        <v>33</v>
      </c>
    </row>
    <row r="2574" spans="1:9" x14ac:dyDescent="0.3">
      <c r="A2574" s="24">
        <v>45366</v>
      </c>
      <c r="B2574" t="s">
        <v>212</v>
      </c>
      <c r="C2574" t="s">
        <v>53</v>
      </c>
      <c r="D2574">
        <v>0.25</v>
      </c>
      <c r="E2574" t="s">
        <v>54</v>
      </c>
      <c r="F2574" t="s">
        <v>55</v>
      </c>
      <c r="G2574" t="s">
        <v>1906</v>
      </c>
      <c r="H2574" t="s">
        <v>15</v>
      </c>
      <c r="I2574" s="26" t="s">
        <v>33</v>
      </c>
    </row>
    <row r="2575" spans="1:9" x14ac:dyDescent="0.3">
      <c r="A2575" s="24">
        <v>45366</v>
      </c>
      <c r="B2575" t="s">
        <v>212</v>
      </c>
      <c r="C2575" t="s">
        <v>53</v>
      </c>
      <c r="D2575">
        <v>3.12</v>
      </c>
      <c r="E2575" t="s">
        <v>54</v>
      </c>
      <c r="F2575" t="s">
        <v>55</v>
      </c>
      <c r="G2575" t="s">
        <v>1907</v>
      </c>
      <c r="H2575" t="s">
        <v>15</v>
      </c>
      <c r="I2575" s="26" t="s">
        <v>33</v>
      </c>
    </row>
    <row r="2576" spans="1:9" x14ac:dyDescent="0.3">
      <c r="A2576" s="24">
        <v>45366</v>
      </c>
      <c r="B2576" t="s">
        <v>212</v>
      </c>
      <c r="C2576" t="s">
        <v>225</v>
      </c>
      <c r="D2576">
        <v>0.08</v>
      </c>
      <c r="E2576" t="s">
        <v>1808</v>
      </c>
      <c r="F2576" t="s">
        <v>31</v>
      </c>
      <c r="H2576" t="s">
        <v>15</v>
      </c>
      <c r="I2576" s="26" t="s">
        <v>33</v>
      </c>
    </row>
    <row r="2577" spans="1:9" x14ac:dyDescent="0.3">
      <c r="A2577" s="24">
        <v>45366</v>
      </c>
      <c r="B2577" t="s">
        <v>212</v>
      </c>
      <c r="C2577" t="s">
        <v>225</v>
      </c>
      <c r="D2577">
        <v>0.3</v>
      </c>
      <c r="E2577" t="s">
        <v>967</v>
      </c>
      <c r="F2577" t="s">
        <v>31</v>
      </c>
      <c r="G2577" t="s">
        <v>1908</v>
      </c>
      <c r="H2577" t="s">
        <v>15</v>
      </c>
      <c r="I2577" s="26" t="s">
        <v>33</v>
      </c>
    </row>
    <row r="2578" spans="1:9" x14ac:dyDescent="0.3">
      <c r="A2578" s="24">
        <v>45366</v>
      </c>
      <c r="B2578" t="s">
        <v>212</v>
      </c>
      <c r="C2578" t="s">
        <v>225</v>
      </c>
      <c r="D2578">
        <v>1.03</v>
      </c>
      <c r="E2578" t="s">
        <v>967</v>
      </c>
      <c r="F2578" t="s">
        <v>31</v>
      </c>
      <c r="G2578" t="s">
        <v>494</v>
      </c>
      <c r="H2578" t="s">
        <v>15</v>
      </c>
      <c r="I2578" s="26" t="s">
        <v>33</v>
      </c>
    </row>
    <row r="2579" spans="1:9" x14ac:dyDescent="0.3">
      <c r="A2579" s="24">
        <v>45366</v>
      </c>
      <c r="B2579" t="s">
        <v>212</v>
      </c>
      <c r="C2579" t="s">
        <v>232</v>
      </c>
      <c r="D2579">
        <v>0.8</v>
      </c>
      <c r="E2579" t="s">
        <v>1170</v>
      </c>
      <c r="F2579" t="s">
        <v>31</v>
      </c>
      <c r="G2579" t="s">
        <v>1909</v>
      </c>
      <c r="H2579" t="s">
        <v>15</v>
      </c>
      <c r="I2579" s="26" t="s">
        <v>33</v>
      </c>
    </row>
    <row r="2580" spans="1:9" x14ac:dyDescent="0.3">
      <c r="A2580" s="24">
        <v>45366</v>
      </c>
      <c r="B2580" t="s">
        <v>212</v>
      </c>
      <c r="C2580" t="s">
        <v>232</v>
      </c>
      <c r="D2580">
        <v>1.25</v>
      </c>
      <c r="E2580" t="s">
        <v>1170</v>
      </c>
      <c r="F2580" t="s">
        <v>31</v>
      </c>
      <c r="G2580" t="s">
        <v>494</v>
      </c>
      <c r="H2580" t="s">
        <v>15</v>
      </c>
      <c r="I2580" s="26" t="s">
        <v>33</v>
      </c>
    </row>
    <row r="2581" spans="1:9" x14ac:dyDescent="0.3">
      <c r="A2581" s="24">
        <v>45366</v>
      </c>
      <c r="B2581" t="s">
        <v>212</v>
      </c>
      <c r="C2581" t="s">
        <v>148</v>
      </c>
      <c r="D2581">
        <v>0.43</v>
      </c>
      <c r="E2581" t="s">
        <v>54</v>
      </c>
      <c r="F2581" t="s">
        <v>55</v>
      </c>
      <c r="G2581" t="s">
        <v>1910</v>
      </c>
      <c r="H2581" t="s">
        <v>15</v>
      </c>
      <c r="I2581" s="26" t="s">
        <v>33</v>
      </c>
    </row>
    <row r="2582" spans="1:9" x14ac:dyDescent="0.3">
      <c r="A2582" s="24">
        <v>45366</v>
      </c>
      <c r="B2582" t="s">
        <v>212</v>
      </c>
      <c r="C2582" t="s">
        <v>58</v>
      </c>
      <c r="D2582">
        <v>0.17</v>
      </c>
      <c r="E2582" t="s">
        <v>54</v>
      </c>
      <c r="F2582" t="s">
        <v>55</v>
      </c>
      <c r="G2582" t="s">
        <v>1911</v>
      </c>
      <c r="H2582" t="s">
        <v>15</v>
      </c>
      <c r="I2582" s="26" t="s">
        <v>33</v>
      </c>
    </row>
    <row r="2583" spans="1:9" x14ac:dyDescent="0.3">
      <c r="A2583" s="24">
        <v>45366</v>
      </c>
      <c r="B2583" t="s">
        <v>240</v>
      </c>
      <c r="C2583" t="s">
        <v>29</v>
      </c>
      <c r="D2583">
        <v>0.73</v>
      </c>
      <c r="E2583" t="s">
        <v>242</v>
      </c>
      <c r="F2583" t="s">
        <v>31</v>
      </c>
      <c r="H2583" t="s">
        <v>15</v>
      </c>
      <c r="I2583" s="26" t="s">
        <v>33</v>
      </c>
    </row>
    <row r="2584" spans="1:9" x14ac:dyDescent="0.3">
      <c r="A2584" s="24">
        <v>45366</v>
      </c>
      <c r="B2584" t="s">
        <v>240</v>
      </c>
      <c r="C2584" t="s">
        <v>29</v>
      </c>
      <c r="D2584">
        <v>6.22</v>
      </c>
      <c r="E2584" t="s">
        <v>81</v>
      </c>
      <c r="F2584" t="s">
        <v>31</v>
      </c>
      <c r="H2584" t="s">
        <v>15</v>
      </c>
      <c r="I2584" s="26" t="s">
        <v>33</v>
      </c>
    </row>
    <row r="2585" spans="1:9" x14ac:dyDescent="0.3">
      <c r="A2585" s="24">
        <v>45366</v>
      </c>
      <c r="B2585" t="s">
        <v>240</v>
      </c>
      <c r="C2585" t="s">
        <v>53</v>
      </c>
      <c r="D2585">
        <v>0.3</v>
      </c>
      <c r="E2585" t="s">
        <v>54</v>
      </c>
      <c r="F2585" t="s">
        <v>55</v>
      </c>
      <c r="G2585" t="s">
        <v>1470</v>
      </c>
      <c r="H2585" t="s">
        <v>15</v>
      </c>
      <c r="I2585" s="26" t="s">
        <v>33</v>
      </c>
    </row>
    <row r="2586" spans="1:9" x14ac:dyDescent="0.3">
      <c r="A2586" s="24">
        <v>45366</v>
      </c>
      <c r="B2586" t="s">
        <v>240</v>
      </c>
      <c r="C2586" t="s">
        <v>58</v>
      </c>
      <c r="D2586">
        <v>0.75</v>
      </c>
      <c r="E2586" t="s">
        <v>54</v>
      </c>
      <c r="F2586" t="s">
        <v>55</v>
      </c>
      <c r="G2586" t="s">
        <v>59</v>
      </c>
      <c r="H2586" t="s">
        <v>15</v>
      </c>
      <c r="I2586" s="26" t="s">
        <v>33</v>
      </c>
    </row>
    <row r="2587" spans="1:9" x14ac:dyDescent="0.3">
      <c r="A2587" s="24">
        <v>45366</v>
      </c>
      <c r="B2587" t="s">
        <v>245</v>
      </c>
      <c r="C2587" t="s">
        <v>29</v>
      </c>
      <c r="D2587">
        <v>0.75</v>
      </c>
      <c r="E2587" t="s">
        <v>91</v>
      </c>
      <c r="F2587" t="s">
        <v>31</v>
      </c>
      <c r="G2587" t="s">
        <v>1912</v>
      </c>
      <c r="H2587" t="s">
        <v>15</v>
      </c>
      <c r="I2587" s="26" t="s">
        <v>33</v>
      </c>
    </row>
    <row r="2588" spans="1:9" x14ac:dyDescent="0.3">
      <c r="A2588" s="24">
        <v>45366</v>
      </c>
      <c r="B2588" t="s">
        <v>249</v>
      </c>
      <c r="C2588" t="s">
        <v>250</v>
      </c>
      <c r="D2588">
        <v>1</v>
      </c>
      <c r="E2588" t="s">
        <v>81</v>
      </c>
      <c r="F2588" t="s">
        <v>55</v>
      </c>
      <c r="G2588" t="s">
        <v>1913</v>
      </c>
      <c r="H2588" t="s">
        <v>15</v>
      </c>
      <c r="I2588" s="26" t="s">
        <v>33</v>
      </c>
    </row>
    <row r="2589" spans="1:9" x14ac:dyDescent="0.3">
      <c r="A2589" s="24">
        <v>45366</v>
      </c>
      <c r="B2589" t="s">
        <v>249</v>
      </c>
      <c r="C2589" t="s">
        <v>252</v>
      </c>
      <c r="D2589">
        <v>0.5</v>
      </c>
      <c r="E2589" t="s">
        <v>54</v>
      </c>
      <c r="F2589" t="s">
        <v>55</v>
      </c>
      <c r="G2589" t="s">
        <v>1914</v>
      </c>
      <c r="H2589" t="s">
        <v>15</v>
      </c>
      <c r="I2589" s="26" t="s">
        <v>33</v>
      </c>
    </row>
    <row r="2590" spans="1:9" x14ac:dyDescent="0.3">
      <c r="A2590" s="24">
        <v>45366</v>
      </c>
      <c r="B2590" t="s">
        <v>249</v>
      </c>
      <c r="C2590" t="s">
        <v>252</v>
      </c>
      <c r="D2590">
        <v>1</v>
      </c>
      <c r="E2590" t="s">
        <v>54</v>
      </c>
      <c r="F2590" t="s">
        <v>55</v>
      </c>
      <c r="G2590" t="s">
        <v>1915</v>
      </c>
      <c r="H2590" t="s">
        <v>15</v>
      </c>
      <c r="I2590" s="26" t="s">
        <v>33</v>
      </c>
    </row>
    <row r="2591" spans="1:9" x14ac:dyDescent="0.3">
      <c r="A2591" s="24">
        <v>45366</v>
      </c>
      <c r="B2591" t="s">
        <v>249</v>
      </c>
      <c r="C2591" t="s">
        <v>252</v>
      </c>
      <c r="D2591">
        <v>5</v>
      </c>
      <c r="E2591" t="s">
        <v>81</v>
      </c>
      <c r="F2591" t="s">
        <v>31</v>
      </c>
      <c r="H2591" t="s">
        <v>15</v>
      </c>
      <c r="I2591" s="26" t="s">
        <v>33</v>
      </c>
    </row>
    <row r="2592" spans="1:9" x14ac:dyDescent="0.3">
      <c r="A2592" s="24">
        <v>45366</v>
      </c>
      <c r="B2592" t="s">
        <v>249</v>
      </c>
      <c r="C2592" t="s">
        <v>53</v>
      </c>
      <c r="D2592">
        <v>0.5</v>
      </c>
      <c r="E2592" t="s">
        <v>54</v>
      </c>
      <c r="F2592" t="s">
        <v>55</v>
      </c>
      <c r="G2592" t="s">
        <v>110</v>
      </c>
      <c r="H2592" t="s">
        <v>15</v>
      </c>
      <c r="I2592" s="26" t="s">
        <v>33</v>
      </c>
    </row>
    <row r="2593" spans="1:9" x14ac:dyDescent="0.3">
      <c r="A2593" s="24">
        <v>45366</v>
      </c>
      <c r="B2593" t="s">
        <v>256</v>
      </c>
      <c r="C2593" t="s">
        <v>85</v>
      </c>
      <c r="D2593">
        <v>8</v>
      </c>
      <c r="E2593" t="s">
        <v>54</v>
      </c>
      <c r="F2593" t="s">
        <v>55</v>
      </c>
      <c r="G2593" t="s">
        <v>1916</v>
      </c>
      <c r="H2593" t="s">
        <v>15</v>
      </c>
      <c r="I2593" s="26" t="s">
        <v>33</v>
      </c>
    </row>
    <row r="2594" spans="1:9" x14ac:dyDescent="0.3">
      <c r="A2594" s="24">
        <v>45366</v>
      </c>
      <c r="B2594" t="s">
        <v>262</v>
      </c>
      <c r="C2594" t="s">
        <v>29</v>
      </c>
      <c r="D2594">
        <v>0.35</v>
      </c>
      <c r="E2594" t="s">
        <v>263</v>
      </c>
      <c r="F2594" t="s">
        <v>31</v>
      </c>
      <c r="G2594" t="s">
        <v>1917</v>
      </c>
      <c r="H2594" t="s">
        <v>15</v>
      </c>
      <c r="I2594" s="26" t="s">
        <v>33</v>
      </c>
    </row>
    <row r="2595" spans="1:9" x14ac:dyDescent="0.3">
      <c r="A2595" s="24">
        <v>45366</v>
      </c>
      <c r="B2595" t="s">
        <v>262</v>
      </c>
      <c r="C2595" t="s">
        <v>29</v>
      </c>
      <c r="D2595">
        <v>2.2000000000000002</v>
      </c>
      <c r="E2595" t="s">
        <v>263</v>
      </c>
      <c r="F2595" t="s">
        <v>31</v>
      </c>
      <c r="G2595" t="s">
        <v>1918</v>
      </c>
      <c r="H2595" t="s">
        <v>15</v>
      </c>
      <c r="I2595" s="26" t="s">
        <v>33</v>
      </c>
    </row>
    <row r="2596" spans="1:9" x14ac:dyDescent="0.3">
      <c r="A2596" s="24">
        <v>45366</v>
      </c>
      <c r="B2596" t="s">
        <v>262</v>
      </c>
      <c r="C2596" t="s">
        <v>29</v>
      </c>
      <c r="D2596">
        <v>4.4000000000000004</v>
      </c>
      <c r="E2596" t="s">
        <v>263</v>
      </c>
      <c r="F2596" t="s">
        <v>31</v>
      </c>
      <c r="G2596" t="s">
        <v>1919</v>
      </c>
      <c r="H2596" t="s">
        <v>15</v>
      </c>
      <c r="I2596" s="26" t="s">
        <v>33</v>
      </c>
    </row>
    <row r="2597" spans="1:9" x14ac:dyDescent="0.3">
      <c r="A2597" s="24">
        <v>45366</v>
      </c>
      <c r="B2597" t="s">
        <v>262</v>
      </c>
      <c r="C2597" t="s">
        <v>53</v>
      </c>
      <c r="D2597">
        <v>0.5</v>
      </c>
      <c r="E2597" t="s">
        <v>54</v>
      </c>
      <c r="F2597" t="s">
        <v>55</v>
      </c>
      <c r="G2597" t="s">
        <v>253</v>
      </c>
      <c r="H2597" t="s">
        <v>15</v>
      </c>
      <c r="I2597" s="26" t="s">
        <v>33</v>
      </c>
    </row>
    <row r="2598" spans="1:9" x14ac:dyDescent="0.3">
      <c r="A2598" s="24">
        <v>45366</v>
      </c>
      <c r="B2598" t="s">
        <v>262</v>
      </c>
      <c r="C2598" t="s">
        <v>58</v>
      </c>
      <c r="D2598">
        <v>0.55000000000000004</v>
      </c>
      <c r="E2598" t="s">
        <v>54</v>
      </c>
      <c r="F2598" t="s">
        <v>55</v>
      </c>
      <c r="G2598" t="s">
        <v>1920</v>
      </c>
      <c r="H2598" t="s">
        <v>15</v>
      </c>
      <c r="I2598" s="26" t="s">
        <v>33</v>
      </c>
    </row>
    <row r="2599" spans="1:9" x14ac:dyDescent="0.3">
      <c r="A2599" s="24">
        <v>45366</v>
      </c>
      <c r="B2599" t="s">
        <v>266</v>
      </c>
      <c r="C2599" t="s">
        <v>267</v>
      </c>
      <c r="D2599">
        <v>9</v>
      </c>
      <c r="E2599" t="s">
        <v>54</v>
      </c>
      <c r="F2599" t="s">
        <v>55</v>
      </c>
      <c r="G2599" t="s">
        <v>994</v>
      </c>
      <c r="H2599" t="s">
        <v>15</v>
      </c>
      <c r="I2599" s="26" t="s">
        <v>33</v>
      </c>
    </row>
    <row r="2600" spans="1:9" x14ac:dyDescent="0.3">
      <c r="A2600" s="24">
        <v>45366</v>
      </c>
      <c r="B2600" t="s">
        <v>269</v>
      </c>
      <c r="C2600" t="s">
        <v>29</v>
      </c>
      <c r="D2600">
        <v>6.55</v>
      </c>
      <c r="E2600" t="s">
        <v>271</v>
      </c>
      <c r="F2600" t="s">
        <v>31</v>
      </c>
      <c r="G2600" t="s">
        <v>1921</v>
      </c>
      <c r="H2600" t="s">
        <v>15</v>
      </c>
      <c r="I2600" s="26" t="s">
        <v>33</v>
      </c>
    </row>
    <row r="2601" spans="1:9" x14ac:dyDescent="0.3">
      <c r="A2601" s="24">
        <v>45366</v>
      </c>
      <c r="B2601" t="s">
        <v>269</v>
      </c>
      <c r="C2601" t="s">
        <v>53</v>
      </c>
      <c r="D2601">
        <v>1.47</v>
      </c>
      <c r="E2601" t="s">
        <v>54</v>
      </c>
      <c r="F2601" t="s">
        <v>55</v>
      </c>
      <c r="G2601" t="s">
        <v>1922</v>
      </c>
      <c r="H2601" t="s">
        <v>15</v>
      </c>
      <c r="I2601" s="26" t="s">
        <v>33</v>
      </c>
    </row>
    <row r="2602" spans="1:9" x14ac:dyDescent="0.3">
      <c r="A2602" s="24">
        <v>45366</v>
      </c>
      <c r="B2602" t="s">
        <v>278</v>
      </c>
      <c r="C2602" t="s">
        <v>73</v>
      </c>
      <c r="D2602">
        <v>8</v>
      </c>
      <c r="E2602" t="s">
        <v>54</v>
      </c>
      <c r="F2602" t="s">
        <v>55</v>
      </c>
      <c r="G2602" t="s">
        <v>1923</v>
      </c>
      <c r="H2602" t="s">
        <v>15</v>
      </c>
      <c r="I2602" s="26" t="s">
        <v>33</v>
      </c>
    </row>
    <row r="2603" spans="1:9" x14ac:dyDescent="0.3">
      <c r="A2603" s="24">
        <v>45366</v>
      </c>
      <c r="B2603" t="s">
        <v>286</v>
      </c>
      <c r="C2603" t="s">
        <v>287</v>
      </c>
      <c r="D2603">
        <v>10</v>
      </c>
      <c r="E2603" t="s">
        <v>54</v>
      </c>
      <c r="F2603" t="s">
        <v>55</v>
      </c>
      <c r="G2603" t="s">
        <v>1924</v>
      </c>
      <c r="H2603" t="s">
        <v>15</v>
      </c>
      <c r="I2603" s="26" t="s">
        <v>33</v>
      </c>
    </row>
    <row r="2604" spans="1:9" x14ac:dyDescent="0.3">
      <c r="A2604" s="24">
        <v>45366</v>
      </c>
      <c r="B2604" t="s">
        <v>289</v>
      </c>
      <c r="C2604" t="s">
        <v>29</v>
      </c>
      <c r="D2604">
        <v>0.5</v>
      </c>
      <c r="E2604" t="s">
        <v>291</v>
      </c>
      <c r="F2604" t="s">
        <v>31</v>
      </c>
      <c r="G2604" t="s">
        <v>1925</v>
      </c>
      <c r="H2604" t="s">
        <v>15</v>
      </c>
      <c r="I2604" s="26" t="s">
        <v>33</v>
      </c>
    </row>
    <row r="2605" spans="1:9" x14ac:dyDescent="0.3">
      <c r="A2605" s="24">
        <v>45366</v>
      </c>
      <c r="B2605" t="s">
        <v>289</v>
      </c>
      <c r="C2605" t="s">
        <v>29</v>
      </c>
      <c r="D2605">
        <v>0.5</v>
      </c>
      <c r="E2605" t="s">
        <v>524</v>
      </c>
      <c r="F2605" t="s">
        <v>31</v>
      </c>
      <c r="H2605" t="s">
        <v>15</v>
      </c>
      <c r="I2605" s="26" t="s">
        <v>33</v>
      </c>
    </row>
    <row r="2606" spans="1:9" x14ac:dyDescent="0.3">
      <c r="A2606" s="24">
        <v>45366</v>
      </c>
      <c r="B2606" t="s">
        <v>289</v>
      </c>
      <c r="C2606" t="s">
        <v>29</v>
      </c>
      <c r="D2606">
        <v>1</v>
      </c>
      <c r="E2606" t="s">
        <v>226</v>
      </c>
      <c r="F2606" t="s">
        <v>31</v>
      </c>
      <c r="H2606" t="s">
        <v>15</v>
      </c>
      <c r="I2606" s="26" t="s">
        <v>33</v>
      </c>
    </row>
    <row r="2607" spans="1:9" x14ac:dyDescent="0.3">
      <c r="A2607" s="24">
        <v>45366</v>
      </c>
      <c r="B2607" t="s">
        <v>289</v>
      </c>
      <c r="C2607" t="s">
        <v>29</v>
      </c>
      <c r="D2607">
        <v>2.5</v>
      </c>
      <c r="E2607" t="s">
        <v>49</v>
      </c>
      <c r="F2607" t="s">
        <v>31</v>
      </c>
      <c r="H2607" t="s">
        <v>15</v>
      </c>
      <c r="I2607" s="26" t="s">
        <v>33</v>
      </c>
    </row>
    <row r="2608" spans="1:9" x14ac:dyDescent="0.3">
      <c r="A2608" s="24">
        <v>45366</v>
      </c>
      <c r="B2608" t="s">
        <v>289</v>
      </c>
      <c r="C2608" t="s">
        <v>53</v>
      </c>
      <c r="D2608">
        <v>0.5</v>
      </c>
      <c r="E2608" t="s">
        <v>54</v>
      </c>
      <c r="F2608" t="s">
        <v>55</v>
      </c>
      <c r="G2608" t="s">
        <v>1926</v>
      </c>
      <c r="H2608" t="s">
        <v>15</v>
      </c>
      <c r="I2608" s="26" t="s">
        <v>33</v>
      </c>
    </row>
    <row r="2609" spans="1:9" x14ac:dyDescent="0.3">
      <c r="A2609" s="24">
        <v>45366</v>
      </c>
      <c r="B2609" t="s">
        <v>289</v>
      </c>
      <c r="C2609" t="s">
        <v>60</v>
      </c>
      <c r="D2609">
        <v>0.5</v>
      </c>
      <c r="E2609" t="s">
        <v>848</v>
      </c>
      <c r="F2609" t="s">
        <v>31</v>
      </c>
      <c r="H2609" t="s">
        <v>15</v>
      </c>
      <c r="I2609" s="26" t="s">
        <v>33</v>
      </c>
    </row>
    <row r="2610" spans="1:9" x14ac:dyDescent="0.3">
      <c r="A2610" s="24">
        <v>45366</v>
      </c>
      <c r="B2610" t="s">
        <v>294</v>
      </c>
      <c r="C2610" t="s">
        <v>148</v>
      </c>
      <c r="D2610">
        <v>7.5</v>
      </c>
      <c r="E2610" t="s">
        <v>54</v>
      </c>
      <c r="F2610" t="s">
        <v>55</v>
      </c>
      <c r="G2610" t="s">
        <v>1927</v>
      </c>
      <c r="H2610" t="s">
        <v>15</v>
      </c>
      <c r="I2610" s="26" t="s">
        <v>33</v>
      </c>
    </row>
    <row r="2611" spans="1:9" x14ac:dyDescent="0.3">
      <c r="A2611" s="24">
        <v>45366</v>
      </c>
      <c r="B2611" t="s">
        <v>301</v>
      </c>
      <c r="C2611" t="s">
        <v>29</v>
      </c>
      <c r="D2611">
        <v>0.15</v>
      </c>
      <c r="E2611" t="s">
        <v>156</v>
      </c>
      <c r="F2611" t="s">
        <v>31</v>
      </c>
      <c r="G2611" t="s">
        <v>489</v>
      </c>
      <c r="H2611" t="s">
        <v>15</v>
      </c>
      <c r="I2611" s="26" t="s">
        <v>33</v>
      </c>
    </row>
    <row r="2612" spans="1:9" x14ac:dyDescent="0.3">
      <c r="A2612" s="24">
        <v>45366</v>
      </c>
      <c r="B2612" t="s">
        <v>301</v>
      </c>
      <c r="C2612" t="s">
        <v>29</v>
      </c>
      <c r="D2612">
        <v>0.6</v>
      </c>
      <c r="E2612" t="s">
        <v>156</v>
      </c>
      <c r="F2612" t="s">
        <v>31</v>
      </c>
      <c r="G2612" t="s">
        <v>1928</v>
      </c>
      <c r="H2612" t="s">
        <v>15</v>
      </c>
      <c r="I2612" s="26" t="s">
        <v>33</v>
      </c>
    </row>
    <row r="2613" spans="1:9" x14ac:dyDescent="0.3">
      <c r="A2613" s="24">
        <v>45366</v>
      </c>
      <c r="B2613" t="s">
        <v>301</v>
      </c>
      <c r="C2613" t="s">
        <v>29</v>
      </c>
      <c r="D2613">
        <v>0.75</v>
      </c>
      <c r="E2613" t="s">
        <v>156</v>
      </c>
      <c r="F2613" t="s">
        <v>55</v>
      </c>
      <c r="G2613" t="s">
        <v>1929</v>
      </c>
      <c r="H2613" t="s">
        <v>15</v>
      </c>
      <c r="I2613" s="26" t="s">
        <v>33</v>
      </c>
    </row>
    <row r="2614" spans="1:9" x14ac:dyDescent="0.3">
      <c r="A2614" s="24">
        <v>45366</v>
      </c>
      <c r="B2614" t="s">
        <v>301</v>
      </c>
      <c r="C2614" t="s">
        <v>29</v>
      </c>
      <c r="D2614">
        <v>0.95</v>
      </c>
      <c r="E2614" t="s">
        <v>304</v>
      </c>
      <c r="F2614" t="s">
        <v>31</v>
      </c>
      <c r="G2614" t="s">
        <v>1930</v>
      </c>
      <c r="H2614" t="s">
        <v>15</v>
      </c>
      <c r="I2614" s="26" t="s">
        <v>33</v>
      </c>
    </row>
    <row r="2615" spans="1:9" x14ac:dyDescent="0.3">
      <c r="A2615" s="24">
        <v>45366</v>
      </c>
      <c r="B2615" t="s">
        <v>301</v>
      </c>
      <c r="C2615" t="s">
        <v>29</v>
      </c>
      <c r="D2615">
        <v>0.95</v>
      </c>
      <c r="E2615" t="s">
        <v>304</v>
      </c>
      <c r="F2615" t="s">
        <v>31</v>
      </c>
      <c r="G2615" t="s">
        <v>1931</v>
      </c>
      <c r="H2615" t="s">
        <v>15</v>
      </c>
      <c r="I2615" s="26" t="s">
        <v>33</v>
      </c>
    </row>
    <row r="2616" spans="1:9" x14ac:dyDescent="0.3">
      <c r="A2616" s="24">
        <v>45366</v>
      </c>
      <c r="B2616" t="s">
        <v>301</v>
      </c>
      <c r="C2616" t="s">
        <v>29</v>
      </c>
      <c r="D2616">
        <v>1.28</v>
      </c>
      <c r="E2616" t="s">
        <v>156</v>
      </c>
      <c r="F2616" t="s">
        <v>31</v>
      </c>
      <c r="G2616" t="s">
        <v>1932</v>
      </c>
      <c r="H2616" t="s">
        <v>15</v>
      </c>
      <c r="I2616" s="26" t="s">
        <v>33</v>
      </c>
    </row>
    <row r="2617" spans="1:9" x14ac:dyDescent="0.3">
      <c r="A2617" s="24">
        <v>45366</v>
      </c>
      <c r="B2617" t="s">
        <v>301</v>
      </c>
      <c r="C2617" t="s">
        <v>29</v>
      </c>
      <c r="D2617">
        <v>1.6</v>
      </c>
      <c r="E2617" t="s">
        <v>156</v>
      </c>
      <c r="F2617" t="s">
        <v>31</v>
      </c>
      <c r="G2617" t="s">
        <v>1798</v>
      </c>
      <c r="H2617" t="s">
        <v>15</v>
      </c>
      <c r="I2617" s="26" t="s">
        <v>33</v>
      </c>
    </row>
    <row r="2618" spans="1:9" x14ac:dyDescent="0.3">
      <c r="A2618" s="24">
        <v>45366</v>
      </c>
      <c r="B2618" t="s">
        <v>301</v>
      </c>
      <c r="C2618" t="s">
        <v>53</v>
      </c>
      <c r="D2618">
        <v>1.08</v>
      </c>
      <c r="E2618" t="s">
        <v>54</v>
      </c>
      <c r="F2618" t="s">
        <v>55</v>
      </c>
      <c r="G2618" t="s">
        <v>1933</v>
      </c>
      <c r="H2618" t="s">
        <v>15</v>
      </c>
      <c r="I2618" s="26" t="s">
        <v>33</v>
      </c>
    </row>
    <row r="2619" spans="1:9" x14ac:dyDescent="0.3">
      <c r="A2619" s="24">
        <v>45366</v>
      </c>
      <c r="B2619" t="s">
        <v>301</v>
      </c>
      <c r="C2619" t="s">
        <v>58</v>
      </c>
      <c r="D2619">
        <v>0.65</v>
      </c>
      <c r="E2619" t="s">
        <v>54</v>
      </c>
      <c r="F2619" t="s">
        <v>55</v>
      </c>
      <c r="G2619" t="s">
        <v>1934</v>
      </c>
      <c r="H2619" t="s">
        <v>15</v>
      </c>
      <c r="I2619" s="26" t="s">
        <v>33</v>
      </c>
    </row>
    <row r="2620" spans="1:9" x14ac:dyDescent="0.3">
      <c r="A2620" s="24">
        <v>45366</v>
      </c>
      <c r="B2620" t="s">
        <v>313</v>
      </c>
      <c r="C2620" t="s">
        <v>29</v>
      </c>
      <c r="D2620">
        <v>1.57</v>
      </c>
      <c r="E2620" t="s">
        <v>170</v>
      </c>
      <c r="F2620" t="s">
        <v>31</v>
      </c>
      <c r="H2620" t="s">
        <v>15</v>
      </c>
      <c r="I2620" s="26" t="s">
        <v>33</v>
      </c>
    </row>
    <row r="2621" spans="1:9" x14ac:dyDescent="0.3">
      <c r="A2621" s="24">
        <v>45366</v>
      </c>
      <c r="B2621" t="s">
        <v>313</v>
      </c>
      <c r="C2621" t="s">
        <v>29</v>
      </c>
      <c r="D2621">
        <v>3.08</v>
      </c>
      <c r="E2621" t="s">
        <v>91</v>
      </c>
      <c r="F2621" t="s">
        <v>31</v>
      </c>
      <c r="G2621" t="s">
        <v>1935</v>
      </c>
      <c r="H2621" t="s">
        <v>15</v>
      </c>
      <c r="I2621" s="26" t="s">
        <v>33</v>
      </c>
    </row>
    <row r="2622" spans="1:9" x14ac:dyDescent="0.3">
      <c r="A2622" s="24">
        <v>45366</v>
      </c>
      <c r="B2622" t="s">
        <v>313</v>
      </c>
      <c r="C2622" t="s">
        <v>53</v>
      </c>
      <c r="D2622">
        <v>0.32</v>
      </c>
      <c r="E2622" t="s">
        <v>54</v>
      </c>
      <c r="F2622" t="s">
        <v>55</v>
      </c>
      <c r="G2622" t="s">
        <v>705</v>
      </c>
      <c r="H2622" t="s">
        <v>15</v>
      </c>
      <c r="I2622" s="26" t="s">
        <v>33</v>
      </c>
    </row>
    <row r="2623" spans="1:9" x14ac:dyDescent="0.3">
      <c r="A2623" s="24">
        <v>45366</v>
      </c>
      <c r="B2623" t="s">
        <v>313</v>
      </c>
      <c r="C2623" t="s">
        <v>442</v>
      </c>
      <c r="D2623">
        <v>4</v>
      </c>
      <c r="E2623" t="s">
        <v>54</v>
      </c>
      <c r="F2623" t="s">
        <v>55</v>
      </c>
      <c r="H2623" t="s">
        <v>15</v>
      </c>
      <c r="I2623" s="26" t="s">
        <v>33</v>
      </c>
    </row>
    <row r="2624" spans="1:9" x14ac:dyDescent="0.3">
      <c r="A2624" s="24">
        <v>45366</v>
      </c>
      <c r="B2624" t="s">
        <v>318</v>
      </c>
      <c r="C2624" t="s">
        <v>53</v>
      </c>
      <c r="D2624">
        <v>2.65</v>
      </c>
      <c r="E2624" t="s">
        <v>54</v>
      </c>
      <c r="F2624" t="s">
        <v>55</v>
      </c>
      <c r="G2624" t="s">
        <v>1936</v>
      </c>
      <c r="H2624" t="s">
        <v>15</v>
      </c>
      <c r="I2624" s="26" t="s">
        <v>33</v>
      </c>
    </row>
    <row r="2625" spans="1:9" x14ac:dyDescent="0.3">
      <c r="A2625" s="24">
        <v>45366</v>
      </c>
      <c r="B2625" t="s">
        <v>318</v>
      </c>
      <c r="C2625" t="s">
        <v>53</v>
      </c>
      <c r="D2625">
        <v>5.38</v>
      </c>
      <c r="E2625" t="s">
        <v>54</v>
      </c>
      <c r="F2625" t="s">
        <v>55</v>
      </c>
      <c r="G2625" t="s">
        <v>1937</v>
      </c>
      <c r="H2625" t="s">
        <v>15</v>
      </c>
      <c r="I2625" s="26" t="s">
        <v>33</v>
      </c>
    </row>
    <row r="2626" spans="1:9" x14ac:dyDescent="0.3">
      <c r="A2626" s="24">
        <v>45366</v>
      </c>
      <c r="B2626" t="s">
        <v>324</v>
      </c>
      <c r="C2626" t="s">
        <v>29</v>
      </c>
      <c r="D2626">
        <v>1.92</v>
      </c>
      <c r="E2626" t="s">
        <v>81</v>
      </c>
      <c r="F2626" t="s">
        <v>31</v>
      </c>
      <c r="G2626" t="s">
        <v>1938</v>
      </c>
      <c r="H2626" t="s">
        <v>15</v>
      </c>
      <c r="I2626" s="26" t="s">
        <v>33</v>
      </c>
    </row>
    <row r="2627" spans="1:9" x14ac:dyDescent="0.3">
      <c r="A2627" s="24">
        <v>45366</v>
      </c>
      <c r="B2627" t="s">
        <v>324</v>
      </c>
      <c r="C2627" t="s">
        <v>29</v>
      </c>
      <c r="D2627">
        <v>7.67</v>
      </c>
      <c r="E2627" t="s">
        <v>81</v>
      </c>
      <c r="F2627" t="s">
        <v>31</v>
      </c>
      <c r="H2627" t="s">
        <v>15</v>
      </c>
      <c r="I2627" s="26" t="s">
        <v>33</v>
      </c>
    </row>
    <row r="2628" spans="1:9" x14ac:dyDescent="0.3">
      <c r="A2628" s="24">
        <v>45366</v>
      </c>
      <c r="B2628" t="s">
        <v>324</v>
      </c>
      <c r="C2628" t="s">
        <v>85</v>
      </c>
      <c r="D2628">
        <v>0.57999999999999996</v>
      </c>
      <c r="E2628" t="s">
        <v>81</v>
      </c>
      <c r="F2628" t="s">
        <v>31</v>
      </c>
      <c r="G2628" t="s">
        <v>1939</v>
      </c>
      <c r="H2628" t="s">
        <v>15</v>
      </c>
      <c r="I2628" s="26" t="s">
        <v>33</v>
      </c>
    </row>
    <row r="2629" spans="1:9" x14ac:dyDescent="0.3">
      <c r="A2629" s="24">
        <v>45366</v>
      </c>
      <c r="B2629" t="s">
        <v>328</v>
      </c>
      <c r="C2629" t="s">
        <v>29</v>
      </c>
      <c r="D2629">
        <v>0.32</v>
      </c>
      <c r="E2629" t="s">
        <v>423</v>
      </c>
      <c r="F2629" t="s">
        <v>31</v>
      </c>
      <c r="G2629" t="s">
        <v>1940</v>
      </c>
      <c r="H2629" t="s">
        <v>15</v>
      </c>
      <c r="I2629" s="26" t="s">
        <v>33</v>
      </c>
    </row>
    <row r="2630" spans="1:9" x14ac:dyDescent="0.3">
      <c r="A2630" s="24">
        <v>45366</v>
      </c>
      <c r="B2630" t="s">
        <v>328</v>
      </c>
      <c r="C2630" t="s">
        <v>29</v>
      </c>
      <c r="D2630">
        <v>0.35</v>
      </c>
      <c r="E2630" t="s">
        <v>135</v>
      </c>
      <c r="F2630" t="s">
        <v>31</v>
      </c>
      <c r="G2630" t="s">
        <v>1940</v>
      </c>
      <c r="H2630" t="s">
        <v>15</v>
      </c>
      <c r="I2630" s="26" t="s">
        <v>33</v>
      </c>
    </row>
    <row r="2631" spans="1:9" x14ac:dyDescent="0.3">
      <c r="A2631" s="24">
        <v>45366</v>
      </c>
      <c r="B2631" t="s">
        <v>328</v>
      </c>
      <c r="C2631" t="s">
        <v>29</v>
      </c>
      <c r="D2631">
        <v>0.8</v>
      </c>
      <c r="E2631" t="s">
        <v>420</v>
      </c>
      <c r="F2631" t="s">
        <v>31</v>
      </c>
      <c r="G2631" t="s">
        <v>1941</v>
      </c>
      <c r="H2631" t="s">
        <v>15</v>
      </c>
      <c r="I2631" s="26" t="s">
        <v>33</v>
      </c>
    </row>
    <row r="2632" spans="1:9" x14ac:dyDescent="0.3">
      <c r="A2632" s="24">
        <v>45366</v>
      </c>
      <c r="B2632" t="s">
        <v>328</v>
      </c>
      <c r="C2632" t="s">
        <v>85</v>
      </c>
      <c r="D2632">
        <v>0.67</v>
      </c>
      <c r="E2632" t="s">
        <v>81</v>
      </c>
      <c r="F2632" t="s">
        <v>31</v>
      </c>
      <c r="G2632" t="s">
        <v>1942</v>
      </c>
      <c r="H2632" t="s">
        <v>15</v>
      </c>
      <c r="I2632" s="26" t="s">
        <v>33</v>
      </c>
    </row>
    <row r="2633" spans="1:9" x14ac:dyDescent="0.3">
      <c r="A2633" s="24">
        <v>45366</v>
      </c>
      <c r="B2633" t="s">
        <v>328</v>
      </c>
      <c r="C2633" t="s">
        <v>53</v>
      </c>
      <c r="D2633">
        <v>0.5</v>
      </c>
      <c r="E2633" t="s">
        <v>54</v>
      </c>
      <c r="F2633" t="s">
        <v>55</v>
      </c>
      <c r="G2633" t="s">
        <v>253</v>
      </c>
      <c r="H2633" t="s">
        <v>15</v>
      </c>
      <c r="I2633" s="26" t="s">
        <v>33</v>
      </c>
    </row>
    <row r="2634" spans="1:9" x14ac:dyDescent="0.3">
      <c r="A2634" s="24">
        <v>45366</v>
      </c>
      <c r="B2634" t="s">
        <v>328</v>
      </c>
      <c r="C2634" t="s">
        <v>53</v>
      </c>
      <c r="D2634">
        <v>0.75</v>
      </c>
      <c r="E2634" t="s">
        <v>54</v>
      </c>
      <c r="F2634" t="s">
        <v>55</v>
      </c>
      <c r="G2634" t="s">
        <v>1943</v>
      </c>
      <c r="H2634" t="s">
        <v>15</v>
      </c>
      <c r="I2634" s="26" t="s">
        <v>33</v>
      </c>
    </row>
    <row r="2635" spans="1:9" x14ac:dyDescent="0.3">
      <c r="A2635" s="24">
        <v>45366</v>
      </c>
      <c r="B2635" t="s">
        <v>328</v>
      </c>
      <c r="C2635" t="s">
        <v>58</v>
      </c>
      <c r="D2635">
        <v>1.92</v>
      </c>
      <c r="E2635" t="s">
        <v>54</v>
      </c>
      <c r="F2635" t="s">
        <v>55</v>
      </c>
      <c r="G2635" t="s">
        <v>1944</v>
      </c>
      <c r="H2635" t="s">
        <v>15</v>
      </c>
      <c r="I2635" s="26" t="s">
        <v>33</v>
      </c>
    </row>
    <row r="2636" spans="1:9" x14ac:dyDescent="0.3">
      <c r="A2636" s="24">
        <v>45366</v>
      </c>
      <c r="B2636" t="s">
        <v>328</v>
      </c>
      <c r="C2636" t="s">
        <v>60</v>
      </c>
      <c r="D2636">
        <v>0.18</v>
      </c>
      <c r="E2636" t="s">
        <v>179</v>
      </c>
      <c r="F2636" t="s">
        <v>31</v>
      </c>
      <c r="G2636" t="s">
        <v>1945</v>
      </c>
      <c r="H2636" t="s">
        <v>15</v>
      </c>
      <c r="I2636" s="26" t="s">
        <v>33</v>
      </c>
    </row>
    <row r="2637" spans="1:9" x14ac:dyDescent="0.3">
      <c r="A2637" s="24">
        <v>45366</v>
      </c>
      <c r="B2637" t="s">
        <v>328</v>
      </c>
      <c r="C2637" t="s">
        <v>60</v>
      </c>
      <c r="D2637">
        <v>0.4</v>
      </c>
      <c r="E2637" t="s">
        <v>81</v>
      </c>
      <c r="F2637" t="s">
        <v>31</v>
      </c>
      <c r="G2637" t="s">
        <v>1946</v>
      </c>
      <c r="H2637" t="s">
        <v>15</v>
      </c>
      <c r="I2637" s="26" t="s">
        <v>33</v>
      </c>
    </row>
    <row r="2638" spans="1:9" x14ac:dyDescent="0.3">
      <c r="A2638" s="24">
        <v>45366</v>
      </c>
      <c r="B2638" t="s">
        <v>328</v>
      </c>
      <c r="C2638" t="s">
        <v>60</v>
      </c>
      <c r="D2638">
        <v>0.48</v>
      </c>
      <c r="E2638" t="s">
        <v>162</v>
      </c>
      <c r="F2638" t="s">
        <v>31</v>
      </c>
      <c r="G2638" t="s">
        <v>1947</v>
      </c>
      <c r="H2638" t="s">
        <v>15</v>
      </c>
      <c r="I2638" s="26" t="s">
        <v>33</v>
      </c>
    </row>
    <row r="2639" spans="1:9" x14ac:dyDescent="0.3">
      <c r="A2639" s="24">
        <v>45366</v>
      </c>
      <c r="B2639" t="s">
        <v>328</v>
      </c>
      <c r="C2639" t="s">
        <v>60</v>
      </c>
      <c r="D2639">
        <v>0.6</v>
      </c>
      <c r="E2639" t="s">
        <v>81</v>
      </c>
      <c r="F2639" t="s">
        <v>31</v>
      </c>
      <c r="G2639" t="s">
        <v>1948</v>
      </c>
      <c r="H2639" t="s">
        <v>15</v>
      </c>
      <c r="I2639" s="26" t="s">
        <v>33</v>
      </c>
    </row>
    <row r="2640" spans="1:9" x14ac:dyDescent="0.3">
      <c r="A2640" s="24">
        <v>45366</v>
      </c>
      <c r="B2640" t="s">
        <v>328</v>
      </c>
      <c r="C2640" t="s">
        <v>60</v>
      </c>
      <c r="D2640">
        <v>1.03</v>
      </c>
      <c r="E2640" t="s">
        <v>81</v>
      </c>
      <c r="F2640" t="s">
        <v>31</v>
      </c>
      <c r="G2640" t="s">
        <v>1949</v>
      </c>
      <c r="H2640" t="s">
        <v>15</v>
      </c>
      <c r="I2640" s="26" t="s">
        <v>33</v>
      </c>
    </row>
    <row r="2641" spans="1:9" x14ac:dyDescent="0.3">
      <c r="A2641" s="24">
        <v>45366</v>
      </c>
      <c r="B2641" t="s">
        <v>329</v>
      </c>
      <c r="C2641" t="s">
        <v>29</v>
      </c>
      <c r="D2641">
        <v>0.3</v>
      </c>
      <c r="E2641" t="s">
        <v>91</v>
      </c>
      <c r="F2641" t="s">
        <v>31</v>
      </c>
      <c r="G2641" t="s">
        <v>1950</v>
      </c>
      <c r="H2641" t="s">
        <v>15</v>
      </c>
      <c r="I2641" s="26" t="s">
        <v>33</v>
      </c>
    </row>
    <row r="2642" spans="1:9" x14ac:dyDescent="0.3">
      <c r="A2642" s="24">
        <v>45366</v>
      </c>
      <c r="B2642" t="s">
        <v>329</v>
      </c>
      <c r="C2642" t="s">
        <v>29</v>
      </c>
      <c r="D2642">
        <v>1</v>
      </c>
      <c r="E2642" t="s">
        <v>91</v>
      </c>
      <c r="F2642" t="s">
        <v>31</v>
      </c>
      <c r="G2642" t="s">
        <v>1951</v>
      </c>
      <c r="H2642" t="s">
        <v>15</v>
      </c>
      <c r="I2642" s="26" t="s">
        <v>33</v>
      </c>
    </row>
    <row r="2643" spans="1:9" x14ac:dyDescent="0.3">
      <c r="A2643" s="24">
        <v>45366</v>
      </c>
      <c r="B2643" t="s">
        <v>331</v>
      </c>
      <c r="C2643" t="s">
        <v>29</v>
      </c>
      <c r="D2643">
        <v>0.33</v>
      </c>
      <c r="E2643" t="s">
        <v>218</v>
      </c>
      <c r="F2643" t="s">
        <v>31</v>
      </c>
      <c r="G2643" t="s">
        <v>719</v>
      </c>
      <c r="H2643" t="s">
        <v>15</v>
      </c>
      <c r="I2643" s="26" t="s">
        <v>33</v>
      </c>
    </row>
    <row r="2644" spans="1:9" x14ac:dyDescent="0.3">
      <c r="A2644" s="24">
        <v>45366</v>
      </c>
      <c r="B2644" t="s">
        <v>331</v>
      </c>
      <c r="C2644" t="s">
        <v>29</v>
      </c>
      <c r="D2644">
        <v>0.6</v>
      </c>
      <c r="E2644" t="s">
        <v>176</v>
      </c>
      <c r="F2644" t="s">
        <v>31</v>
      </c>
      <c r="G2644" t="s">
        <v>1952</v>
      </c>
      <c r="H2644" t="s">
        <v>15</v>
      </c>
      <c r="I2644" s="26" t="s">
        <v>33</v>
      </c>
    </row>
    <row r="2645" spans="1:9" x14ac:dyDescent="0.3">
      <c r="A2645" s="24">
        <v>45366</v>
      </c>
      <c r="B2645" t="s">
        <v>331</v>
      </c>
      <c r="C2645" t="s">
        <v>29</v>
      </c>
      <c r="D2645">
        <v>0.73</v>
      </c>
      <c r="E2645" t="s">
        <v>218</v>
      </c>
      <c r="F2645" t="s">
        <v>31</v>
      </c>
      <c r="G2645" t="s">
        <v>1953</v>
      </c>
      <c r="H2645" t="s">
        <v>15</v>
      </c>
      <c r="I2645" s="26" t="s">
        <v>33</v>
      </c>
    </row>
    <row r="2646" spans="1:9" x14ac:dyDescent="0.3">
      <c r="A2646" s="24">
        <v>45366</v>
      </c>
      <c r="B2646" t="s">
        <v>331</v>
      </c>
      <c r="C2646" t="s">
        <v>29</v>
      </c>
      <c r="D2646">
        <v>1.65</v>
      </c>
      <c r="E2646" t="s">
        <v>91</v>
      </c>
      <c r="F2646" t="s">
        <v>31</v>
      </c>
      <c r="H2646" t="s">
        <v>15</v>
      </c>
      <c r="I2646" s="26" t="s">
        <v>33</v>
      </c>
    </row>
    <row r="2647" spans="1:9" x14ac:dyDescent="0.3">
      <c r="A2647" s="24">
        <v>45366</v>
      </c>
      <c r="B2647" t="s">
        <v>331</v>
      </c>
      <c r="C2647" t="s">
        <v>29</v>
      </c>
      <c r="D2647">
        <v>2.08</v>
      </c>
      <c r="E2647" t="s">
        <v>91</v>
      </c>
      <c r="F2647" t="s">
        <v>31</v>
      </c>
      <c r="G2647" t="s">
        <v>1954</v>
      </c>
      <c r="H2647" t="s">
        <v>15</v>
      </c>
      <c r="I2647" s="26" t="s">
        <v>33</v>
      </c>
    </row>
    <row r="2648" spans="1:9" x14ac:dyDescent="0.3">
      <c r="A2648" s="24">
        <v>45366</v>
      </c>
      <c r="B2648" t="s">
        <v>331</v>
      </c>
      <c r="C2648" t="s">
        <v>53</v>
      </c>
      <c r="D2648">
        <v>0.5</v>
      </c>
      <c r="E2648" t="s">
        <v>54</v>
      </c>
      <c r="F2648" t="s">
        <v>55</v>
      </c>
      <c r="G2648" t="s">
        <v>332</v>
      </c>
      <c r="H2648" t="s">
        <v>15</v>
      </c>
      <c r="I2648" s="26" t="s">
        <v>33</v>
      </c>
    </row>
    <row r="2649" spans="1:9" x14ac:dyDescent="0.3">
      <c r="A2649" s="24">
        <v>45366</v>
      </c>
      <c r="B2649" t="s">
        <v>331</v>
      </c>
      <c r="C2649" t="s">
        <v>58</v>
      </c>
      <c r="D2649">
        <v>0.5</v>
      </c>
      <c r="E2649" t="s">
        <v>54</v>
      </c>
      <c r="F2649" t="s">
        <v>55</v>
      </c>
      <c r="G2649" t="s">
        <v>333</v>
      </c>
      <c r="H2649" t="s">
        <v>15</v>
      </c>
      <c r="I2649" s="26" t="s">
        <v>33</v>
      </c>
    </row>
    <row r="2650" spans="1:9" x14ac:dyDescent="0.3">
      <c r="A2650" s="24">
        <v>45366</v>
      </c>
      <c r="B2650" t="s">
        <v>331</v>
      </c>
      <c r="C2650" t="s">
        <v>60</v>
      </c>
      <c r="D2650">
        <v>0.05</v>
      </c>
      <c r="E2650" t="s">
        <v>218</v>
      </c>
      <c r="F2650" t="s">
        <v>31</v>
      </c>
      <c r="G2650" t="s">
        <v>1955</v>
      </c>
      <c r="H2650" t="s">
        <v>15</v>
      </c>
      <c r="I2650" s="26" t="s">
        <v>33</v>
      </c>
    </row>
    <row r="2651" spans="1:9" x14ac:dyDescent="0.3">
      <c r="A2651" s="24">
        <v>45366</v>
      </c>
      <c r="B2651" t="s">
        <v>331</v>
      </c>
      <c r="C2651" t="s">
        <v>60</v>
      </c>
      <c r="D2651">
        <v>1.45</v>
      </c>
      <c r="E2651" t="s">
        <v>334</v>
      </c>
      <c r="F2651" t="s">
        <v>31</v>
      </c>
      <c r="G2651" t="s">
        <v>1956</v>
      </c>
      <c r="H2651" t="s">
        <v>15</v>
      </c>
      <c r="I2651" s="26" t="s">
        <v>33</v>
      </c>
    </row>
    <row r="2652" spans="1:9" x14ac:dyDescent="0.3">
      <c r="A2652" s="24">
        <v>45366</v>
      </c>
      <c r="B2652" t="s">
        <v>331</v>
      </c>
      <c r="C2652" t="s">
        <v>877</v>
      </c>
      <c r="D2652">
        <v>0.18</v>
      </c>
      <c r="E2652" t="s">
        <v>182</v>
      </c>
      <c r="F2652" t="s">
        <v>31</v>
      </c>
      <c r="G2652" t="s">
        <v>547</v>
      </c>
      <c r="H2652" t="s">
        <v>15</v>
      </c>
      <c r="I2652" s="26" t="s">
        <v>33</v>
      </c>
    </row>
    <row r="2653" spans="1:9" x14ac:dyDescent="0.3">
      <c r="A2653" s="24">
        <v>45366</v>
      </c>
      <c r="B2653" t="s">
        <v>340</v>
      </c>
      <c r="C2653" t="s">
        <v>202</v>
      </c>
      <c r="D2653">
        <v>0.25</v>
      </c>
      <c r="E2653" t="s">
        <v>179</v>
      </c>
      <c r="F2653" t="s">
        <v>31</v>
      </c>
      <c r="G2653" t="s">
        <v>1957</v>
      </c>
      <c r="H2653" t="s">
        <v>15</v>
      </c>
      <c r="I2653" s="26" t="s">
        <v>33</v>
      </c>
    </row>
    <row r="2654" spans="1:9" x14ac:dyDescent="0.3">
      <c r="A2654" s="24">
        <v>45366</v>
      </c>
      <c r="B2654" t="s">
        <v>340</v>
      </c>
      <c r="C2654" t="s">
        <v>202</v>
      </c>
      <c r="D2654">
        <v>0.33</v>
      </c>
      <c r="E2654" t="s">
        <v>156</v>
      </c>
      <c r="F2654" t="s">
        <v>31</v>
      </c>
      <c r="G2654" t="s">
        <v>1958</v>
      </c>
      <c r="H2654" t="s">
        <v>15</v>
      </c>
      <c r="I2654" s="26" t="s">
        <v>33</v>
      </c>
    </row>
    <row r="2655" spans="1:9" x14ac:dyDescent="0.3">
      <c r="A2655" s="24">
        <v>45366</v>
      </c>
      <c r="B2655" t="s">
        <v>340</v>
      </c>
      <c r="C2655" t="s">
        <v>202</v>
      </c>
      <c r="D2655">
        <v>0.33</v>
      </c>
      <c r="E2655" t="s">
        <v>395</v>
      </c>
      <c r="F2655" t="s">
        <v>31</v>
      </c>
      <c r="G2655" t="s">
        <v>1959</v>
      </c>
      <c r="H2655" t="s">
        <v>15</v>
      </c>
      <c r="I2655" s="26" t="s">
        <v>33</v>
      </c>
    </row>
    <row r="2656" spans="1:9" x14ac:dyDescent="0.3">
      <c r="A2656" s="24">
        <v>45366</v>
      </c>
      <c r="B2656" t="s">
        <v>340</v>
      </c>
      <c r="C2656" t="s">
        <v>202</v>
      </c>
      <c r="D2656">
        <v>0.33</v>
      </c>
      <c r="E2656" t="s">
        <v>665</v>
      </c>
      <c r="F2656" t="s">
        <v>31</v>
      </c>
      <c r="G2656" t="s">
        <v>1960</v>
      </c>
      <c r="H2656" t="s">
        <v>15</v>
      </c>
      <c r="I2656" s="26" t="s">
        <v>33</v>
      </c>
    </row>
    <row r="2657" spans="1:9" x14ac:dyDescent="0.3">
      <c r="A2657" s="24">
        <v>45366</v>
      </c>
      <c r="B2657" t="s">
        <v>340</v>
      </c>
      <c r="C2657" t="s">
        <v>202</v>
      </c>
      <c r="D2657">
        <v>1</v>
      </c>
      <c r="E2657" t="s">
        <v>725</v>
      </c>
      <c r="F2657" t="s">
        <v>31</v>
      </c>
      <c r="G2657" t="s">
        <v>1961</v>
      </c>
      <c r="H2657" t="s">
        <v>15</v>
      </c>
      <c r="I2657" s="26" t="s">
        <v>33</v>
      </c>
    </row>
    <row r="2658" spans="1:9" x14ac:dyDescent="0.3">
      <c r="A2658" s="24">
        <v>45366</v>
      </c>
      <c r="B2658" t="s">
        <v>340</v>
      </c>
      <c r="C2658" t="s">
        <v>202</v>
      </c>
      <c r="D2658">
        <v>2</v>
      </c>
      <c r="E2658" t="s">
        <v>1216</v>
      </c>
      <c r="F2658" t="s">
        <v>31</v>
      </c>
      <c r="G2658" t="s">
        <v>1962</v>
      </c>
      <c r="H2658" t="s">
        <v>15</v>
      </c>
      <c r="I2658" s="26" t="s">
        <v>33</v>
      </c>
    </row>
    <row r="2659" spans="1:9" x14ac:dyDescent="0.3">
      <c r="A2659" s="24">
        <v>45366</v>
      </c>
      <c r="B2659" t="s">
        <v>340</v>
      </c>
      <c r="C2659" t="s">
        <v>53</v>
      </c>
      <c r="D2659">
        <v>0.5</v>
      </c>
      <c r="E2659" t="s">
        <v>54</v>
      </c>
      <c r="F2659" t="s">
        <v>55</v>
      </c>
      <c r="G2659" t="s">
        <v>1963</v>
      </c>
      <c r="H2659" t="s">
        <v>15</v>
      </c>
      <c r="I2659" s="26" t="s">
        <v>33</v>
      </c>
    </row>
    <row r="2660" spans="1:9" x14ac:dyDescent="0.3">
      <c r="A2660" s="24">
        <v>45366</v>
      </c>
      <c r="B2660" t="s">
        <v>340</v>
      </c>
      <c r="C2660" t="s">
        <v>53</v>
      </c>
      <c r="D2660">
        <v>1</v>
      </c>
      <c r="E2660" t="s">
        <v>54</v>
      </c>
      <c r="F2660" t="s">
        <v>55</v>
      </c>
      <c r="G2660" t="s">
        <v>1964</v>
      </c>
      <c r="H2660" t="s">
        <v>15</v>
      </c>
      <c r="I2660" s="26" t="s">
        <v>33</v>
      </c>
    </row>
    <row r="2661" spans="1:9" x14ac:dyDescent="0.3">
      <c r="A2661" s="24">
        <v>45366</v>
      </c>
      <c r="B2661" t="s">
        <v>340</v>
      </c>
      <c r="C2661" t="s">
        <v>225</v>
      </c>
      <c r="D2661">
        <v>0.17</v>
      </c>
      <c r="E2661" t="s">
        <v>81</v>
      </c>
      <c r="F2661" t="s">
        <v>31</v>
      </c>
      <c r="G2661" t="s">
        <v>1965</v>
      </c>
      <c r="H2661" t="s">
        <v>15</v>
      </c>
      <c r="I2661" s="26" t="s">
        <v>33</v>
      </c>
    </row>
    <row r="2662" spans="1:9" x14ac:dyDescent="0.3">
      <c r="A2662" s="24">
        <v>45366</v>
      </c>
      <c r="B2662" t="s">
        <v>340</v>
      </c>
      <c r="C2662" t="s">
        <v>225</v>
      </c>
      <c r="D2662">
        <v>0.17</v>
      </c>
      <c r="E2662" t="s">
        <v>967</v>
      </c>
      <c r="F2662" t="s">
        <v>31</v>
      </c>
      <c r="G2662" t="s">
        <v>1966</v>
      </c>
      <c r="H2662" t="s">
        <v>15</v>
      </c>
      <c r="I2662" s="26" t="s">
        <v>33</v>
      </c>
    </row>
    <row r="2663" spans="1:9" x14ac:dyDescent="0.3">
      <c r="A2663" s="24">
        <v>45366</v>
      </c>
      <c r="B2663" t="s">
        <v>340</v>
      </c>
      <c r="C2663" t="s">
        <v>225</v>
      </c>
      <c r="D2663">
        <v>0.17</v>
      </c>
      <c r="E2663" t="s">
        <v>1808</v>
      </c>
      <c r="F2663" t="s">
        <v>31</v>
      </c>
      <c r="G2663" t="s">
        <v>1350</v>
      </c>
      <c r="H2663" t="s">
        <v>15</v>
      </c>
      <c r="I2663" s="26" t="s">
        <v>33</v>
      </c>
    </row>
    <row r="2664" spans="1:9" x14ac:dyDescent="0.3">
      <c r="A2664" s="24">
        <v>45366</v>
      </c>
      <c r="B2664" t="s">
        <v>340</v>
      </c>
      <c r="C2664" t="s">
        <v>232</v>
      </c>
      <c r="D2664">
        <v>0.33</v>
      </c>
      <c r="E2664" t="s">
        <v>1170</v>
      </c>
      <c r="F2664" t="s">
        <v>31</v>
      </c>
      <c r="G2664" t="s">
        <v>347</v>
      </c>
      <c r="H2664" t="s">
        <v>15</v>
      </c>
      <c r="I2664" s="26" t="s">
        <v>33</v>
      </c>
    </row>
    <row r="2665" spans="1:9" x14ac:dyDescent="0.3">
      <c r="A2665" s="24">
        <v>45366</v>
      </c>
      <c r="B2665" t="s">
        <v>340</v>
      </c>
      <c r="C2665" t="s">
        <v>58</v>
      </c>
      <c r="D2665">
        <v>0.5</v>
      </c>
      <c r="E2665" t="s">
        <v>54</v>
      </c>
      <c r="F2665" t="s">
        <v>55</v>
      </c>
      <c r="G2665" t="s">
        <v>1967</v>
      </c>
      <c r="H2665" t="s">
        <v>15</v>
      </c>
      <c r="I2665" s="26" t="s">
        <v>33</v>
      </c>
    </row>
    <row r="2666" spans="1:9" x14ac:dyDescent="0.3">
      <c r="A2666" s="24">
        <v>45366</v>
      </c>
      <c r="B2666" t="s">
        <v>351</v>
      </c>
      <c r="C2666" t="s">
        <v>29</v>
      </c>
      <c r="D2666">
        <v>8.5500000000000007</v>
      </c>
      <c r="E2666" t="s">
        <v>81</v>
      </c>
      <c r="F2666" t="s">
        <v>31</v>
      </c>
      <c r="G2666" t="s">
        <v>1968</v>
      </c>
      <c r="H2666" t="s">
        <v>15</v>
      </c>
      <c r="I2666" s="26" t="s">
        <v>33</v>
      </c>
    </row>
    <row r="2667" spans="1:9" x14ac:dyDescent="0.3">
      <c r="A2667" s="24">
        <v>45366</v>
      </c>
      <c r="B2667" t="s">
        <v>374</v>
      </c>
      <c r="C2667" t="s">
        <v>123</v>
      </c>
      <c r="D2667">
        <v>4</v>
      </c>
      <c r="E2667" t="s">
        <v>54</v>
      </c>
      <c r="F2667" t="s">
        <v>55</v>
      </c>
      <c r="G2667" t="e">
        <f>- Resume browsing - schedule interviews - consolidate invoices from LinkedIn and Seek</f>
        <v>#NAME?</v>
      </c>
      <c r="H2667" t="s">
        <v>15</v>
      </c>
      <c r="I2667" s="26" t="s">
        <v>33</v>
      </c>
    </row>
    <row r="2668" spans="1:9" x14ac:dyDescent="0.3">
      <c r="A2668" s="24">
        <v>45366</v>
      </c>
      <c r="B2668" t="s">
        <v>374</v>
      </c>
      <c r="C2668" t="s">
        <v>123</v>
      </c>
      <c r="D2668">
        <v>4</v>
      </c>
      <c r="E2668" t="s">
        <v>54</v>
      </c>
      <c r="F2668" t="s">
        <v>55</v>
      </c>
      <c r="G2668" t="e">
        <f>- search for providers of salary Survey and Reward&amp;Recognition program - respond to queries - review and prepare EOM announcement - announce New hires</f>
        <v>#NAME?</v>
      </c>
      <c r="H2668" t="s">
        <v>15</v>
      </c>
      <c r="I2668" s="26" t="s">
        <v>33</v>
      </c>
    </row>
    <row r="2669" spans="1:9" x14ac:dyDescent="0.3">
      <c r="A2669" s="24">
        <v>45369</v>
      </c>
      <c r="B2669" t="s">
        <v>28</v>
      </c>
      <c r="C2669" t="s">
        <v>29</v>
      </c>
      <c r="D2669">
        <v>0.05</v>
      </c>
      <c r="E2669" t="s">
        <v>42</v>
      </c>
      <c r="F2669" t="s">
        <v>31</v>
      </c>
      <c r="G2669" t="s">
        <v>32</v>
      </c>
      <c r="H2669" t="s">
        <v>16</v>
      </c>
      <c r="I2669" s="26" t="s">
        <v>378</v>
      </c>
    </row>
    <row r="2670" spans="1:9" x14ac:dyDescent="0.3">
      <c r="A2670" s="24">
        <v>45369</v>
      </c>
      <c r="B2670" t="s">
        <v>28</v>
      </c>
      <c r="C2670" t="s">
        <v>29</v>
      </c>
      <c r="D2670">
        <v>0.1</v>
      </c>
      <c r="E2670" t="s">
        <v>40</v>
      </c>
      <c r="F2670" t="s">
        <v>31</v>
      </c>
      <c r="G2670" t="s">
        <v>243</v>
      </c>
      <c r="H2670" t="s">
        <v>16</v>
      </c>
      <c r="I2670" s="26" t="s">
        <v>378</v>
      </c>
    </row>
    <row r="2671" spans="1:9" x14ac:dyDescent="0.3">
      <c r="A2671" s="24">
        <v>45369</v>
      </c>
      <c r="B2671" t="s">
        <v>28</v>
      </c>
      <c r="C2671" t="s">
        <v>29</v>
      </c>
      <c r="D2671">
        <v>0.1</v>
      </c>
      <c r="E2671" t="s">
        <v>61</v>
      </c>
      <c r="F2671" t="s">
        <v>31</v>
      </c>
      <c r="G2671" t="s">
        <v>32</v>
      </c>
      <c r="H2671" t="s">
        <v>16</v>
      </c>
      <c r="I2671" s="26" t="s">
        <v>378</v>
      </c>
    </row>
    <row r="2672" spans="1:9" x14ac:dyDescent="0.3">
      <c r="A2672" s="24">
        <v>45369</v>
      </c>
      <c r="B2672" t="s">
        <v>28</v>
      </c>
      <c r="C2672" t="s">
        <v>29</v>
      </c>
      <c r="D2672">
        <v>0.13</v>
      </c>
      <c r="E2672" t="s">
        <v>49</v>
      </c>
      <c r="F2672" t="s">
        <v>31</v>
      </c>
      <c r="G2672" t="s">
        <v>579</v>
      </c>
      <c r="H2672" t="s">
        <v>16</v>
      </c>
      <c r="I2672" s="26" t="s">
        <v>378</v>
      </c>
    </row>
    <row r="2673" spans="1:9" x14ac:dyDescent="0.3">
      <c r="A2673" s="24">
        <v>45369</v>
      </c>
      <c r="B2673" t="s">
        <v>28</v>
      </c>
      <c r="C2673" t="s">
        <v>29</v>
      </c>
      <c r="D2673">
        <v>0.13</v>
      </c>
      <c r="E2673" t="s">
        <v>48</v>
      </c>
      <c r="F2673" t="s">
        <v>31</v>
      </c>
      <c r="G2673" t="s">
        <v>32</v>
      </c>
      <c r="H2673" t="s">
        <v>16</v>
      </c>
      <c r="I2673" s="26" t="s">
        <v>378</v>
      </c>
    </row>
    <row r="2674" spans="1:9" x14ac:dyDescent="0.3">
      <c r="A2674" s="24">
        <v>45369</v>
      </c>
      <c r="B2674" t="s">
        <v>28</v>
      </c>
      <c r="C2674" t="s">
        <v>29</v>
      </c>
      <c r="D2674">
        <v>0.15</v>
      </c>
      <c r="E2674" t="s">
        <v>44</v>
      </c>
      <c r="F2674" t="s">
        <v>31</v>
      </c>
      <c r="G2674" t="s">
        <v>1969</v>
      </c>
      <c r="H2674" t="s">
        <v>16</v>
      </c>
      <c r="I2674" s="26" t="s">
        <v>378</v>
      </c>
    </row>
    <row r="2675" spans="1:9" x14ac:dyDescent="0.3">
      <c r="A2675" s="24">
        <v>45369</v>
      </c>
      <c r="B2675" t="s">
        <v>28</v>
      </c>
      <c r="C2675" t="s">
        <v>29</v>
      </c>
      <c r="D2675">
        <v>0.18</v>
      </c>
      <c r="E2675" t="s">
        <v>42</v>
      </c>
      <c r="F2675" t="s">
        <v>31</v>
      </c>
      <c r="G2675" t="s">
        <v>243</v>
      </c>
      <c r="H2675" t="s">
        <v>16</v>
      </c>
      <c r="I2675" s="26" t="s">
        <v>378</v>
      </c>
    </row>
    <row r="2676" spans="1:9" x14ac:dyDescent="0.3">
      <c r="A2676" s="24">
        <v>45369</v>
      </c>
      <c r="B2676" t="s">
        <v>28</v>
      </c>
      <c r="C2676" t="s">
        <v>29</v>
      </c>
      <c r="D2676">
        <v>0.35</v>
      </c>
      <c r="E2676" t="s">
        <v>44</v>
      </c>
      <c r="F2676" t="s">
        <v>31</v>
      </c>
      <c r="G2676" t="s">
        <v>579</v>
      </c>
      <c r="H2676" t="s">
        <v>16</v>
      </c>
      <c r="I2676" s="26" t="s">
        <v>378</v>
      </c>
    </row>
    <row r="2677" spans="1:9" x14ac:dyDescent="0.3">
      <c r="A2677" s="24">
        <v>45369</v>
      </c>
      <c r="B2677" t="s">
        <v>28</v>
      </c>
      <c r="C2677" t="s">
        <v>29</v>
      </c>
      <c r="D2677">
        <v>0.37</v>
      </c>
      <c r="E2677" t="s">
        <v>44</v>
      </c>
      <c r="F2677" t="s">
        <v>31</v>
      </c>
      <c r="G2677" t="s">
        <v>1970</v>
      </c>
      <c r="H2677" t="s">
        <v>16</v>
      </c>
      <c r="I2677" s="26" t="s">
        <v>378</v>
      </c>
    </row>
    <row r="2678" spans="1:9" x14ac:dyDescent="0.3">
      <c r="A2678" s="24">
        <v>45369</v>
      </c>
      <c r="B2678" t="s">
        <v>28</v>
      </c>
      <c r="C2678" t="s">
        <v>29</v>
      </c>
      <c r="D2678">
        <v>0.47</v>
      </c>
      <c r="E2678" t="s">
        <v>42</v>
      </c>
      <c r="F2678" t="s">
        <v>31</v>
      </c>
      <c r="G2678" t="s">
        <v>38</v>
      </c>
      <c r="H2678" t="s">
        <v>16</v>
      </c>
      <c r="I2678" s="26" t="s">
        <v>378</v>
      </c>
    </row>
    <row r="2679" spans="1:9" x14ac:dyDescent="0.3">
      <c r="A2679" s="24">
        <v>45369</v>
      </c>
      <c r="B2679" t="s">
        <v>28</v>
      </c>
      <c r="C2679" t="s">
        <v>29</v>
      </c>
      <c r="D2679">
        <v>0.63</v>
      </c>
      <c r="E2679" t="s">
        <v>40</v>
      </c>
      <c r="F2679" t="s">
        <v>31</v>
      </c>
      <c r="G2679" t="s">
        <v>1229</v>
      </c>
      <c r="H2679" t="s">
        <v>16</v>
      </c>
      <c r="I2679" s="26" t="s">
        <v>378</v>
      </c>
    </row>
    <row r="2680" spans="1:9" x14ac:dyDescent="0.3">
      <c r="A2680" s="24">
        <v>45369</v>
      </c>
      <c r="B2680" t="s">
        <v>28</v>
      </c>
      <c r="C2680" t="s">
        <v>29</v>
      </c>
      <c r="D2680">
        <v>0.65</v>
      </c>
      <c r="E2680" t="s">
        <v>42</v>
      </c>
      <c r="F2680" t="s">
        <v>31</v>
      </c>
      <c r="G2680" t="s">
        <v>1971</v>
      </c>
      <c r="H2680" t="s">
        <v>16</v>
      </c>
      <c r="I2680" s="26" t="s">
        <v>378</v>
      </c>
    </row>
    <row r="2681" spans="1:9" x14ac:dyDescent="0.3">
      <c r="A2681" s="24">
        <v>45369</v>
      </c>
      <c r="B2681" t="s">
        <v>28</v>
      </c>
      <c r="C2681" t="s">
        <v>29</v>
      </c>
      <c r="D2681">
        <v>0.77</v>
      </c>
      <c r="E2681" t="s">
        <v>39</v>
      </c>
      <c r="F2681" t="s">
        <v>31</v>
      </c>
      <c r="G2681" t="s">
        <v>38</v>
      </c>
      <c r="H2681" t="s">
        <v>16</v>
      </c>
      <c r="I2681" s="26" t="s">
        <v>378</v>
      </c>
    </row>
    <row r="2682" spans="1:9" x14ac:dyDescent="0.3">
      <c r="A2682" s="24">
        <v>45369</v>
      </c>
      <c r="B2682" t="s">
        <v>28</v>
      </c>
      <c r="C2682" t="s">
        <v>29</v>
      </c>
      <c r="D2682">
        <v>1.1200000000000001</v>
      </c>
      <c r="E2682" t="s">
        <v>49</v>
      </c>
      <c r="F2682" t="s">
        <v>31</v>
      </c>
      <c r="G2682" t="s">
        <v>43</v>
      </c>
      <c r="H2682" t="s">
        <v>16</v>
      </c>
      <c r="I2682" s="26" t="s">
        <v>378</v>
      </c>
    </row>
    <row r="2683" spans="1:9" x14ac:dyDescent="0.3">
      <c r="A2683" s="24">
        <v>45369</v>
      </c>
      <c r="B2683" t="s">
        <v>28</v>
      </c>
      <c r="C2683" t="s">
        <v>53</v>
      </c>
      <c r="D2683">
        <v>0.25</v>
      </c>
      <c r="E2683" t="s">
        <v>54</v>
      </c>
      <c r="F2683" t="s">
        <v>55</v>
      </c>
      <c r="G2683" t="s">
        <v>56</v>
      </c>
      <c r="H2683" t="s">
        <v>16</v>
      </c>
      <c r="I2683" s="26" t="s">
        <v>378</v>
      </c>
    </row>
    <row r="2684" spans="1:9" x14ac:dyDescent="0.3">
      <c r="A2684" s="24">
        <v>45369</v>
      </c>
      <c r="B2684" t="s">
        <v>28</v>
      </c>
      <c r="C2684" t="s">
        <v>53</v>
      </c>
      <c r="D2684">
        <v>0.25</v>
      </c>
      <c r="E2684" t="s">
        <v>54</v>
      </c>
      <c r="F2684" t="s">
        <v>55</v>
      </c>
      <c r="G2684" t="s">
        <v>57</v>
      </c>
      <c r="H2684" t="s">
        <v>16</v>
      </c>
      <c r="I2684" s="26" t="s">
        <v>378</v>
      </c>
    </row>
    <row r="2685" spans="1:9" x14ac:dyDescent="0.3">
      <c r="A2685" s="24">
        <v>45369</v>
      </c>
      <c r="B2685" t="s">
        <v>28</v>
      </c>
      <c r="C2685" t="s">
        <v>53</v>
      </c>
      <c r="D2685">
        <v>1.48</v>
      </c>
      <c r="E2685" t="s">
        <v>54</v>
      </c>
      <c r="F2685" t="s">
        <v>55</v>
      </c>
      <c r="G2685" t="s">
        <v>59</v>
      </c>
      <c r="H2685" t="s">
        <v>16</v>
      </c>
      <c r="I2685" s="26" t="s">
        <v>378</v>
      </c>
    </row>
    <row r="2686" spans="1:9" x14ac:dyDescent="0.3">
      <c r="A2686" s="24">
        <v>45369</v>
      </c>
      <c r="B2686" t="s">
        <v>28</v>
      </c>
      <c r="C2686" t="s">
        <v>225</v>
      </c>
      <c r="D2686">
        <v>0.05</v>
      </c>
      <c r="E2686" t="s">
        <v>61</v>
      </c>
      <c r="F2686" t="s">
        <v>31</v>
      </c>
      <c r="G2686" t="s">
        <v>1972</v>
      </c>
      <c r="H2686" t="s">
        <v>16</v>
      </c>
      <c r="I2686" s="26" t="s">
        <v>378</v>
      </c>
    </row>
    <row r="2687" spans="1:9" x14ac:dyDescent="0.3">
      <c r="A2687" s="24">
        <v>45369</v>
      </c>
      <c r="B2687" t="s">
        <v>28</v>
      </c>
      <c r="C2687" t="s">
        <v>60</v>
      </c>
      <c r="D2687">
        <v>0.03</v>
      </c>
      <c r="E2687" t="s">
        <v>44</v>
      </c>
      <c r="F2687" t="s">
        <v>31</v>
      </c>
      <c r="H2687" t="s">
        <v>16</v>
      </c>
      <c r="I2687" s="26" t="s">
        <v>378</v>
      </c>
    </row>
    <row r="2688" spans="1:9" x14ac:dyDescent="0.3">
      <c r="A2688" s="24">
        <v>45369</v>
      </c>
      <c r="B2688" t="s">
        <v>28</v>
      </c>
      <c r="C2688" t="s">
        <v>60</v>
      </c>
      <c r="D2688">
        <v>0.05</v>
      </c>
      <c r="E2688" t="s">
        <v>48</v>
      </c>
      <c r="F2688" t="s">
        <v>31</v>
      </c>
      <c r="H2688" t="s">
        <v>16</v>
      </c>
      <c r="I2688" s="26" t="s">
        <v>378</v>
      </c>
    </row>
    <row r="2689" spans="1:9" x14ac:dyDescent="0.3">
      <c r="A2689" s="24">
        <v>45369</v>
      </c>
      <c r="B2689" t="s">
        <v>28</v>
      </c>
      <c r="C2689" t="s">
        <v>60</v>
      </c>
      <c r="D2689">
        <v>0.68</v>
      </c>
      <c r="E2689" t="s">
        <v>48</v>
      </c>
      <c r="F2689" t="s">
        <v>31</v>
      </c>
      <c r="G2689" t="s">
        <v>1973</v>
      </c>
      <c r="H2689" t="s">
        <v>16</v>
      </c>
      <c r="I2689" s="26" t="s">
        <v>378</v>
      </c>
    </row>
    <row r="2690" spans="1:9" x14ac:dyDescent="0.3">
      <c r="A2690" s="24">
        <v>45369</v>
      </c>
      <c r="B2690" t="s">
        <v>64</v>
      </c>
      <c r="C2690" t="s">
        <v>73</v>
      </c>
      <c r="D2690">
        <v>7</v>
      </c>
      <c r="E2690" t="s">
        <v>54</v>
      </c>
      <c r="F2690" t="s">
        <v>55</v>
      </c>
      <c r="H2690" t="s">
        <v>16</v>
      </c>
      <c r="I2690" s="26" t="s">
        <v>378</v>
      </c>
    </row>
    <row r="2691" spans="1:9" x14ac:dyDescent="0.3">
      <c r="A2691" s="24">
        <v>45369</v>
      </c>
      <c r="B2691" t="s">
        <v>64</v>
      </c>
      <c r="C2691" t="s">
        <v>70</v>
      </c>
      <c r="D2691">
        <v>0.5</v>
      </c>
      <c r="E2691" t="s">
        <v>66</v>
      </c>
      <c r="F2691" t="s">
        <v>31</v>
      </c>
      <c r="G2691" t="s">
        <v>1974</v>
      </c>
      <c r="H2691" t="s">
        <v>16</v>
      </c>
      <c r="I2691" s="26" t="s">
        <v>378</v>
      </c>
    </row>
    <row r="2692" spans="1:9" x14ac:dyDescent="0.3">
      <c r="A2692" s="24">
        <v>45369</v>
      </c>
      <c r="B2692" t="s">
        <v>72</v>
      </c>
      <c r="C2692" t="s">
        <v>29</v>
      </c>
      <c r="D2692">
        <v>0.18</v>
      </c>
      <c r="E2692" t="s">
        <v>42</v>
      </c>
      <c r="F2692" t="s">
        <v>55</v>
      </c>
      <c r="G2692" t="s">
        <v>1975</v>
      </c>
      <c r="H2692" t="s">
        <v>16</v>
      </c>
      <c r="I2692" s="26" t="s">
        <v>378</v>
      </c>
    </row>
    <row r="2693" spans="1:9" x14ac:dyDescent="0.3">
      <c r="A2693" s="24">
        <v>45369</v>
      </c>
      <c r="B2693" t="s">
        <v>72</v>
      </c>
      <c r="C2693" t="s">
        <v>29</v>
      </c>
      <c r="D2693">
        <v>0.33</v>
      </c>
      <c r="E2693" t="s">
        <v>42</v>
      </c>
      <c r="F2693" t="s">
        <v>55</v>
      </c>
      <c r="H2693" t="s">
        <v>16</v>
      </c>
      <c r="I2693" s="26" t="s">
        <v>378</v>
      </c>
    </row>
    <row r="2694" spans="1:9" x14ac:dyDescent="0.3">
      <c r="A2694" s="24">
        <v>45369</v>
      </c>
      <c r="B2694" t="s">
        <v>72</v>
      </c>
      <c r="C2694" t="s">
        <v>29</v>
      </c>
      <c r="D2694">
        <v>0.65</v>
      </c>
      <c r="E2694" t="s">
        <v>42</v>
      </c>
      <c r="F2694" t="s">
        <v>55</v>
      </c>
      <c r="G2694" t="s">
        <v>1976</v>
      </c>
      <c r="H2694" t="s">
        <v>16</v>
      </c>
      <c r="I2694" s="26" t="s">
        <v>378</v>
      </c>
    </row>
    <row r="2695" spans="1:9" x14ac:dyDescent="0.3">
      <c r="A2695" s="24">
        <v>45369</v>
      </c>
      <c r="B2695" t="s">
        <v>72</v>
      </c>
      <c r="C2695" t="s">
        <v>29</v>
      </c>
      <c r="D2695">
        <v>2.7</v>
      </c>
      <c r="E2695" t="s">
        <v>271</v>
      </c>
      <c r="F2695" t="s">
        <v>31</v>
      </c>
      <c r="H2695" t="s">
        <v>16</v>
      </c>
      <c r="I2695" s="26" t="s">
        <v>378</v>
      </c>
    </row>
    <row r="2696" spans="1:9" x14ac:dyDescent="0.3">
      <c r="A2696" s="24">
        <v>45369</v>
      </c>
      <c r="B2696" t="s">
        <v>72</v>
      </c>
      <c r="C2696" t="s">
        <v>53</v>
      </c>
      <c r="D2696">
        <v>0.1</v>
      </c>
      <c r="E2696" t="s">
        <v>54</v>
      </c>
      <c r="F2696" t="s">
        <v>55</v>
      </c>
      <c r="H2696" t="s">
        <v>16</v>
      </c>
      <c r="I2696" s="26" t="s">
        <v>378</v>
      </c>
    </row>
    <row r="2697" spans="1:9" x14ac:dyDescent="0.3">
      <c r="A2697" s="24">
        <v>45369</v>
      </c>
      <c r="B2697" t="s">
        <v>72</v>
      </c>
      <c r="C2697" t="s">
        <v>53</v>
      </c>
      <c r="D2697">
        <v>0.4</v>
      </c>
      <c r="E2697" t="s">
        <v>54</v>
      </c>
      <c r="F2697" t="s">
        <v>55</v>
      </c>
      <c r="G2697" t="s">
        <v>1977</v>
      </c>
      <c r="H2697" t="s">
        <v>16</v>
      </c>
      <c r="I2697" s="26" t="s">
        <v>378</v>
      </c>
    </row>
    <row r="2698" spans="1:9" x14ac:dyDescent="0.3">
      <c r="A2698" s="24">
        <v>45369</v>
      </c>
      <c r="B2698" t="s">
        <v>72</v>
      </c>
      <c r="C2698" t="s">
        <v>53</v>
      </c>
      <c r="D2698">
        <v>0.47</v>
      </c>
      <c r="E2698" t="s">
        <v>54</v>
      </c>
      <c r="F2698" t="s">
        <v>55</v>
      </c>
      <c r="G2698" t="s">
        <v>1097</v>
      </c>
      <c r="H2698" t="s">
        <v>16</v>
      </c>
      <c r="I2698" s="26" t="s">
        <v>378</v>
      </c>
    </row>
    <row r="2699" spans="1:9" x14ac:dyDescent="0.3">
      <c r="A2699" s="24">
        <v>45369</v>
      </c>
      <c r="B2699" t="s">
        <v>72</v>
      </c>
      <c r="C2699" t="s">
        <v>53</v>
      </c>
      <c r="D2699">
        <v>0.97</v>
      </c>
      <c r="E2699" t="s">
        <v>54</v>
      </c>
      <c r="F2699" t="s">
        <v>55</v>
      </c>
      <c r="G2699" t="s">
        <v>1978</v>
      </c>
      <c r="H2699" t="s">
        <v>16</v>
      </c>
      <c r="I2699" s="26" t="s">
        <v>378</v>
      </c>
    </row>
    <row r="2700" spans="1:9" x14ac:dyDescent="0.3">
      <c r="A2700" s="24">
        <v>45369</v>
      </c>
      <c r="B2700" t="s">
        <v>72</v>
      </c>
      <c r="C2700" t="s">
        <v>53</v>
      </c>
      <c r="D2700">
        <v>0.98</v>
      </c>
      <c r="E2700" t="s">
        <v>254</v>
      </c>
      <c r="F2700" t="s">
        <v>55</v>
      </c>
      <c r="H2700" t="s">
        <v>16</v>
      </c>
      <c r="I2700" s="26" t="s">
        <v>378</v>
      </c>
    </row>
    <row r="2701" spans="1:9" x14ac:dyDescent="0.3">
      <c r="A2701" s="24">
        <v>45369</v>
      </c>
      <c r="B2701" t="s">
        <v>72</v>
      </c>
      <c r="C2701" t="s">
        <v>58</v>
      </c>
      <c r="D2701">
        <v>1.28</v>
      </c>
      <c r="E2701" t="s">
        <v>54</v>
      </c>
      <c r="F2701" t="s">
        <v>55</v>
      </c>
      <c r="G2701" t="s">
        <v>111</v>
      </c>
      <c r="H2701" t="s">
        <v>16</v>
      </c>
      <c r="I2701" s="26" t="s">
        <v>378</v>
      </c>
    </row>
    <row r="2702" spans="1:9" x14ac:dyDescent="0.3">
      <c r="A2702" s="24">
        <v>45369</v>
      </c>
      <c r="B2702" t="s">
        <v>75</v>
      </c>
      <c r="C2702" t="s">
        <v>148</v>
      </c>
      <c r="D2702">
        <v>9</v>
      </c>
      <c r="E2702" t="s">
        <v>54</v>
      </c>
      <c r="F2702" t="s">
        <v>55</v>
      </c>
      <c r="G2702" t="s">
        <v>1979</v>
      </c>
      <c r="H2702" t="s">
        <v>16</v>
      </c>
      <c r="I2702" s="26" t="s">
        <v>378</v>
      </c>
    </row>
    <row r="2703" spans="1:9" x14ac:dyDescent="0.3">
      <c r="A2703" s="24">
        <v>45369</v>
      </c>
      <c r="B2703" t="s">
        <v>79</v>
      </c>
      <c r="C2703" t="s">
        <v>58</v>
      </c>
      <c r="D2703">
        <v>8</v>
      </c>
      <c r="E2703" t="s">
        <v>54</v>
      </c>
      <c r="F2703" t="s">
        <v>55</v>
      </c>
      <c r="H2703" t="s">
        <v>16</v>
      </c>
      <c r="I2703" s="26" t="s">
        <v>378</v>
      </c>
    </row>
    <row r="2704" spans="1:9" x14ac:dyDescent="0.3">
      <c r="A2704" s="24">
        <v>45369</v>
      </c>
      <c r="B2704" t="s">
        <v>80</v>
      </c>
      <c r="C2704" t="s">
        <v>29</v>
      </c>
      <c r="D2704">
        <v>2.5</v>
      </c>
      <c r="E2704" t="s">
        <v>81</v>
      </c>
      <c r="F2704" t="s">
        <v>31</v>
      </c>
      <c r="G2704" t="s">
        <v>1853</v>
      </c>
      <c r="H2704" t="s">
        <v>16</v>
      </c>
      <c r="I2704" s="26" t="s">
        <v>378</v>
      </c>
    </row>
    <row r="2705" spans="1:9" x14ac:dyDescent="0.3">
      <c r="A2705" s="24">
        <v>45369</v>
      </c>
      <c r="B2705" t="s">
        <v>80</v>
      </c>
      <c r="C2705" t="s">
        <v>29</v>
      </c>
      <c r="D2705">
        <v>5.5</v>
      </c>
      <c r="E2705" t="s">
        <v>81</v>
      </c>
      <c r="F2705" t="s">
        <v>31</v>
      </c>
      <c r="G2705" t="s">
        <v>1980</v>
      </c>
      <c r="H2705" t="s">
        <v>16</v>
      </c>
      <c r="I2705" s="26" t="s">
        <v>378</v>
      </c>
    </row>
    <row r="2706" spans="1:9" x14ac:dyDescent="0.3">
      <c r="A2706" s="24">
        <v>45369</v>
      </c>
      <c r="B2706" t="s">
        <v>88</v>
      </c>
      <c r="C2706" t="s">
        <v>394</v>
      </c>
      <c r="D2706">
        <v>8</v>
      </c>
      <c r="E2706" t="s">
        <v>54</v>
      </c>
      <c r="F2706" t="s">
        <v>55</v>
      </c>
      <c r="G2706" t="s">
        <v>1981</v>
      </c>
      <c r="H2706" t="s">
        <v>16</v>
      </c>
      <c r="I2706" s="26" t="s">
        <v>378</v>
      </c>
    </row>
    <row r="2707" spans="1:9" x14ac:dyDescent="0.3">
      <c r="A2707" s="24">
        <v>45369</v>
      </c>
      <c r="B2707" t="s">
        <v>97</v>
      </c>
      <c r="C2707" t="s">
        <v>89</v>
      </c>
      <c r="D2707">
        <v>4.5</v>
      </c>
      <c r="E2707" t="s">
        <v>54</v>
      </c>
      <c r="F2707" t="s">
        <v>55</v>
      </c>
      <c r="G2707" t="s">
        <v>1982</v>
      </c>
      <c r="H2707" t="s">
        <v>16</v>
      </c>
      <c r="I2707" s="26" t="s">
        <v>378</v>
      </c>
    </row>
    <row r="2708" spans="1:9" x14ac:dyDescent="0.3">
      <c r="A2708" s="24">
        <v>45369</v>
      </c>
      <c r="B2708" t="s">
        <v>99</v>
      </c>
      <c r="C2708" t="s">
        <v>89</v>
      </c>
      <c r="D2708">
        <v>9.2200000000000006</v>
      </c>
      <c r="E2708" t="s">
        <v>54</v>
      </c>
      <c r="F2708" t="s">
        <v>55</v>
      </c>
      <c r="G2708" t="s">
        <v>1983</v>
      </c>
      <c r="H2708" t="s">
        <v>16</v>
      </c>
      <c r="I2708" s="26" t="s">
        <v>378</v>
      </c>
    </row>
    <row r="2709" spans="1:9" x14ac:dyDescent="0.3">
      <c r="A2709" s="24">
        <v>45369</v>
      </c>
      <c r="B2709" t="s">
        <v>101</v>
      </c>
      <c r="C2709" t="s">
        <v>29</v>
      </c>
      <c r="D2709">
        <v>0.17</v>
      </c>
      <c r="E2709" t="s">
        <v>108</v>
      </c>
      <c r="F2709" t="s">
        <v>31</v>
      </c>
      <c r="G2709" t="s">
        <v>1984</v>
      </c>
      <c r="H2709" t="s">
        <v>16</v>
      </c>
      <c r="I2709" s="26" t="s">
        <v>378</v>
      </c>
    </row>
    <row r="2710" spans="1:9" x14ac:dyDescent="0.3">
      <c r="A2710" s="24">
        <v>45369</v>
      </c>
      <c r="B2710" t="s">
        <v>101</v>
      </c>
      <c r="C2710" t="s">
        <v>29</v>
      </c>
      <c r="D2710">
        <v>0.17</v>
      </c>
      <c r="E2710" t="s">
        <v>725</v>
      </c>
      <c r="F2710" t="s">
        <v>55</v>
      </c>
      <c r="G2710" t="s">
        <v>1985</v>
      </c>
      <c r="H2710" t="s">
        <v>16</v>
      </c>
      <c r="I2710" s="26" t="s">
        <v>378</v>
      </c>
    </row>
    <row r="2711" spans="1:9" x14ac:dyDescent="0.3">
      <c r="A2711" s="24">
        <v>45369</v>
      </c>
      <c r="B2711" t="s">
        <v>101</v>
      </c>
      <c r="C2711" t="s">
        <v>29</v>
      </c>
      <c r="D2711">
        <v>0.42</v>
      </c>
      <c r="E2711" t="s">
        <v>106</v>
      </c>
      <c r="F2711" t="s">
        <v>55</v>
      </c>
      <c r="G2711" t="s">
        <v>1986</v>
      </c>
      <c r="H2711" t="s">
        <v>16</v>
      </c>
      <c r="I2711" s="26" t="s">
        <v>378</v>
      </c>
    </row>
    <row r="2712" spans="1:9" x14ac:dyDescent="0.3">
      <c r="A2712" s="24">
        <v>45369</v>
      </c>
      <c r="B2712" t="s">
        <v>101</v>
      </c>
      <c r="C2712" t="s">
        <v>29</v>
      </c>
      <c r="D2712">
        <v>1.42</v>
      </c>
      <c r="E2712" t="s">
        <v>725</v>
      </c>
      <c r="F2712" t="s">
        <v>31</v>
      </c>
      <c r="G2712" t="s">
        <v>1987</v>
      </c>
      <c r="H2712" t="s">
        <v>16</v>
      </c>
      <c r="I2712" s="26" t="s">
        <v>378</v>
      </c>
    </row>
    <row r="2713" spans="1:9" x14ac:dyDescent="0.3">
      <c r="A2713" s="24">
        <v>45369</v>
      </c>
      <c r="B2713" t="s">
        <v>101</v>
      </c>
      <c r="C2713" t="s">
        <v>29</v>
      </c>
      <c r="D2713">
        <v>3.83</v>
      </c>
      <c r="E2713" t="s">
        <v>106</v>
      </c>
      <c r="F2713" t="s">
        <v>31</v>
      </c>
      <c r="G2713" t="s">
        <v>1988</v>
      </c>
      <c r="H2713" t="s">
        <v>16</v>
      </c>
      <c r="I2713" s="26" t="s">
        <v>378</v>
      </c>
    </row>
    <row r="2714" spans="1:9" x14ac:dyDescent="0.3">
      <c r="A2714" s="24">
        <v>45369</v>
      </c>
      <c r="B2714" t="s">
        <v>101</v>
      </c>
      <c r="C2714" t="s">
        <v>53</v>
      </c>
      <c r="D2714">
        <v>0.5</v>
      </c>
      <c r="E2714" t="s">
        <v>54</v>
      </c>
      <c r="F2714" t="s">
        <v>55</v>
      </c>
      <c r="G2714" t="s">
        <v>110</v>
      </c>
      <c r="H2714" t="s">
        <v>16</v>
      </c>
      <c r="I2714" s="26" t="s">
        <v>378</v>
      </c>
    </row>
    <row r="2715" spans="1:9" x14ac:dyDescent="0.3">
      <c r="A2715" s="24">
        <v>45369</v>
      </c>
      <c r="B2715" t="s">
        <v>101</v>
      </c>
      <c r="C2715" t="s">
        <v>58</v>
      </c>
      <c r="D2715">
        <v>1.5</v>
      </c>
      <c r="E2715" t="s">
        <v>54</v>
      </c>
      <c r="F2715" t="s">
        <v>55</v>
      </c>
      <c r="G2715" t="s">
        <v>111</v>
      </c>
      <c r="H2715" t="s">
        <v>16</v>
      </c>
      <c r="I2715" s="26" t="s">
        <v>378</v>
      </c>
    </row>
    <row r="2716" spans="1:9" x14ac:dyDescent="0.3">
      <c r="A2716" s="24">
        <v>45369</v>
      </c>
      <c r="B2716" t="s">
        <v>402</v>
      </c>
      <c r="C2716" t="s">
        <v>403</v>
      </c>
      <c r="D2716">
        <v>3.5</v>
      </c>
      <c r="E2716" t="s">
        <v>39</v>
      </c>
      <c r="F2716" t="s">
        <v>31</v>
      </c>
      <c r="G2716" t="s">
        <v>1989</v>
      </c>
      <c r="H2716" t="s">
        <v>16</v>
      </c>
      <c r="I2716" s="26" t="s">
        <v>378</v>
      </c>
    </row>
    <row r="2717" spans="1:9" x14ac:dyDescent="0.3">
      <c r="A2717" s="24">
        <v>45369</v>
      </c>
      <c r="B2717" t="s">
        <v>402</v>
      </c>
      <c r="C2717" t="s">
        <v>405</v>
      </c>
      <c r="D2717">
        <v>1</v>
      </c>
      <c r="E2717" t="s">
        <v>42</v>
      </c>
      <c r="F2717" t="s">
        <v>31</v>
      </c>
      <c r="G2717" t="s">
        <v>1990</v>
      </c>
      <c r="H2717" t="s">
        <v>16</v>
      </c>
      <c r="I2717" s="26" t="s">
        <v>378</v>
      </c>
    </row>
    <row r="2718" spans="1:9" x14ac:dyDescent="0.3">
      <c r="A2718" s="24">
        <v>45369</v>
      </c>
      <c r="B2718" t="s">
        <v>113</v>
      </c>
      <c r="C2718" t="s">
        <v>73</v>
      </c>
      <c r="D2718">
        <v>4</v>
      </c>
      <c r="E2718" t="s">
        <v>54</v>
      </c>
      <c r="F2718" t="s">
        <v>55</v>
      </c>
      <c r="H2718" t="s">
        <v>16</v>
      </c>
      <c r="I2718" s="26" t="s">
        <v>378</v>
      </c>
    </row>
    <row r="2719" spans="1:9" x14ac:dyDescent="0.3">
      <c r="A2719" s="24">
        <v>45369</v>
      </c>
      <c r="B2719" t="s">
        <v>113</v>
      </c>
      <c r="C2719" t="s">
        <v>29</v>
      </c>
      <c r="D2719">
        <v>0.28000000000000003</v>
      </c>
      <c r="E2719" t="s">
        <v>114</v>
      </c>
      <c r="F2719" t="s">
        <v>31</v>
      </c>
      <c r="G2719" t="s">
        <v>1991</v>
      </c>
      <c r="H2719" t="s">
        <v>16</v>
      </c>
      <c r="I2719" s="26" t="s">
        <v>378</v>
      </c>
    </row>
    <row r="2720" spans="1:9" x14ac:dyDescent="0.3">
      <c r="A2720" s="24">
        <v>45369</v>
      </c>
      <c r="B2720" t="s">
        <v>113</v>
      </c>
      <c r="C2720" t="s">
        <v>29</v>
      </c>
      <c r="D2720">
        <v>0.37</v>
      </c>
      <c r="E2720" t="s">
        <v>127</v>
      </c>
      <c r="F2720" t="s">
        <v>31</v>
      </c>
      <c r="G2720" t="s">
        <v>207</v>
      </c>
      <c r="H2720" t="s">
        <v>16</v>
      </c>
      <c r="I2720" s="26" t="s">
        <v>378</v>
      </c>
    </row>
    <row r="2721" spans="1:9" x14ac:dyDescent="0.3">
      <c r="A2721" s="24">
        <v>45369</v>
      </c>
      <c r="B2721" t="s">
        <v>113</v>
      </c>
      <c r="C2721" t="s">
        <v>53</v>
      </c>
      <c r="D2721">
        <v>0.25</v>
      </c>
      <c r="E2721" t="s">
        <v>54</v>
      </c>
      <c r="F2721" t="s">
        <v>55</v>
      </c>
      <c r="G2721" t="s">
        <v>110</v>
      </c>
      <c r="H2721" t="s">
        <v>16</v>
      </c>
      <c r="I2721" s="26" t="s">
        <v>378</v>
      </c>
    </row>
    <row r="2722" spans="1:9" x14ac:dyDescent="0.3">
      <c r="A2722" s="24">
        <v>45369</v>
      </c>
      <c r="B2722" t="s">
        <v>113</v>
      </c>
      <c r="C2722" t="s">
        <v>53</v>
      </c>
      <c r="D2722">
        <v>0.33</v>
      </c>
      <c r="E2722" t="s">
        <v>54</v>
      </c>
      <c r="F2722" t="s">
        <v>55</v>
      </c>
      <c r="G2722" t="s">
        <v>413</v>
      </c>
      <c r="H2722" t="s">
        <v>16</v>
      </c>
      <c r="I2722" s="26" t="s">
        <v>378</v>
      </c>
    </row>
    <row r="2723" spans="1:9" x14ac:dyDescent="0.3">
      <c r="A2723" s="24">
        <v>45369</v>
      </c>
      <c r="B2723" t="s">
        <v>113</v>
      </c>
      <c r="C2723" t="s">
        <v>53</v>
      </c>
      <c r="D2723">
        <v>0.72</v>
      </c>
      <c r="E2723" t="s">
        <v>54</v>
      </c>
      <c r="F2723" t="s">
        <v>55</v>
      </c>
      <c r="G2723" t="s">
        <v>1992</v>
      </c>
      <c r="H2723" t="s">
        <v>16</v>
      </c>
      <c r="I2723" s="26" t="s">
        <v>378</v>
      </c>
    </row>
    <row r="2724" spans="1:9" x14ac:dyDescent="0.3">
      <c r="A2724" s="24">
        <v>45369</v>
      </c>
      <c r="B2724" t="s">
        <v>113</v>
      </c>
      <c r="C2724" t="s">
        <v>58</v>
      </c>
      <c r="D2724">
        <v>1.5</v>
      </c>
      <c r="E2724" t="s">
        <v>54</v>
      </c>
      <c r="F2724" t="s">
        <v>55</v>
      </c>
      <c r="G2724" t="s">
        <v>111</v>
      </c>
      <c r="H2724" t="s">
        <v>16</v>
      </c>
      <c r="I2724" s="26" t="s">
        <v>378</v>
      </c>
    </row>
    <row r="2725" spans="1:9" x14ac:dyDescent="0.3">
      <c r="A2725" s="24">
        <v>45369</v>
      </c>
      <c r="B2725" t="s">
        <v>113</v>
      </c>
      <c r="C2725" t="s">
        <v>1408</v>
      </c>
      <c r="D2725">
        <v>0.55000000000000004</v>
      </c>
      <c r="E2725" t="s">
        <v>1409</v>
      </c>
      <c r="F2725" t="s">
        <v>31</v>
      </c>
      <c r="G2725" t="s">
        <v>1993</v>
      </c>
      <c r="H2725" t="s">
        <v>16</v>
      </c>
      <c r="I2725" s="26" t="s">
        <v>378</v>
      </c>
    </row>
    <row r="2726" spans="1:9" x14ac:dyDescent="0.3">
      <c r="A2726" s="24">
        <v>45369</v>
      </c>
      <c r="B2726" t="s">
        <v>132</v>
      </c>
      <c r="C2726" t="s">
        <v>29</v>
      </c>
      <c r="D2726">
        <v>0.17</v>
      </c>
      <c r="E2726" t="s">
        <v>81</v>
      </c>
      <c r="F2726" t="s">
        <v>31</v>
      </c>
      <c r="G2726" t="e">
        <f>- Received raw invoices.</f>
        <v>#NAME?</v>
      </c>
      <c r="H2726" t="s">
        <v>16</v>
      </c>
      <c r="I2726" s="26" t="s">
        <v>378</v>
      </c>
    </row>
    <row r="2727" spans="1:9" x14ac:dyDescent="0.3">
      <c r="A2727" s="24">
        <v>45369</v>
      </c>
      <c r="B2727" t="s">
        <v>132</v>
      </c>
      <c r="C2727" t="s">
        <v>53</v>
      </c>
      <c r="D2727">
        <v>9.5</v>
      </c>
      <c r="E2727" t="s">
        <v>54</v>
      </c>
      <c r="F2727" t="s">
        <v>55</v>
      </c>
      <c r="G2727" t="s">
        <v>1994</v>
      </c>
      <c r="H2727" t="s">
        <v>16</v>
      </c>
      <c r="I2727" s="26" t="s">
        <v>378</v>
      </c>
    </row>
    <row r="2728" spans="1:9" x14ac:dyDescent="0.3">
      <c r="A2728" s="24">
        <v>45369</v>
      </c>
      <c r="B2728" t="s">
        <v>134</v>
      </c>
      <c r="C2728" t="s">
        <v>29</v>
      </c>
      <c r="D2728">
        <v>1.2</v>
      </c>
      <c r="E2728" t="s">
        <v>137</v>
      </c>
      <c r="F2728" t="s">
        <v>31</v>
      </c>
      <c r="G2728" t="s">
        <v>1995</v>
      </c>
      <c r="H2728" t="s">
        <v>16</v>
      </c>
      <c r="I2728" s="26" t="s">
        <v>378</v>
      </c>
    </row>
    <row r="2729" spans="1:9" x14ac:dyDescent="0.3">
      <c r="A2729" s="24">
        <v>45369</v>
      </c>
      <c r="B2729" t="s">
        <v>134</v>
      </c>
      <c r="C2729" t="s">
        <v>29</v>
      </c>
      <c r="D2729">
        <v>2</v>
      </c>
      <c r="E2729" t="s">
        <v>135</v>
      </c>
      <c r="F2729" t="s">
        <v>31</v>
      </c>
      <c r="G2729" t="s">
        <v>1996</v>
      </c>
      <c r="H2729" t="s">
        <v>16</v>
      </c>
      <c r="I2729" s="26" t="s">
        <v>378</v>
      </c>
    </row>
    <row r="2730" spans="1:9" x14ac:dyDescent="0.3">
      <c r="A2730" s="24">
        <v>45369</v>
      </c>
      <c r="B2730" t="s">
        <v>134</v>
      </c>
      <c r="C2730" t="s">
        <v>29</v>
      </c>
      <c r="D2730">
        <v>2.92</v>
      </c>
      <c r="E2730" t="s">
        <v>420</v>
      </c>
      <c r="F2730" t="s">
        <v>31</v>
      </c>
      <c r="G2730" t="s">
        <v>1997</v>
      </c>
      <c r="H2730" t="s">
        <v>16</v>
      </c>
      <c r="I2730" s="26" t="s">
        <v>378</v>
      </c>
    </row>
    <row r="2731" spans="1:9" x14ac:dyDescent="0.3">
      <c r="A2731" s="24">
        <v>45369</v>
      </c>
      <c r="B2731" t="s">
        <v>134</v>
      </c>
      <c r="C2731" t="s">
        <v>53</v>
      </c>
      <c r="D2731">
        <v>0.5</v>
      </c>
      <c r="E2731" t="s">
        <v>54</v>
      </c>
      <c r="F2731" t="s">
        <v>55</v>
      </c>
      <c r="G2731" t="s">
        <v>110</v>
      </c>
      <c r="H2731" t="s">
        <v>16</v>
      </c>
      <c r="I2731" s="26" t="s">
        <v>378</v>
      </c>
    </row>
    <row r="2732" spans="1:9" x14ac:dyDescent="0.3">
      <c r="A2732" s="24">
        <v>45369</v>
      </c>
      <c r="B2732" t="s">
        <v>134</v>
      </c>
      <c r="C2732" t="s">
        <v>58</v>
      </c>
      <c r="D2732">
        <v>1.38</v>
      </c>
      <c r="E2732" t="s">
        <v>54</v>
      </c>
      <c r="F2732" t="s">
        <v>55</v>
      </c>
      <c r="G2732" t="s">
        <v>111</v>
      </c>
      <c r="H2732" t="s">
        <v>16</v>
      </c>
      <c r="I2732" s="26" t="s">
        <v>378</v>
      </c>
    </row>
    <row r="2733" spans="1:9" x14ac:dyDescent="0.3">
      <c r="A2733" s="24">
        <v>45369</v>
      </c>
      <c r="B2733" t="s">
        <v>150</v>
      </c>
      <c r="C2733" t="s">
        <v>29</v>
      </c>
      <c r="D2733">
        <v>0.25</v>
      </c>
      <c r="E2733" t="s">
        <v>114</v>
      </c>
      <c r="F2733" t="s">
        <v>31</v>
      </c>
      <c r="G2733" t="s">
        <v>1998</v>
      </c>
      <c r="H2733" t="s">
        <v>16</v>
      </c>
      <c r="I2733" s="26" t="s">
        <v>378</v>
      </c>
    </row>
    <row r="2734" spans="1:9" x14ac:dyDescent="0.3">
      <c r="A2734" s="24">
        <v>45369</v>
      </c>
      <c r="B2734" t="s">
        <v>150</v>
      </c>
      <c r="C2734" t="s">
        <v>29</v>
      </c>
      <c r="D2734">
        <v>0.55000000000000004</v>
      </c>
      <c r="E2734" t="s">
        <v>151</v>
      </c>
      <c r="F2734" t="s">
        <v>55</v>
      </c>
      <c r="G2734" t="s">
        <v>1999</v>
      </c>
      <c r="H2734" t="s">
        <v>16</v>
      </c>
      <c r="I2734" s="26" t="s">
        <v>378</v>
      </c>
    </row>
    <row r="2735" spans="1:9" x14ac:dyDescent="0.3">
      <c r="A2735" s="24">
        <v>45369</v>
      </c>
      <c r="B2735" t="s">
        <v>150</v>
      </c>
      <c r="C2735" t="s">
        <v>29</v>
      </c>
      <c r="D2735">
        <v>0.82</v>
      </c>
      <c r="E2735" t="s">
        <v>437</v>
      </c>
      <c r="F2735" t="s">
        <v>31</v>
      </c>
      <c r="G2735" t="s">
        <v>2000</v>
      </c>
      <c r="H2735" t="s">
        <v>16</v>
      </c>
      <c r="I2735" s="26" t="s">
        <v>378</v>
      </c>
    </row>
    <row r="2736" spans="1:9" x14ac:dyDescent="0.3">
      <c r="A2736" s="24">
        <v>45369</v>
      </c>
      <c r="B2736" t="s">
        <v>150</v>
      </c>
      <c r="C2736" t="s">
        <v>29</v>
      </c>
      <c r="D2736">
        <v>1.4</v>
      </c>
      <c r="E2736" t="s">
        <v>151</v>
      </c>
      <c r="F2736" t="s">
        <v>31</v>
      </c>
      <c r="G2736" t="s">
        <v>152</v>
      </c>
      <c r="H2736" t="s">
        <v>16</v>
      </c>
      <c r="I2736" s="26" t="s">
        <v>378</v>
      </c>
    </row>
    <row r="2737" spans="1:9" x14ac:dyDescent="0.3">
      <c r="A2737" s="24">
        <v>45369</v>
      </c>
      <c r="B2737" t="s">
        <v>150</v>
      </c>
      <c r="C2737" t="s">
        <v>29</v>
      </c>
      <c r="D2737">
        <v>2.4300000000000002</v>
      </c>
      <c r="E2737" t="s">
        <v>437</v>
      </c>
      <c r="F2737" t="s">
        <v>31</v>
      </c>
      <c r="G2737" t="s">
        <v>2001</v>
      </c>
      <c r="H2737" t="s">
        <v>16</v>
      </c>
      <c r="I2737" s="26" t="s">
        <v>378</v>
      </c>
    </row>
    <row r="2738" spans="1:9" x14ac:dyDescent="0.3">
      <c r="A2738" s="24">
        <v>45369</v>
      </c>
      <c r="B2738" t="s">
        <v>150</v>
      </c>
      <c r="C2738" t="s">
        <v>85</v>
      </c>
      <c r="D2738">
        <v>1.05</v>
      </c>
      <c r="E2738" t="s">
        <v>151</v>
      </c>
      <c r="F2738" t="s">
        <v>55</v>
      </c>
      <c r="G2738" t="s">
        <v>2002</v>
      </c>
      <c r="H2738" t="s">
        <v>16</v>
      </c>
      <c r="I2738" s="26" t="s">
        <v>378</v>
      </c>
    </row>
    <row r="2739" spans="1:9" x14ac:dyDescent="0.3">
      <c r="A2739" s="24">
        <v>45369</v>
      </c>
      <c r="B2739" t="s">
        <v>150</v>
      </c>
      <c r="C2739" t="s">
        <v>53</v>
      </c>
      <c r="D2739">
        <v>0.5</v>
      </c>
      <c r="E2739" t="s">
        <v>54</v>
      </c>
      <c r="F2739" t="s">
        <v>55</v>
      </c>
      <c r="G2739" t="s">
        <v>2003</v>
      </c>
      <c r="H2739" t="s">
        <v>16</v>
      </c>
      <c r="I2739" s="26" t="s">
        <v>378</v>
      </c>
    </row>
    <row r="2740" spans="1:9" x14ac:dyDescent="0.3">
      <c r="A2740" s="24">
        <v>45369</v>
      </c>
      <c r="B2740" t="s">
        <v>150</v>
      </c>
      <c r="C2740" t="s">
        <v>58</v>
      </c>
      <c r="D2740">
        <v>1.47</v>
      </c>
      <c r="E2740" t="s">
        <v>54</v>
      </c>
      <c r="F2740" t="s">
        <v>55</v>
      </c>
      <c r="G2740" t="s">
        <v>59</v>
      </c>
      <c r="H2740" t="s">
        <v>16</v>
      </c>
      <c r="I2740" s="26" t="s">
        <v>378</v>
      </c>
    </row>
    <row r="2741" spans="1:9" x14ac:dyDescent="0.3">
      <c r="A2741" s="24">
        <v>45369</v>
      </c>
      <c r="B2741" t="s">
        <v>150</v>
      </c>
      <c r="C2741" t="s">
        <v>60</v>
      </c>
      <c r="D2741">
        <v>0.35</v>
      </c>
      <c r="E2741" t="s">
        <v>151</v>
      </c>
      <c r="F2741" t="s">
        <v>31</v>
      </c>
      <c r="G2741" t="s">
        <v>624</v>
      </c>
      <c r="H2741" t="s">
        <v>16</v>
      </c>
      <c r="I2741" s="26" t="s">
        <v>378</v>
      </c>
    </row>
    <row r="2742" spans="1:9" x14ac:dyDescent="0.3">
      <c r="A2742" s="24">
        <v>45369</v>
      </c>
      <c r="B2742" t="s">
        <v>164</v>
      </c>
      <c r="C2742" t="s">
        <v>29</v>
      </c>
      <c r="D2742">
        <v>1.08</v>
      </c>
      <c r="E2742" t="s">
        <v>229</v>
      </c>
      <c r="F2742" t="s">
        <v>31</v>
      </c>
      <c r="G2742" t="s">
        <v>2004</v>
      </c>
      <c r="H2742" t="s">
        <v>16</v>
      </c>
      <c r="I2742" s="26" t="s">
        <v>378</v>
      </c>
    </row>
    <row r="2743" spans="1:9" x14ac:dyDescent="0.3">
      <c r="A2743" s="24">
        <v>45369</v>
      </c>
      <c r="B2743" t="s">
        <v>164</v>
      </c>
      <c r="C2743" t="s">
        <v>53</v>
      </c>
      <c r="D2743">
        <v>0.35</v>
      </c>
      <c r="E2743" t="s">
        <v>54</v>
      </c>
      <c r="F2743" t="s">
        <v>55</v>
      </c>
      <c r="G2743" t="s">
        <v>2005</v>
      </c>
      <c r="H2743" t="s">
        <v>16</v>
      </c>
      <c r="I2743" s="26" t="s">
        <v>378</v>
      </c>
    </row>
    <row r="2744" spans="1:9" x14ac:dyDescent="0.3">
      <c r="A2744" s="24">
        <v>45369</v>
      </c>
      <c r="B2744" t="s">
        <v>164</v>
      </c>
      <c r="C2744" t="s">
        <v>53</v>
      </c>
      <c r="D2744">
        <v>0.5</v>
      </c>
      <c r="E2744" t="s">
        <v>54</v>
      </c>
      <c r="F2744" t="s">
        <v>55</v>
      </c>
      <c r="G2744" t="s">
        <v>2006</v>
      </c>
      <c r="H2744" t="s">
        <v>16</v>
      </c>
      <c r="I2744" s="26" t="s">
        <v>378</v>
      </c>
    </row>
    <row r="2745" spans="1:9" x14ac:dyDescent="0.3">
      <c r="A2745" s="24">
        <v>45369</v>
      </c>
      <c r="B2745" t="s">
        <v>164</v>
      </c>
      <c r="C2745" t="s">
        <v>53</v>
      </c>
      <c r="D2745">
        <v>0.5</v>
      </c>
      <c r="E2745" t="s">
        <v>54</v>
      </c>
      <c r="F2745" t="s">
        <v>55</v>
      </c>
      <c r="G2745" t="s">
        <v>1722</v>
      </c>
      <c r="H2745" t="s">
        <v>16</v>
      </c>
      <c r="I2745" s="26" t="s">
        <v>378</v>
      </c>
    </row>
    <row r="2746" spans="1:9" x14ac:dyDescent="0.3">
      <c r="A2746" s="24">
        <v>45369</v>
      </c>
      <c r="B2746" t="s">
        <v>164</v>
      </c>
      <c r="C2746" t="s">
        <v>275</v>
      </c>
      <c r="D2746">
        <v>0.22</v>
      </c>
      <c r="E2746" t="s">
        <v>1074</v>
      </c>
      <c r="F2746" t="s">
        <v>31</v>
      </c>
      <c r="G2746" t="s">
        <v>2007</v>
      </c>
      <c r="H2746" t="s">
        <v>16</v>
      </c>
      <c r="I2746" s="26" t="s">
        <v>378</v>
      </c>
    </row>
    <row r="2747" spans="1:9" x14ac:dyDescent="0.3">
      <c r="A2747" s="24">
        <v>45369</v>
      </c>
      <c r="B2747" t="s">
        <v>164</v>
      </c>
      <c r="C2747" t="s">
        <v>148</v>
      </c>
      <c r="D2747">
        <v>1.95</v>
      </c>
      <c r="E2747" t="s">
        <v>54</v>
      </c>
      <c r="F2747" t="s">
        <v>55</v>
      </c>
      <c r="G2747" t="s">
        <v>1269</v>
      </c>
      <c r="H2747" t="s">
        <v>16</v>
      </c>
      <c r="I2747" s="26" t="s">
        <v>378</v>
      </c>
    </row>
    <row r="2748" spans="1:9" x14ac:dyDescent="0.3">
      <c r="A2748" s="24">
        <v>45369</v>
      </c>
      <c r="B2748" t="s">
        <v>164</v>
      </c>
      <c r="C2748" t="s">
        <v>148</v>
      </c>
      <c r="D2748">
        <v>3.05</v>
      </c>
      <c r="E2748" t="s">
        <v>54</v>
      </c>
      <c r="F2748" t="s">
        <v>55</v>
      </c>
      <c r="G2748" t="s">
        <v>2008</v>
      </c>
      <c r="H2748" t="s">
        <v>16</v>
      </c>
      <c r="I2748" s="26" t="s">
        <v>378</v>
      </c>
    </row>
    <row r="2749" spans="1:9" x14ac:dyDescent="0.3">
      <c r="A2749" s="24">
        <v>45369</v>
      </c>
      <c r="B2749" t="s">
        <v>164</v>
      </c>
      <c r="C2749" t="s">
        <v>60</v>
      </c>
      <c r="D2749">
        <v>0.48</v>
      </c>
      <c r="E2749" t="s">
        <v>108</v>
      </c>
      <c r="F2749" t="s">
        <v>31</v>
      </c>
      <c r="G2749" t="s">
        <v>2009</v>
      </c>
      <c r="H2749" t="s">
        <v>16</v>
      </c>
      <c r="I2749" s="26" t="s">
        <v>378</v>
      </c>
    </row>
    <row r="2750" spans="1:9" x14ac:dyDescent="0.3">
      <c r="A2750" s="24">
        <v>45369</v>
      </c>
      <c r="B2750" t="s">
        <v>169</v>
      </c>
      <c r="C2750" t="s">
        <v>29</v>
      </c>
      <c r="D2750">
        <v>3.05</v>
      </c>
      <c r="E2750" t="s">
        <v>170</v>
      </c>
      <c r="F2750" t="s">
        <v>31</v>
      </c>
      <c r="H2750" t="s">
        <v>16</v>
      </c>
      <c r="I2750" s="26" t="s">
        <v>378</v>
      </c>
    </row>
    <row r="2751" spans="1:9" x14ac:dyDescent="0.3">
      <c r="A2751" s="24">
        <v>45369</v>
      </c>
      <c r="B2751" t="s">
        <v>169</v>
      </c>
      <c r="C2751" t="s">
        <v>60</v>
      </c>
      <c r="D2751">
        <v>0.28000000000000003</v>
      </c>
      <c r="E2751" t="s">
        <v>444</v>
      </c>
      <c r="F2751" t="s">
        <v>31</v>
      </c>
      <c r="G2751" t="s">
        <v>944</v>
      </c>
      <c r="H2751" t="s">
        <v>16</v>
      </c>
      <c r="I2751" s="26" t="s">
        <v>378</v>
      </c>
    </row>
    <row r="2752" spans="1:9" x14ac:dyDescent="0.3">
      <c r="A2752" s="24">
        <v>45369</v>
      </c>
      <c r="B2752" t="s">
        <v>169</v>
      </c>
      <c r="C2752" t="s">
        <v>60</v>
      </c>
      <c r="D2752">
        <v>0.62</v>
      </c>
      <c r="E2752" t="s">
        <v>35</v>
      </c>
      <c r="F2752" t="s">
        <v>31</v>
      </c>
      <c r="H2752" t="s">
        <v>16</v>
      </c>
      <c r="I2752" s="26" t="s">
        <v>378</v>
      </c>
    </row>
    <row r="2753" spans="1:9" x14ac:dyDescent="0.3">
      <c r="A2753" s="24">
        <v>45369</v>
      </c>
      <c r="B2753" t="s">
        <v>169</v>
      </c>
      <c r="C2753" t="s">
        <v>60</v>
      </c>
      <c r="D2753">
        <v>0.68</v>
      </c>
      <c r="E2753" t="s">
        <v>444</v>
      </c>
      <c r="F2753" t="s">
        <v>31</v>
      </c>
      <c r="H2753" t="s">
        <v>16</v>
      </c>
      <c r="I2753" s="26" t="s">
        <v>378</v>
      </c>
    </row>
    <row r="2754" spans="1:9" x14ac:dyDescent="0.3">
      <c r="A2754" s="24">
        <v>45369</v>
      </c>
      <c r="B2754" t="s">
        <v>169</v>
      </c>
      <c r="C2754" t="s">
        <v>60</v>
      </c>
      <c r="D2754">
        <v>3.48</v>
      </c>
      <c r="E2754" t="s">
        <v>445</v>
      </c>
      <c r="F2754" t="s">
        <v>31</v>
      </c>
      <c r="H2754" t="s">
        <v>16</v>
      </c>
      <c r="I2754" s="26" t="s">
        <v>378</v>
      </c>
    </row>
    <row r="2755" spans="1:9" x14ac:dyDescent="0.3">
      <c r="A2755" s="24">
        <v>45369</v>
      </c>
      <c r="B2755" t="s">
        <v>175</v>
      </c>
      <c r="C2755" t="s">
        <v>29</v>
      </c>
      <c r="D2755">
        <v>0.23</v>
      </c>
      <c r="E2755" t="s">
        <v>177</v>
      </c>
      <c r="F2755" t="s">
        <v>31</v>
      </c>
      <c r="H2755" t="s">
        <v>16</v>
      </c>
      <c r="I2755" s="26" t="s">
        <v>378</v>
      </c>
    </row>
    <row r="2756" spans="1:9" x14ac:dyDescent="0.3">
      <c r="A2756" s="24">
        <v>45369</v>
      </c>
      <c r="B2756" t="s">
        <v>175</v>
      </c>
      <c r="C2756" t="s">
        <v>29</v>
      </c>
      <c r="D2756">
        <v>0.47</v>
      </c>
      <c r="E2756" t="s">
        <v>179</v>
      </c>
      <c r="F2756" t="s">
        <v>31</v>
      </c>
      <c r="G2756" t="s">
        <v>2010</v>
      </c>
      <c r="H2756" t="s">
        <v>16</v>
      </c>
      <c r="I2756" s="26" t="s">
        <v>378</v>
      </c>
    </row>
    <row r="2757" spans="1:9" x14ac:dyDescent="0.3">
      <c r="A2757" s="24">
        <v>45369</v>
      </c>
      <c r="B2757" t="s">
        <v>175</v>
      </c>
      <c r="C2757" t="s">
        <v>29</v>
      </c>
      <c r="D2757">
        <v>0.67</v>
      </c>
      <c r="E2757" t="s">
        <v>176</v>
      </c>
      <c r="F2757" t="s">
        <v>31</v>
      </c>
      <c r="G2757" t="s">
        <v>2011</v>
      </c>
      <c r="H2757" t="s">
        <v>16</v>
      </c>
      <c r="I2757" s="26" t="s">
        <v>378</v>
      </c>
    </row>
    <row r="2758" spans="1:9" x14ac:dyDescent="0.3">
      <c r="A2758" s="24">
        <v>45369</v>
      </c>
      <c r="B2758" t="s">
        <v>175</v>
      </c>
      <c r="C2758" t="s">
        <v>29</v>
      </c>
      <c r="D2758">
        <v>0.87</v>
      </c>
      <c r="E2758" t="s">
        <v>127</v>
      </c>
      <c r="F2758" t="s">
        <v>31</v>
      </c>
      <c r="G2758" t="s">
        <v>2012</v>
      </c>
      <c r="H2758" t="s">
        <v>16</v>
      </c>
      <c r="I2758" s="26" t="s">
        <v>378</v>
      </c>
    </row>
    <row r="2759" spans="1:9" x14ac:dyDescent="0.3">
      <c r="A2759" s="24">
        <v>45369</v>
      </c>
      <c r="B2759" t="s">
        <v>175</v>
      </c>
      <c r="C2759" t="s">
        <v>29</v>
      </c>
      <c r="D2759">
        <v>1</v>
      </c>
      <c r="E2759" t="s">
        <v>179</v>
      </c>
      <c r="F2759" t="s">
        <v>31</v>
      </c>
      <c r="G2759" t="s">
        <v>2013</v>
      </c>
      <c r="H2759" t="s">
        <v>16</v>
      </c>
      <c r="I2759" s="26" t="s">
        <v>378</v>
      </c>
    </row>
    <row r="2760" spans="1:9" x14ac:dyDescent="0.3">
      <c r="A2760" s="24">
        <v>45369</v>
      </c>
      <c r="B2760" t="s">
        <v>175</v>
      </c>
      <c r="C2760" t="s">
        <v>29</v>
      </c>
      <c r="D2760">
        <v>1.1000000000000001</v>
      </c>
      <c r="E2760" t="s">
        <v>127</v>
      </c>
      <c r="F2760" t="s">
        <v>31</v>
      </c>
      <c r="H2760" t="s">
        <v>16</v>
      </c>
      <c r="I2760" s="26" t="s">
        <v>378</v>
      </c>
    </row>
    <row r="2761" spans="1:9" x14ac:dyDescent="0.3">
      <c r="A2761" s="24">
        <v>45369</v>
      </c>
      <c r="B2761" t="s">
        <v>175</v>
      </c>
      <c r="C2761" t="s">
        <v>29</v>
      </c>
      <c r="D2761">
        <v>1.52</v>
      </c>
      <c r="E2761" t="s">
        <v>127</v>
      </c>
      <c r="F2761" t="s">
        <v>31</v>
      </c>
      <c r="G2761" t="s">
        <v>2014</v>
      </c>
      <c r="H2761" t="s">
        <v>16</v>
      </c>
      <c r="I2761" s="26" t="s">
        <v>378</v>
      </c>
    </row>
    <row r="2762" spans="1:9" x14ac:dyDescent="0.3">
      <c r="A2762" s="24">
        <v>45369</v>
      </c>
      <c r="B2762" t="s">
        <v>175</v>
      </c>
      <c r="C2762" t="s">
        <v>29</v>
      </c>
      <c r="D2762">
        <v>1.75</v>
      </c>
      <c r="E2762" t="s">
        <v>182</v>
      </c>
      <c r="F2762" t="s">
        <v>31</v>
      </c>
      <c r="H2762" t="s">
        <v>16</v>
      </c>
      <c r="I2762" s="26" t="s">
        <v>378</v>
      </c>
    </row>
    <row r="2763" spans="1:9" x14ac:dyDescent="0.3">
      <c r="A2763" s="24">
        <v>45369</v>
      </c>
      <c r="B2763" t="s">
        <v>175</v>
      </c>
      <c r="C2763" t="s">
        <v>53</v>
      </c>
      <c r="D2763">
        <v>0.4</v>
      </c>
      <c r="E2763" t="s">
        <v>54</v>
      </c>
      <c r="F2763" t="s">
        <v>55</v>
      </c>
      <c r="H2763" t="s">
        <v>16</v>
      </c>
      <c r="I2763" s="26" t="s">
        <v>378</v>
      </c>
    </row>
    <row r="2764" spans="1:9" x14ac:dyDescent="0.3">
      <c r="A2764" s="24">
        <v>45369</v>
      </c>
      <c r="B2764" t="s">
        <v>188</v>
      </c>
      <c r="C2764" t="s">
        <v>454</v>
      </c>
      <c r="D2764">
        <v>8</v>
      </c>
      <c r="E2764" t="s">
        <v>54</v>
      </c>
      <c r="F2764" t="s">
        <v>55</v>
      </c>
      <c r="G2764" t="s">
        <v>2015</v>
      </c>
      <c r="H2764" t="s">
        <v>16</v>
      </c>
      <c r="I2764" s="26" t="s">
        <v>378</v>
      </c>
    </row>
    <row r="2765" spans="1:9" x14ac:dyDescent="0.3">
      <c r="A2765" s="24">
        <v>45369</v>
      </c>
      <c r="B2765" t="s">
        <v>190</v>
      </c>
      <c r="C2765" t="s">
        <v>73</v>
      </c>
      <c r="D2765">
        <v>8</v>
      </c>
      <c r="E2765" t="s">
        <v>54</v>
      </c>
      <c r="F2765" t="s">
        <v>55</v>
      </c>
      <c r="H2765" t="s">
        <v>16</v>
      </c>
      <c r="I2765" s="26" t="s">
        <v>378</v>
      </c>
    </row>
    <row r="2766" spans="1:9" x14ac:dyDescent="0.3">
      <c r="A2766" s="24">
        <v>45369</v>
      </c>
      <c r="B2766" t="s">
        <v>191</v>
      </c>
      <c r="C2766" t="s">
        <v>89</v>
      </c>
      <c r="D2766">
        <v>8</v>
      </c>
      <c r="E2766" t="s">
        <v>54</v>
      </c>
      <c r="F2766" t="s">
        <v>55</v>
      </c>
      <c r="G2766" t="s">
        <v>2016</v>
      </c>
      <c r="H2766" t="s">
        <v>16</v>
      </c>
      <c r="I2766" s="26" t="s">
        <v>378</v>
      </c>
    </row>
    <row r="2767" spans="1:9" x14ac:dyDescent="0.3">
      <c r="A2767" s="24">
        <v>45369</v>
      </c>
      <c r="B2767" t="s">
        <v>193</v>
      </c>
      <c r="C2767" t="s">
        <v>29</v>
      </c>
      <c r="D2767">
        <v>0.33</v>
      </c>
      <c r="E2767" t="s">
        <v>205</v>
      </c>
      <c r="F2767" t="s">
        <v>31</v>
      </c>
      <c r="G2767" t="s">
        <v>2017</v>
      </c>
      <c r="H2767" t="s">
        <v>16</v>
      </c>
      <c r="I2767" s="26" t="s">
        <v>378</v>
      </c>
    </row>
    <row r="2768" spans="1:9" x14ac:dyDescent="0.3">
      <c r="A2768" s="24">
        <v>45369</v>
      </c>
      <c r="B2768" t="s">
        <v>193</v>
      </c>
      <c r="C2768" t="s">
        <v>29</v>
      </c>
      <c r="D2768">
        <v>0.43</v>
      </c>
      <c r="E2768" t="s">
        <v>108</v>
      </c>
      <c r="F2768" t="s">
        <v>31</v>
      </c>
      <c r="G2768" t="s">
        <v>2018</v>
      </c>
      <c r="H2768" t="s">
        <v>16</v>
      </c>
      <c r="I2768" s="26" t="s">
        <v>378</v>
      </c>
    </row>
    <row r="2769" spans="1:9" x14ac:dyDescent="0.3">
      <c r="A2769" s="24">
        <v>45369</v>
      </c>
      <c r="B2769" t="s">
        <v>193</v>
      </c>
      <c r="C2769" t="s">
        <v>29</v>
      </c>
      <c r="D2769">
        <v>0.53</v>
      </c>
      <c r="E2769" t="s">
        <v>205</v>
      </c>
      <c r="F2769" t="s">
        <v>31</v>
      </c>
      <c r="G2769" t="s">
        <v>2019</v>
      </c>
      <c r="H2769" t="s">
        <v>16</v>
      </c>
      <c r="I2769" s="26" t="s">
        <v>378</v>
      </c>
    </row>
    <row r="2770" spans="1:9" x14ac:dyDescent="0.3">
      <c r="A2770" s="24">
        <v>45369</v>
      </c>
      <c r="B2770" t="s">
        <v>193</v>
      </c>
      <c r="C2770" t="s">
        <v>29</v>
      </c>
      <c r="D2770">
        <v>0.7</v>
      </c>
      <c r="E2770" t="s">
        <v>205</v>
      </c>
      <c r="F2770" t="s">
        <v>31</v>
      </c>
      <c r="G2770" t="s">
        <v>2020</v>
      </c>
      <c r="H2770" t="s">
        <v>16</v>
      </c>
      <c r="I2770" s="26" t="s">
        <v>378</v>
      </c>
    </row>
    <row r="2771" spans="1:9" x14ac:dyDescent="0.3">
      <c r="A2771" s="24">
        <v>45369</v>
      </c>
      <c r="B2771" t="s">
        <v>193</v>
      </c>
      <c r="C2771" t="s">
        <v>197</v>
      </c>
      <c r="D2771">
        <v>0.68</v>
      </c>
      <c r="E2771" t="s">
        <v>54</v>
      </c>
      <c r="F2771" t="s">
        <v>55</v>
      </c>
      <c r="G2771" t="s">
        <v>2021</v>
      </c>
      <c r="H2771" t="s">
        <v>16</v>
      </c>
      <c r="I2771" s="26" t="s">
        <v>378</v>
      </c>
    </row>
    <row r="2772" spans="1:9" x14ac:dyDescent="0.3">
      <c r="A2772" s="24">
        <v>45369</v>
      </c>
      <c r="B2772" t="s">
        <v>193</v>
      </c>
      <c r="C2772" t="s">
        <v>53</v>
      </c>
      <c r="D2772">
        <v>0.56999999999999995</v>
      </c>
      <c r="E2772" t="s">
        <v>54</v>
      </c>
      <c r="F2772" t="s">
        <v>55</v>
      </c>
      <c r="G2772" t="s">
        <v>2022</v>
      </c>
      <c r="H2772" t="s">
        <v>16</v>
      </c>
      <c r="I2772" s="26" t="s">
        <v>378</v>
      </c>
    </row>
    <row r="2773" spans="1:9" x14ac:dyDescent="0.3">
      <c r="A2773" s="24">
        <v>45369</v>
      </c>
      <c r="B2773" t="s">
        <v>193</v>
      </c>
      <c r="C2773" t="s">
        <v>148</v>
      </c>
      <c r="D2773">
        <v>0.45</v>
      </c>
      <c r="E2773" t="s">
        <v>54</v>
      </c>
      <c r="F2773" t="s">
        <v>55</v>
      </c>
      <c r="G2773" t="s">
        <v>2023</v>
      </c>
      <c r="H2773" t="s">
        <v>16</v>
      </c>
      <c r="I2773" s="26" t="s">
        <v>378</v>
      </c>
    </row>
    <row r="2774" spans="1:9" x14ac:dyDescent="0.3">
      <c r="A2774" s="24">
        <v>45369</v>
      </c>
      <c r="B2774" t="s">
        <v>193</v>
      </c>
      <c r="C2774" t="s">
        <v>58</v>
      </c>
      <c r="D2774">
        <v>0.5</v>
      </c>
      <c r="E2774" t="s">
        <v>54</v>
      </c>
      <c r="F2774" t="s">
        <v>55</v>
      </c>
      <c r="G2774" t="s">
        <v>161</v>
      </c>
      <c r="H2774" t="s">
        <v>16</v>
      </c>
      <c r="I2774" s="26" t="s">
        <v>378</v>
      </c>
    </row>
    <row r="2775" spans="1:9" x14ac:dyDescent="0.3">
      <c r="A2775" s="24">
        <v>45369</v>
      </c>
      <c r="B2775" t="s">
        <v>193</v>
      </c>
      <c r="C2775" t="s">
        <v>60</v>
      </c>
      <c r="D2775">
        <v>0.17</v>
      </c>
      <c r="E2775" t="s">
        <v>657</v>
      </c>
      <c r="F2775" t="s">
        <v>31</v>
      </c>
      <c r="G2775" t="s">
        <v>2024</v>
      </c>
      <c r="H2775" t="s">
        <v>16</v>
      </c>
      <c r="I2775" s="26" t="s">
        <v>378</v>
      </c>
    </row>
    <row r="2776" spans="1:9" x14ac:dyDescent="0.3">
      <c r="A2776" s="24">
        <v>45369</v>
      </c>
      <c r="B2776" t="s">
        <v>193</v>
      </c>
      <c r="C2776" t="s">
        <v>60</v>
      </c>
      <c r="D2776">
        <v>0.78</v>
      </c>
      <c r="E2776" t="s">
        <v>162</v>
      </c>
      <c r="F2776" t="s">
        <v>31</v>
      </c>
      <c r="G2776" t="s">
        <v>2025</v>
      </c>
      <c r="H2776" t="s">
        <v>16</v>
      </c>
      <c r="I2776" s="26" t="s">
        <v>378</v>
      </c>
    </row>
    <row r="2777" spans="1:9" x14ac:dyDescent="0.3">
      <c r="A2777" s="24">
        <v>45369</v>
      </c>
      <c r="B2777" t="s">
        <v>193</v>
      </c>
      <c r="C2777" t="s">
        <v>60</v>
      </c>
      <c r="D2777">
        <v>1.72</v>
      </c>
      <c r="E2777" t="s">
        <v>162</v>
      </c>
      <c r="F2777" t="s">
        <v>31</v>
      </c>
      <c r="G2777" t="s">
        <v>2026</v>
      </c>
      <c r="H2777" t="s">
        <v>16</v>
      </c>
      <c r="I2777" s="26" t="s">
        <v>378</v>
      </c>
    </row>
    <row r="2778" spans="1:9" x14ac:dyDescent="0.3">
      <c r="A2778" s="24">
        <v>45369</v>
      </c>
      <c r="B2778" t="s">
        <v>212</v>
      </c>
      <c r="C2778" t="s">
        <v>85</v>
      </c>
      <c r="D2778">
        <v>0.08</v>
      </c>
      <c r="E2778" t="s">
        <v>1754</v>
      </c>
      <c r="F2778" t="s">
        <v>55</v>
      </c>
      <c r="G2778" t="s">
        <v>973</v>
      </c>
      <c r="H2778" t="s">
        <v>16</v>
      </c>
      <c r="I2778" s="26" t="s">
        <v>378</v>
      </c>
    </row>
    <row r="2779" spans="1:9" x14ac:dyDescent="0.3">
      <c r="A2779" s="24">
        <v>45369</v>
      </c>
      <c r="B2779" t="s">
        <v>212</v>
      </c>
      <c r="C2779" t="s">
        <v>85</v>
      </c>
      <c r="D2779">
        <v>0.08</v>
      </c>
      <c r="E2779" t="s">
        <v>195</v>
      </c>
      <c r="F2779" t="s">
        <v>55</v>
      </c>
      <c r="G2779" t="s">
        <v>2027</v>
      </c>
      <c r="H2779" t="s">
        <v>16</v>
      </c>
      <c r="I2779" s="26" t="s">
        <v>378</v>
      </c>
    </row>
    <row r="2780" spans="1:9" x14ac:dyDescent="0.3">
      <c r="A2780" s="24">
        <v>45369</v>
      </c>
      <c r="B2780" t="s">
        <v>212</v>
      </c>
      <c r="C2780" t="s">
        <v>85</v>
      </c>
      <c r="D2780">
        <v>0.08</v>
      </c>
      <c r="E2780" t="s">
        <v>156</v>
      </c>
      <c r="F2780" t="s">
        <v>55</v>
      </c>
      <c r="G2780" t="s">
        <v>2027</v>
      </c>
      <c r="H2780" t="s">
        <v>16</v>
      </c>
      <c r="I2780" s="26" t="s">
        <v>378</v>
      </c>
    </row>
    <row r="2781" spans="1:9" x14ac:dyDescent="0.3">
      <c r="A2781" s="24">
        <v>45369</v>
      </c>
      <c r="B2781" t="s">
        <v>212</v>
      </c>
      <c r="C2781" t="s">
        <v>85</v>
      </c>
      <c r="D2781">
        <v>0.1</v>
      </c>
      <c r="E2781" t="s">
        <v>226</v>
      </c>
      <c r="F2781" t="s">
        <v>55</v>
      </c>
      <c r="G2781" t="s">
        <v>2027</v>
      </c>
      <c r="H2781" t="s">
        <v>16</v>
      </c>
      <c r="I2781" s="26" t="s">
        <v>378</v>
      </c>
    </row>
    <row r="2782" spans="1:9" x14ac:dyDescent="0.3">
      <c r="A2782" s="24">
        <v>45369</v>
      </c>
      <c r="B2782" t="s">
        <v>212</v>
      </c>
      <c r="C2782" t="s">
        <v>85</v>
      </c>
      <c r="D2782">
        <v>0.1</v>
      </c>
      <c r="E2782" t="s">
        <v>953</v>
      </c>
      <c r="F2782" t="s">
        <v>55</v>
      </c>
      <c r="G2782" t="s">
        <v>2027</v>
      </c>
      <c r="H2782" t="s">
        <v>16</v>
      </c>
      <c r="I2782" s="26" t="s">
        <v>378</v>
      </c>
    </row>
    <row r="2783" spans="1:9" x14ac:dyDescent="0.3">
      <c r="A2783" s="24">
        <v>45369</v>
      </c>
      <c r="B2783" t="s">
        <v>212</v>
      </c>
      <c r="C2783" t="s">
        <v>85</v>
      </c>
      <c r="D2783">
        <v>0.12</v>
      </c>
      <c r="E2783" t="s">
        <v>81</v>
      </c>
      <c r="F2783" t="s">
        <v>31</v>
      </c>
      <c r="G2783" t="s">
        <v>973</v>
      </c>
      <c r="H2783" t="s">
        <v>16</v>
      </c>
      <c r="I2783" s="26" t="s">
        <v>378</v>
      </c>
    </row>
    <row r="2784" spans="1:9" x14ac:dyDescent="0.3">
      <c r="A2784" s="24">
        <v>45369</v>
      </c>
      <c r="B2784" t="s">
        <v>212</v>
      </c>
      <c r="C2784" t="s">
        <v>85</v>
      </c>
      <c r="D2784">
        <v>0.2</v>
      </c>
      <c r="E2784" t="s">
        <v>1754</v>
      </c>
      <c r="F2784" t="s">
        <v>31</v>
      </c>
      <c r="G2784" t="s">
        <v>2028</v>
      </c>
      <c r="H2784" t="s">
        <v>16</v>
      </c>
      <c r="I2784" s="26" t="s">
        <v>378</v>
      </c>
    </row>
    <row r="2785" spans="1:9" x14ac:dyDescent="0.3">
      <c r="A2785" s="24">
        <v>45369</v>
      </c>
      <c r="B2785" t="s">
        <v>212</v>
      </c>
      <c r="C2785" t="s">
        <v>85</v>
      </c>
      <c r="D2785">
        <v>0.22</v>
      </c>
      <c r="E2785" t="s">
        <v>179</v>
      </c>
      <c r="F2785" t="s">
        <v>55</v>
      </c>
      <c r="G2785" t="s">
        <v>2029</v>
      </c>
      <c r="H2785" t="s">
        <v>16</v>
      </c>
      <c r="I2785" s="26" t="s">
        <v>378</v>
      </c>
    </row>
    <row r="2786" spans="1:9" x14ac:dyDescent="0.3">
      <c r="A2786" s="24">
        <v>45369</v>
      </c>
      <c r="B2786" t="s">
        <v>212</v>
      </c>
      <c r="C2786" t="s">
        <v>85</v>
      </c>
      <c r="D2786">
        <v>0.35</v>
      </c>
      <c r="E2786" t="s">
        <v>179</v>
      </c>
      <c r="F2786" t="s">
        <v>55</v>
      </c>
      <c r="G2786" t="s">
        <v>2030</v>
      </c>
      <c r="H2786" t="s">
        <v>16</v>
      </c>
      <c r="I2786" s="26" t="s">
        <v>378</v>
      </c>
    </row>
    <row r="2787" spans="1:9" x14ac:dyDescent="0.3">
      <c r="A2787" s="24">
        <v>45369</v>
      </c>
      <c r="B2787" t="s">
        <v>212</v>
      </c>
      <c r="C2787" t="s">
        <v>85</v>
      </c>
      <c r="D2787">
        <v>0.56999999999999995</v>
      </c>
      <c r="E2787" t="s">
        <v>179</v>
      </c>
      <c r="F2787" t="s">
        <v>31</v>
      </c>
      <c r="G2787" t="s">
        <v>2031</v>
      </c>
      <c r="H2787" t="s">
        <v>16</v>
      </c>
      <c r="I2787" s="26" t="s">
        <v>378</v>
      </c>
    </row>
    <row r="2788" spans="1:9" x14ac:dyDescent="0.3">
      <c r="A2788" s="24">
        <v>45369</v>
      </c>
      <c r="B2788" t="s">
        <v>212</v>
      </c>
      <c r="C2788" t="s">
        <v>85</v>
      </c>
      <c r="D2788">
        <v>1.08</v>
      </c>
      <c r="E2788" t="s">
        <v>35</v>
      </c>
      <c r="F2788" t="s">
        <v>55</v>
      </c>
      <c r="G2788" t="s">
        <v>2032</v>
      </c>
      <c r="H2788" t="s">
        <v>16</v>
      </c>
      <c r="I2788" s="26" t="s">
        <v>378</v>
      </c>
    </row>
    <row r="2789" spans="1:9" x14ac:dyDescent="0.3">
      <c r="A2789" s="24">
        <v>45369</v>
      </c>
      <c r="B2789" t="s">
        <v>212</v>
      </c>
      <c r="C2789" t="s">
        <v>53</v>
      </c>
      <c r="D2789">
        <v>0.08</v>
      </c>
      <c r="E2789" t="s">
        <v>54</v>
      </c>
      <c r="F2789" t="s">
        <v>55</v>
      </c>
      <c r="G2789" t="s">
        <v>2033</v>
      </c>
      <c r="H2789" t="s">
        <v>16</v>
      </c>
      <c r="I2789" s="26" t="s">
        <v>378</v>
      </c>
    </row>
    <row r="2790" spans="1:9" x14ac:dyDescent="0.3">
      <c r="A2790" s="24">
        <v>45369</v>
      </c>
      <c r="B2790" t="s">
        <v>212</v>
      </c>
      <c r="C2790" t="s">
        <v>53</v>
      </c>
      <c r="D2790">
        <v>0.22</v>
      </c>
      <c r="E2790" t="s">
        <v>54</v>
      </c>
      <c r="F2790" t="s">
        <v>55</v>
      </c>
      <c r="G2790" t="s">
        <v>973</v>
      </c>
      <c r="H2790" t="s">
        <v>16</v>
      </c>
      <c r="I2790" s="26" t="s">
        <v>378</v>
      </c>
    </row>
    <row r="2791" spans="1:9" x14ac:dyDescent="0.3">
      <c r="A2791" s="24">
        <v>45369</v>
      </c>
      <c r="B2791" t="s">
        <v>212</v>
      </c>
      <c r="C2791" t="s">
        <v>53</v>
      </c>
      <c r="D2791">
        <v>0.25</v>
      </c>
      <c r="E2791" t="s">
        <v>54</v>
      </c>
      <c r="F2791" t="s">
        <v>55</v>
      </c>
      <c r="G2791" t="s">
        <v>222</v>
      </c>
      <c r="H2791" t="s">
        <v>16</v>
      </c>
      <c r="I2791" s="26" t="s">
        <v>378</v>
      </c>
    </row>
    <row r="2792" spans="1:9" x14ac:dyDescent="0.3">
      <c r="A2792" s="24">
        <v>45369</v>
      </c>
      <c r="B2792" t="s">
        <v>212</v>
      </c>
      <c r="C2792" t="s">
        <v>53</v>
      </c>
      <c r="D2792">
        <v>0.4</v>
      </c>
      <c r="E2792" t="s">
        <v>54</v>
      </c>
      <c r="F2792" t="s">
        <v>55</v>
      </c>
      <c r="G2792" t="s">
        <v>2034</v>
      </c>
      <c r="H2792" t="s">
        <v>16</v>
      </c>
      <c r="I2792" s="26" t="s">
        <v>378</v>
      </c>
    </row>
    <row r="2793" spans="1:9" x14ac:dyDescent="0.3">
      <c r="A2793" s="24">
        <v>45369</v>
      </c>
      <c r="B2793" t="s">
        <v>212</v>
      </c>
      <c r="C2793" t="s">
        <v>53</v>
      </c>
      <c r="D2793">
        <v>0.85</v>
      </c>
      <c r="E2793" t="s">
        <v>54</v>
      </c>
      <c r="F2793" t="s">
        <v>55</v>
      </c>
      <c r="G2793" t="s">
        <v>2035</v>
      </c>
      <c r="H2793" t="s">
        <v>16</v>
      </c>
      <c r="I2793" s="26" t="s">
        <v>378</v>
      </c>
    </row>
    <row r="2794" spans="1:9" x14ac:dyDescent="0.3">
      <c r="A2794" s="24">
        <v>45369</v>
      </c>
      <c r="B2794" t="s">
        <v>212</v>
      </c>
      <c r="C2794" t="s">
        <v>491</v>
      </c>
      <c r="D2794">
        <v>1.5</v>
      </c>
      <c r="E2794" t="s">
        <v>1754</v>
      </c>
      <c r="F2794" t="s">
        <v>55</v>
      </c>
      <c r="G2794" t="s">
        <v>2036</v>
      </c>
      <c r="H2794" t="s">
        <v>16</v>
      </c>
      <c r="I2794" s="26" t="s">
        <v>378</v>
      </c>
    </row>
    <row r="2795" spans="1:9" x14ac:dyDescent="0.3">
      <c r="A2795" s="24">
        <v>45369</v>
      </c>
      <c r="B2795" t="s">
        <v>212</v>
      </c>
      <c r="C2795" t="s">
        <v>225</v>
      </c>
      <c r="D2795">
        <v>0.05</v>
      </c>
      <c r="E2795" t="s">
        <v>1216</v>
      </c>
      <c r="F2795" t="s">
        <v>55</v>
      </c>
      <c r="G2795" t="s">
        <v>2037</v>
      </c>
      <c r="H2795" t="s">
        <v>16</v>
      </c>
      <c r="I2795" s="26" t="s">
        <v>378</v>
      </c>
    </row>
    <row r="2796" spans="1:9" x14ac:dyDescent="0.3">
      <c r="A2796" s="24">
        <v>45369</v>
      </c>
      <c r="B2796" t="s">
        <v>212</v>
      </c>
      <c r="C2796" t="s">
        <v>225</v>
      </c>
      <c r="D2796">
        <v>0.18</v>
      </c>
      <c r="E2796" t="s">
        <v>61</v>
      </c>
      <c r="F2796" t="s">
        <v>31</v>
      </c>
      <c r="G2796" t="s">
        <v>2038</v>
      </c>
      <c r="H2796" t="s">
        <v>16</v>
      </c>
      <c r="I2796" s="26" t="s">
        <v>378</v>
      </c>
    </row>
    <row r="2797" spans="1:9" x14ac:dyDescent="0.3">
      <c r="A2797" s="24">
        <v>45369</v>
      </c>
      <c r="B2797" t="s">
        <v>212</v>
      </c>
      <c r="C2797" t="s">
        <v>225</v>
      </c>
      <c r="D2797">
        <v>1.38</v>
      </c>
      <c r="E2797" t="s">
        <v>195</v>
      </c>
      <c r="F2797" t="s">
        <v>31</v>
      </c>
      <c r="G2797" t="s">
        <v>494</v>
      </c>
      <c r="H2797" t="s">
        <v>16</v>
      </c>
      <c r="I2797" s="26" t="s">
        <v>378</v>
      </c>
    </row>
    <row r="2798" spans="1:9" x14ac:dyDescent="0.3">
      <c r="A2798" s="24">
        <v>45369</v>
      </c>
      <c r="B2798" t="s">
        <v>212</v>
      </c>
      <c r="C2798" t="s">
        <v>58</v>
      </c>
      <c r="D2798">
        <v>0.13</v>
      </c>
      <c r="E2798" t="s">
        <v>54</v>
      </c>
      <c r="F2798" t="s">
        <v>55</v>
      </c>
      <c r="G2798" t="s">
        <v>2039</v>
      </c>
      <c r="H2798" t="s">
        <v>16</v>
      </c>
      <c r="I2798" s="26" t="s">
        <v>378</v>
      </c>
    </row>
    <row r="2799" spans="1:9" x14ac:dyDescent="0.3">
      <c r="A2799" s="24">
        <v>45369</v>
      </c>
      <c r="B2799" t="s">
        <v>498</v>
      </c>
      <c r="C2799" t="s">
        <v>173</v>
      </c>
      <c r="D2799">
        <v>1.5</v>
      </c>
      <c r="E2799" t="s">
        <v>162</v>
      </c>
      <c r="F2799" t="s">
        <v>31</v>
      </c>
      <c r="G2799" t="s">
        <v>2040</v>
      </c>
      <c r="H2799" t="s">
        <v>16</v>
      </c>
      <c r="I2799" s="26" t="s">
        <v>378</v>
      </c>
    </row>
    <row r="2800" spans="1:9" x14ac:dyDescent="0.3">
      <c r="A2800" s="24">
        <v>45369</v>
      </c>
      <c r="B2800" t="s">
        <v>498</v>
      </c>
      <c r="C2800" t="s">
        <v>173</v>
      </c>
      <c r="D2800">
        <v>6.5</v>
      </c>
      <c r="E2800" t="s">
        <v>49</v>
      </c>
      <c r="F2800" t="s">
        <v>31</v>
      </c>
      <c r="G2800" t="s">
        <v>2041</v>
      </c>
      <c r="H2800" t="s">
        <v>16</v>
      </c>
      <c r="I2800" s="26" t="s">
        <v>378</v>
      </c>
    </row>
    <row r="2801" spans="1:9" x14ac:dyDescent="0.3">
      <c r="A2801" s="24">
        <v>45369</v>
      </c>
      <c r="B2801" t="s">
        <v>240</v>
      </c>
      <c r="C2801" t="s">
        <v>29</v>
      </c>
      <c r="D2801">
        <v>2.42</v>
      </c>
      <c r="E2801" t="s">
        <v>242</v>
      </c>
      <c r="F2801" t="s">
        <v>31</v>
      </c>
      <c r="H2801" t="s">
        <v>16</v>
      </c>
      <c r="I2801" s="26" t="s">
        <v>378</v>
      </c>
    </row>
    <row r="2802" spans="1:9" x14ac:dyDescent="0.3">
      <c r="A2802" s="24">
        <v>45369</v>
      </c>
      <c r="B2802" t="s">
        <v>240</v>
      </c>
      <c r="C2802" t="s">
        <v>29</v>
      </c>
      <c r="D2802">
        <v>6.17</v>
      </c>
      <c r="E2802" t="s">
        <v>81</v>
      </c>
      <c r="F2802" t="s">
        <v>31</v>
      </c>
      <c r="H2802" t="s">
        <v>16</v>
      </c>
      <c r="I2802" s="26" t="s">
        <v>378</v>
      </c>
    </row>
    <row r="2803" spans="1:9" x14ac:dyDescent="0.3">
      <c r="A2803" s="24">
        <v>45369</v>
      </c>
      <c r="B2803" t="s">
        <v>240</v>
      </c>
      <c r="C2803" t="s">
        <v>60</v>
      </c>
      <c r="D2803">
        <v>0.75</v>
      </c>
      <c r="E2803" t="s">
        <v>241</v>
      </c>
      <c r="F2803" t="s">
        <v>31</v>
      </c>
      <c r="H2803" t="s">
        <v>16</v>
      </c>
      <c r="I2803" s="26" t="s">
        <v>378</v>
      </c>
    </row>
    <row r="2804" spans="1:9" x14ac:dyDescent="0.3">
      <c r="A2804" s="24">
        <v>45369</v>
      </c>
      <c r="B2804" t="s">
        <v>249</v>
      </c>
      <c r="C2804" t="s">
        <v>252</v>
      </c>
      <c r="D2804">
        <v>5</v>
      </c>
      <c r="E2804" t="s">
        <v>81</v>
      </c>
      <c r="F2804" t="s">
        <v>31</v>
      </c>
      <c r="H2804" t="s">
        <v>16</v>
      </c>
      <c r="I2804" s="26" t="s">
        <v>378</v>
      </c>
    </row>
    <row r="2805" spans="1:9" x14ac:dyDescent="0.3">
      <c r="A2805" s="24">
        <v>45369</v>
      </c>
      <c r="B2805" t="s">
        <v>249</v>
      </c>
      <c r="C2805" t="s">
        <v>53</v>
      </c>
      <c r="D2805">
        <v>0.5</v>
      </c>
      <c r="E2805" t="s">
        <v>54</v>
      </c>
      <c r="F2805" t="s">
        <v>55</v>
      </c>
      <c r="G2805" t="s">
        <v>110</v>
      </c>
      <c r="H2805" t="s">
        <v>16</v>
      </c>
      <c r="I2805" s="26" t="s">
        <v>378</v>
      </c>
    </row>
    <row r="2806" spans="1:9" x14ac:dyDescent="0.3">
      <c r="A2806" s="24">
        <v>45369</v>
      </c>
      <c r="B2806" t="s">
        <v>249</v>
      </c>
      <c r="C2806" t="s">
        <v>53</v>
      </c>
      <c r="D2806">
        <v>1</v>
      </c>
      <c r="E2806" t="s">
        <v>54</v>
      </c>
      <c r="F2806" t="s">
        <v>55</v>
      </c>
      <c r="G2806" t="s">
        <v>2042</v>
      </c>
      <c r="H2806" t="s">
        <v>16</v>
      </c>
      <c r="I2806" s="26" t="s">
        <v>378</v>
      </c>
    </row>
    <row r="2807" spans="1:9" x14ac:dyDescent="0.3">
      <c r="A2807" s="24">
        <v>45369</v>
      </c>
      <c r="B2807" t="s">
        <v>249</v>
      </c>
      <c r="C2807" t="s">
        <v>58</v>
      </c>
      <c r="D2807">
        <v>1.5</v>
      </c>
      <c r="E2807" t="s">
        <v>54</v>
      </c>
      <c r="F2807" t="s">
        <v>55</v>
      </c>
      <c r="H2807" t="s">
        <v>16</v>
      </c>
      <c r="I2807" s="26" t="s">
        <v>378</v>
      </c>
    </row>
    <row r="2808" spans="1:9" x14ac:dyDescent="0.3">
      <c r="A2808" s="24">
        <v>45369</v>
      </c>
      <c r="B2808" t="s">
        <v>262</v>
      </c>
      <c r="C2808" t="s">
        <v>29</v>
      </c>
      <c r="D2808">
        <v>0.85</v>
      </c>
      <c r="E2808" t="s">
        <v>263</v>
      </c>
      <c r="F2808" t="s">
        <v>31</v>
      </c>
      <c r="G2808" t="s">
        <v>2043</v>
      </c>
      <c r="H2808" t="s">
        <v>16</v>
      </c>
      <c r="I2808" s="26" t="s">
        <v>378</v>
      </c>
    </row>
    <row r="2809" spans="1:9" x14ac:dyDescent="0.3">
      <c r="A2809" s="24">
        <v>45369</v>
      </c>
      <c r="B2809" t="s">
        <v>262</v>
      </c>
      <c r="C2809" t="s">
        <v>29</v>
      </c>
      <c r="D2809">
        <v>4.3499999999999996</v>
      </c>
      <c r="E2809" t="s">
        <v>263</v>
      </c>
      <c r="F2809" t="s">
        <v>31</v>
      </c>
      <c r="G2809" t="s">
        <v>2044</v>
      </c>
      <c r="H2809" t="s">
        <v>16</v>
      </c>
      <c r="I2809" s="26" t="s">
        <v>378</v>
      </c>
    </row>
    <row r="2810" spans="1:9" x14ac:dyDescent="0.3">
      <c r="A2810" s="24">
        <v>45369</v>
      </c>
      <c r="B2810" t="s">
        <v>262</v>
      </c>
      <c r="C2810" t="s">
        <v>53</v>
      </c>
      <c r="D2810">
        <v>0.5</v>
      </c>
      <c r="E2810" t="s">
        <v>54</v>
      </c>
      <c r="F2810" t="s">
        <v>55</v>
      </c>
      <c r="G2810" t="s">
        <v>253</v>
      </c>
      <c r="H2810" t="s">
        <v>16</v>
      </c>
      <c r="I2810" s="26" t="s">
        <v>378</v>
      </c>
    </row>
    <row r="2811" spans="1:9" x14ac:dyDescent="0.3">
      <c r="A2811" s="24">
        <v>45369</v>
      </c>
      <c r="B2811" t="s">
        <v>262</v>
      </c>
      <c r="C2811" t="s">
        <v>148</v>
      </c>
      <c r="D2811">
        <v>2.2999999999999998</v>
      </c>
      <c r="E2811" t="s">
        <v>54</v>
      </c>
      <c r="F2811" t="s">
        <v>55</v>
      </c>
      <c r="G2811" t="s">
        <v>2045</v>
      </c>
      <c r="H2811" t="s">
        <v>16</v>
      </c>
      <c r="I2811" s="26" t="s">
        <v>378</v>
      </c>
    </row>
    <row r="2812" spans="1:9" x14ac:dyDescent="0.3">
      <c r="A2812" s="24">
        <v>45369</v>
      </c>
      <c r="B2812" t="s">
        <v>266</v>
      </c>
      <c r="C2812" t="s">
        <v>267</v>
      </c>
      <c r="D2812">
        <v>9</v>
      </c>
      <c r="E2812" t="s">
        <v>54</v>
      </c>
      <c r="F2812" t="s">
        <v>55</v>
      </c>
      <c r="G2812" t="s">
        <v>683</v>
      </c>
      <c r="H2812" t="s">
        <v>16</v>
      </c>
      <c r="I2812" s="26" t="s">
        <v>378</v>
      </c>
    </row>
    <row r="2813" spans="1:9" x14ac:dyDescent="0.3">
      <c r="A2813" s="24">
        <v>45369</v>
      </c>
      <c r="B2813" t="s">
        <v>269</v>
      </c>
      <c r="C2813" t="s">
        <v>29</v>
      </c>
      <c r="D2813">
        <v>5.38</v>
      </c>
      <c r="E2813" t="s">
        <v>271</v>
      </c>
      <c r="F2813" t="s">
        <v>31</v>
      </c>
      <c r="G2813" t="s">
        <v>2046</v>
      </c>
      <c r="H2813" t="s">
        <v>16</v>
      </c>
      <c r="I2813" s="26" t="s">
        <v>378</v>
      </c>
    </row>
    <row r="2814" spans="1:9" x14ac:dyDescent="0.3">
      <c r="A2814" s="24">
        <v>45369</v>
      </c>
      <c r="B2814" t="s">
        <v>269</v>
      </c>
      <c r="C2814" t="s">
        <v>53</v>
      </c>
      <c r="D2814">
        <v>0.7</v>
      </c>
      <c r="E2814" t="s">
        <v>54</v>
      </c>
      <c r="F2814" t="s">
        <v>55</v>
      </c>
      <c r="G2814" t="s">
        <v>1853</v>
      </c>
      <c r="H2814" t="s">
        <v>16</v>
      </c>
      <c r="I2814" s="26" t="s">
        <v>378</v>
      </c>
    </row>
    <row r="2815" spans="1:9" x14ac:dyDescent="0.3">
      <c r="A2815" s="24">
        <v>45369</v>
      </c>
      <c r="B2815" t="s">
        <v>269</v>
      </c>
      <c r="C2815" t="s">
        <v>58</v>
      </c>
      <c r="D2815">
        <v>0.62</v>
      </c>
      <c r="E2815" t="s">
        <v>54</v>
      </c>
      <c r="F2815" t="s">
        <v>55</v>
      </c>
      <c r="G2815" t="s">
        <v>2047</v>
      </c>
      <c r="H2815" t="s">
        <v>16</v>
      </c>
      <c r="I2815" s="26" t="s">
        <v>378</v>
      </c>
    </row>
    <row r="2816" spans="1:9" x14ac:dyDescent="0.3">
      <c r="A2816" s="24">
        <v>45369</v>
      </c>
      <c r="B2816" t="s">
        <v>269</v>
      </c>
      <c r="C2816" t="s">
        <v>58</v>
      </c>
      <c r="D2816">
        <v>1.47</v>
      </c>
      <c r="E2816" t="s">
        <v>54</v>
      </c>
      <c r="F2816" t="s">
        <v>55</v>
      </c>
      <c r="G2816" t="s">
        <v>2048</v>
      </c>
      <c r="H2816" t="s">
        <v>16</v>
      </c>
      <c r="I2816" s="26" t="s">
        <v>378</v>
      </c>
    </row>
    <row r="2817" spans="1:9" x14ac:dyDescent="0.3">
      <c r="A2817" s="24">
        <v>45369</v>
      </c>
      <c r="B2817" t="s">
        <v>278</v>
      </c>
      <c r="C2817" t="s">
        <v>279</v>
      </c>
      <c r="D2817">
        <v>0.92</v>
      </c>
      <c r="E2817" t="s">
        <v>54</v>
      </c>
      <c r="F2817" t="s">
        <v>55</v>
      </c>
      <c r="G2817" t="s">
        <v>2049</v>
      </c>
      <c r="H2817" t="s">
        <v>16</v>
      </c>
      <c r="I2817" s="26" t="s">
        <v>378</v>
      </c>
    </row>
    <row r="2818" spans="1:9" x14ac:dyDescent="0.3">
      <c r="A2818" s="24">
        <v>45369</v>
      </c>
      <c r="B2818" t="s">
        <v>278</v>
      </c>
      <c r="C2818" t="s">
        <v>279</v>
      </c>
      <c r="D2818">
        <v>1.73</v>
      </c>
      <c r="E2818" t="s">
        <v>54</v>
      </c>
      <c r="F2818" t="s">
        <v>55</v>
      </c>
      <c r="G2818" t="s">
        <v>2050</v>
      </c>
      <c r="H2818" t="s">
        <v>16</v>
      </c>
      <c r="I2818" s="26" t="s">
        <v>378</v>
      </c>
    </row>
    <row r="2819" spans="1:9" x14ac:dyDescent="0.3">
      <c r="A2819" s="24">
        <v>45369</v>
      </c>
      <c r="B2819" t="s">
        <v>278</v>
      </c>
      <c r="C2819" t="s">
        <v>29</v>
      </c>
      <c r="D2819">
        <v>0.42</v>
      </c>
      <c r="E2819" t="s">
        <v>54</v>
      </c>
      <c r="F2819" t="s">
        <v>55</v>
      </c>
      <c r="G2819" t="s">
        <v>2051</v>
      </c>
      <c r="H2819" t="s">
        <v>16</v>
      </c>
      <c r="I2819" s="26" t="s">
        <v>378</v>
      </c>
    </row>
    <row r="2820" spans="1:9" x14ac:dyDescent="0.3">
      <c r="A2820" s="24">
        <v>45369</v>
      </c>
      <c r="B2820" t="s">
        <v>278</v>
      </c>
      <c r="C2820" t="s">
        <v>29</v>
      </c>
      <c r="D2820">
        <v>0.48</v>
      </c>
      <c r="E2820" t="s">
        <v>54</v>
      </c>
      <c r="F2820" t="s">
        <v>55</v>
      </c>
      <c r="G2820" t="s">
        <v>2052</v>
      </c>
      <c r="H2820" t="s">
        <v>16</v>
      </c>
      <c r="I2820" s="26" t="s">
        <v>378</v>
      </c>
    </row>
    <row r="2821" spans="1:9" x14ac:dyDescent="0.3">
      <c r="A2821" s="24">
        <v>45369</v>
      </c>
      <c r="B2821" t="s">
        <v>278</v>
      </c>
      <c r="C2821" t="s">
        <v>29</v>
      </c>
      <c r="D2821">
        <v>4.18</v>
      </c>
      <c r="E2821" t="s">
        <v>54</v>
      </c>
      <c r="F2821" t="s">
        <v>55</v>
      </c>
      <c r="G2821" t="s">
        <v>2053</v>
      </c>
      <c r="H2821" t="s">
        <v>16</v>
      </c>
      <c r="I2821" s="26" t="s">
        <v>378</v>
      </c>
    </row>
    <row r="2822" spans="1:9" x14ac:dyDescent="0.3">
      <c r="A2822" s="24">
        <v>45369</v>
      </c>
      <c r="B2822" t="s">
        <v>278</v>
      </c>
      <c r="C2822" t="s">
        <v>1008</v>
      </c>
      <c r="D2822">
        <v>0.35</v>
      </c>
      <c r="E2822" t="s">
        <v>254</v>
      </c>
      <c r="F2822" t="s">
        <v>55</v>
      </c>
      <c r="G2822" t="s">
        <v>2054</v>
      </c>
      <c r="H2822" t="s">
        <v>16</v>
      </c>
      <c r="I2822" s="26" t="s">
        <v>378</v>
      </c>
    </row>
    <row r="2823" spans="1:9" x14ac:dyDescent="0.3">
      <c r="A2823" s="24">
        <v>45369</v>
      </c>
      <c r="B2823" t="s">
        <v>286</v>
      </c>
      <c r="C2823" t="s">
        <v>287</v>
      </c>
      <c r="D2823">
        <v>10</v>
      </c>
      <c r="E2823" t="s">
        <v>54</v>
      </c>
      <c r="F2823" t="s">
        <v>55</v>
      </c>
      <c r="G2823" t="s">
        <v>2055</v>
      </c>
      <c r="H2823" t="s">
        <v>16</v>
      </c>
      <c r="I2823" s="26" t="s">
        <v>378</v>
      </c>
    </row>
    <row r="2824" spans="1:9" x14ac:dyDescent="0.3">
      <c r="A2824" s="24">
        <v>45369</v>
      </c>
      <c r="B2824" t="s">
        <v>289</v>
      </c>
      <c r="C2824" t="s">
        <v>29</v>
      </c>
      <c r="D2824">
        <v>0.5</v>
      </c>
      <c r="E2824" t="s">
        <v>291</v>
      </c>
      <c r="F2824" t="s">
        <v>31</v>
      </c>
      <c r="G2824" t="s">
        <v>2056</v>
      </c>
      <c r="H2824" t="s">
        <v>16</v>
      </c>
      <c r="I2824" s="26" t="s">
        <v>378</v>
      </c>
    </row>
    <row r="2825" spans="1:9" x14ac:dyDescent="0.3">
      <c r="A2825" s="24">
        <v>45369</v>
      </c>
      <c r="B2825" t="s">
        <v>289</v>
      </c>
      <c r="C2825" t="s">
        <v>29</v>
      </c>
      <c r="D2825">
        <v>0.5</v>
      </c>
      <c r="E2825" t="s">
        <v>524</v>
      </c>
      <c r="F2825" t="s">
        <v>31</v>
      </c>
      <c r="H2825" t="s">
        <v>16</v>
      </c>
      <c r="I2825" s="26" t="s">
        <v>378</v>
      </c>
    </row>
    <row r="2826" spans="1:9" x14ac:dyDescent="0.3">
      <c r="A2826" s="24">
        <v>45369</v>
      </c>
      <c r="B2826" t="s">
        <v>289</v>
      </c>
      <c r="C2826" t="s">
        <v>29</v>
      </c>
      <c r="D2826">
        <v>0.5</v>
      </c>
      <c r="E2826" t="s">
        <v>226</v>
      </c>
      <c r="F2826" t="s">
        <v>31</v>
      </c>
      <c r="H2826" t="s">
        <v>16</v>
      </c>
      <c r="I2826" s="26" t="s">
        <v>378</v>
      </c>
    </row>
    <row r="2827" spans="1:9" x14ac:dyDescent="0.3">
      <c r="A2827" s="24">
        <v>45369</v>
      </c>
      <c r="B2827" t="s">
        <v>289</v>
      </c>
      <c r="C2827" t="s">
        <v>29</v>
      </c>
      <c r="D2827">
        <v>0.5</v>
      </c>
      <c r="E2827" t="s">
        <v>290</v>
      </c>
      <c r="F2827" t="s">
        <v>31</v>
      </c>
      <c r="H2827" t="s">
        <v>16</v>
      </c>
      <c r="I2827" s="26" t="s">
        <v>378</v>
      </c>
    </row>
    <row r="2828" spans="1:9" x14ac:dyDescent="0.3">
      <c r="A2828" s="24">
        <v>45369</v>
      </c>
      <c r="B2828" t="s">
        <v>289</v>
      </c>
      <c r="C2828" t="s">
        <v>29</v>
      </c>
      <c r="D2828">
        <v>2.5</v>
      </c>
      <c r="E2828" t="s">
        <v>49</v>
      </c>
      <c r="F2828" t="s">
        <v>31</v>
      </c>
      <c r="H2828" t="s">
        <v>16</v>
      </c>
      <c r="I2828" s="26" t="s">
        <v>378</v>
      </c>
    </row>
    <row r="2829" spans="1:9" x14ac:dyDescent="0.3">
      <c r="A2829" s="24">
        <v>45369</v>
      </c>
      <c r="B2829" t="s">
        <v>289</v>
      </c>
      <c r="C2829" t="s">
        <v>58</v>
      </c>
      <c r="D2829">
        <v>1</v>
      </c>
      <c r="E2829" t="s">
        <v>54</v>
      </c>
      <c r="F2829" t="s">
        <v>55</v>
      </c>
      <c r="G2829" t="s">
        <v>2057</v>
      </c>
      <c r="H2829" t="s">
        <v>16</v>
      </c>
      <c r="I2829" s="26" t="s">
        <v>378</v>
      </c>
    </row>
    <row r="2830" spans="1:9" x14ac:dyDescent="0.3">
      <c r="A2830" s="24">
        <v>45369</v>
      </c>
      <c r="B2830" t="s">
        <v>294</v>
      </c>
      <c r="C2830" t="s">
        <v>202</v>
      </c>
      <c r="D2830">
        <v>0.62</v>
      </c>
      <c r="E2830" t="s">
        <v>445</v>
      </c>
      <c r="F2830" t="s">
        <v>31</v>
      </c>
      <c r="G2830" t="s">
        <v>2058</v>
      </c>
      <c r="H2830" t="s">
        <v>16</v>
      </c>
      <c r="I2830" s="26" t="s">
        <v>378</v>
      </c>
    </row>
    <row r="2831" spans="1:9" x14ac:dyDescent="0.3">
      <c r="A2831" s="24">
        <v>45369</v>
      </c>
      <c r="B2831" t="s">
        <v>294</v>
      </c>
      <c r="C2831" t="s">
        <v>202</v>
      </c>
      <c r="D2831">
        <v>1.3</v>
      </c>
      <c r="E2831" t="s">
        <v>30</v>
      </c>
      <c r="F2831" t="s">
        <v>55</v>
      </c>
      <c r="G2831" t="s">
        <v>2059</v>
      </c>
      <c r="H2831" t="s">
        <v>16</v>
      </c>
      <c r="I2831" s="26" t="s">
        <v>378</v>
      </c>
    </row>
    <row r="2832" spans="1:9" x14ac:dyDescent="0.3">
      <c r="A2832" s="24">
        <v>45369</v>
      </c>
      <c r="B2832" t="s">
        <v>294</v>
      </c>
      <c r="C2832" t="s">
        <v>53</v>
      </c>
      <c r="D2832">
        <v>3.08</v>
      </c>
      <c r="E2832" t="s">
        <v>54</v>
      </c>
      <c r="F2832" t="s">
        <v>55</v>
      </c>
      <c r="G2832" t="s">
        <v>2060</v>
      </c>
      <c r="H2832" t="s">
        <v>16</v>
      </c>
      <c r="I2832" s="26" t="s">
        <v>378</v>
      </c>
    </row>
    <row r="2833" spans="1:9" x14ac:dyDescent="0.3">
      <c r="A2833" s="24">
        <v>45369</v>
      </c>
      <c r="B2833" t="s">
        <v>294</v>
      </c>
      <c r="C2833" t="s">
        <v>58</v>
      </c>
      <c r="D2833">
        <v>0.28000000000000003</v>
      </c>
      <c r="E2833" t="s">
        <v>54</v>
      </c>
      <c r="F2833" t="s">
        <v>55</v>
      </c>
      <c r="G2833" t="s">
        <v>1351</v>
      </c>
      <c r="H2833" t="s">
        <v>16</v>
      </c>
      <c r="I2833" s="26" t="s">
        <v>378</v>
      </c>
    </row>
    <row r="2834" spans="1:9" x14ac:dyDescent="0.3">
      <c r="A2834" s="24">
        <v>45369</v>
      </c>
      <c r="B2834" t="s">
        <v>301</v>
      </c>
      <c r="C2834" t="s">
        <v>29</v>
      </c>
      <c r="D2834">
        <v>0.18</v>
      </c>
      <c r="E2834" t="s">
        <v>156</v>
      </c>
      <c r="F2834" t="s">
        <v>55</v>
      </c>
      <c r="G2834" t="s">
        <v>2061</v>
      </c>
      <c r="H2834" t="s">
        <v>16</v>
      </c>
      <c r="I2834" s="26" t="s">
        <v>378</v>
      </c>
    </row>
    <row r="2835" spans="1:9" x14ac:dyDescent="0.3">
      <c r="A2835" s="24">
        <v>45369</v>
      </c>
      <c r="B2835" t="s">
        <v>301</v>
      </c>
      <c r="C2835" t="s">
        <v>29</v>
      </c>
      <c r="D2835">
        <v>0.28000000000000003</v>
      </c>
      <c r="E2835" t="s">
        <v>304</v>
      </c>
      <c r="F2835" t="s">
        <v>31</v>
      </c>
      <c r="G2835" t="s">
        <v>2062</v>
      </c>
      <c r="H2835" t="s">
        <v>16</v>
      </c>
      <c r="I2835" s="26" t="s">
        <v>378</v>
      </c>
    </row>
    <row r="2836" spans="1:9" x14ac:dyDescent="0.3">
      <c r="A2836" s="24">
        <v>45369</v>
      </c>
      <c r="B2836" t="s">
        <v>301</v>
      </c>
      <c r="C2836" t="s">
        <v>29</v>
      </c>
      <c r="D2836">
        <v>0.33</v>
      </c>
      <c r="E2836" t="s">
        <v>156</v>
      </c>
      <c r="F2836" t="s">
        <v>31</v>
      </c>
      <c r="H2836" t="s">
        <v>16</v>
      </c>
      <c r="I2836" s="26" t="s">
        <v>378</v>
      </c>
    </row>
    <row r="2837" spans="1:9" x14ac:dyDescent="0.3">
      <c r="A2837" s="24">
        <v>45369</v>
      </c>
      <c r="B2837" t="s">
        <v>301</v>
      </c>
      <c r="C2837" t="s">
        <v>29</v>
      </c>
      <c r="D2837">
        <v>1.67</v>
      </c>
      <c r="E2837" t="s">
        <v>156</v>
      </c>
      <c r="F2837" t="s">
        <v>31</v>
      </c>
      <c r="G2837" t="s">
        <v>303</v>
      </c>
      <c r="H2837" t="s">
        <v>16</v>
      </c>
      <c r="I2837" s="26" t="s">
        <v>378</v>
      </c>
    </row>
    <row r="2838" spans="1:9" x14ac:dyDescent="0.3">
      <c r="A2838" s="24">
        <v>45369</v>
      </c>
      <c r="B2838" t="s">
        <v>301</v>
      </c>
      <c r="C2838" t="s">
        <v>29</v>
      </c>
      <c r="D2838">
        <v>3.9</v>
      </c>
      <c r="E2838" t="s">
        <v>304</v>
      </c>
      <c r="F2838" t="s">
        <v>31</v>
      </c>
      <c r="G2838" t="s">
        <v>2063</v>
      </c>
      <c r="H2838" t="s">
        <v>16</v>
      </c>
      <c r="I2838" s="26" t="s">
        <v>378</v>
      </c>
    </row>
    <row r="2839" spans="1:9" x14ac:dyDescent="0.3">
      <c r="A2839" s="24">
        <v>45369</v>
      </c>
      <c r="B2839" t="s">
        <v>301</v>
      </c>
      <c r="C2839" t="s">
        <v>58</v>
      </c>
      <c r="D2839">
        <v>1.42</v>
      </c>
      <c r="E2839" t="s">
        <v>54</v>
      </c>
      <c r="F2839" t="s">
        <v>55</v>
      </c>
      <c r="G2839" t="s">
        <v>59</v>
      </c>
      <c r="H2839" t="s">
        <v>16</v>
      </c>
      <c r="I2839" s="26" t="s">
        <v>378</v>
      </c>
    </row>
    <row r="2840" spans="1:9" x14ac:dyDescent="0.3">
      <c r="A2840" s="24">
        <v>45369</v>
      </c>
      <c r="B2840" t="s">
        <v>313</v>
      </c>
      <c r="C2840" t="s">
        <v>29</v>
      </c>
      <c r="D2840">
        <v>0.22</v>
      </c>
      <c r="E2840" t="s">
        <v>91</v>
      </c>
      <c r="F2840" t="s">
        <v>31</v>
      </c>
      <c r="G2840" t="s">
        <v>2064</v>
      </c>
      <c r="H2840" t="s">
        <v>16</v>
      </c>
      <c r="I2840" s="26" t="s">
        <v>378</v>
      </c>
    </row>
    <row r="2841" spans="1:9" x14ac:dyDescent="0.3">
      <c r="A2841" s="24">
        <v>45369</v>
      </c>
      <c r="B2841" t="s">
        <v>313</v>
      </c>
      <c r="C2841" t="s">
        <v>29</v>
      </c>
      <c r="D2841">
        <v>0.37</v>
      </c>
      <c r="E2841" t="s">
        <v>91</v>
      </c>
      <c r="F2841" t="s">
        <v>31</v>
      </c>
      <c r="G2841" t="s">
        <v>2065</v>
      </c>
      <c r="H2841" t="s">
        <v>16</v>
      </c>
      <c r="I2841" s="26" t="s">
        <v>378</v>
      </c>
    </row>
    <row r="2842" spans="1:9" x14ac:dyDescent="0.3">
      <c r="A2842" s="24">
        <v>45369</v>
      </c>
      <c r="B2842" t="s">
        <v>313</v>
      </c>
      <c r="C2842" t="s">
        <v>29</v>
      </c>
      <c r="D2842">
        <v>0.62</v>
      </c>
      <c r="E2842" t="s">
        <v>91</v>
      </c>
      <c r="F2842" t="s">
        <v>31</v>
      </c>
      <c r="G2842" t="s">
        <v>617</v>
      </c>
      <c r="H2842" t="s">
        <v>16</v>
      </c>
      <c r="I2842" s="26" t="s">
        <v>378</v>
      </c>
    </row>
    <row r="2843" spans="1:9" x14ac:dyDescent="0.3">
      <c r="A2843" s="24">
        <v>45369</v>
      </c>
      <c r="B2843" t="s">
        <v>313</v>
      </c>
      <c r="C2843" t="s">
        <v>29</v>
      </c>
      <c r="D2843">
        <v>1.08</v>
      </c>
      <c r="E2843" t="s">
        <v>91</v>
      </c>
      <c r="F2843" t="s">
        <v>31</v>
      </c>
      <c r="G2843" t="s">
        <v>2066</v>
      </c>
      <c r="H2843" t="s">
        <v>16</v>
      </c>
      <c r="I2843" s="26" t="s">
        <v>378</v>
      </c>
    </row>
    <row r="2844" spans="1:9" x14ac:dyDescent="0.3">
      <c r="A2844" s="24">
        <v>45369</v>
      </c>
      <c r="B2844" t="s">
        <v>313</v>
      </c>
      <c r="C2844" t="s">
        <v>29</v>
      </c>
      <c r="D2844">
        <v>1.4</v>
      </c>
      <c r="E2844" t="s">
        <v>91</v>
      </c>
      <c r="F2844" t="s">
        <v>31</v>
      </c>
      <c r="G2844" t="s">
        <v>2067</v>
      </c>
      <c r="H2844" t="s">
        <v>16</v>
      </c>
      <c r="I2844" s="26" t="s">
        <v>378</v>
      </c>
    </row>
    <row r="2845" spans="1:9" x14ac:dyDescent="0.3">
      <c r="A2845" s="24">
        <v>45369</v>
      </c>
      <c r="B2845" t="s">
        <v>313</v>
      </c>
      <c r="C2845" t="s">
        <v>29</v>
      </c>
      <c r="D2845">
        <v>4.42</v>
      </c>
      <c r="E2845" t="s">
        <v>170</v>
      </c>
      <c r="F2845" t="s">
        <v>31</v>
      </c>
      <c r="H2845" t="s">
        <v>16</v>
      </c>
      <c r="I2845" s="26" t="s">
        <v>378</v>
      </c>
    </row>
    <row r="2846" spans="1:9" x14ac:dyDescent="0.3">
      <c r="A2846" s="24">
        <v>45369</v>
      </c>
      <c r="B2846" t="s">
        <v>313</v>
      </c>
      <c r="C2846" t="s">
        <v>53</v>
      </c>
      <c r="D2846">
        <v>0.15</v>
      </c>
      <c r="E2846" t="s">
        <v>54</v>
      </c>
      <c r="F2846" t="s">
        <v>55</v>
      </c>
      <c r="G2846" t="s">
        <v>705</v>
      </c>
      <c r="H2846" t="s">
        <v>16</v>
      </c>
      <c r="I2846" s="26" t="s">
        <v>378</v>
      </c>
    </row>
    <row r="2847" spans="1:9" x14ac:dyDescent="0.3">
      <c r="A2847" s="24">
        <v>45369</v>
      </c>
      <c r="B2847" t="s">
        <v>313</v>
      </c>
      <c r="C2847" t="s">
        <v>159</v>
      </c>
      <c r="D2847">
        <v>0.56999999999999995</v>
      </c>
      <c r="E2847" t="s">
        <v>170</v>
      </c>
      <c r="F2847" t="s">
        <v>31</v>
      </c>
      <c r="G2847" t="s">
        <v>2068</v>
      </c>
      <c r="H2847" t="s">
        <v>16</v>
      </c>
      <c r="I2847" s="26" t="s">
        <v>378</v>
      </c>
    </row>
    <row r="2848" spans="1:9" x14ac:dyDescent="0.3">
      <c r="A2848" s="24">
        <v>45369</v>
      </c>
      <c r="B2848" t="s">
        <v>318</v>
      </c>
      <c r="C2848" t="s">
        <v>53</v>
      </c>
      <c r="D2848">
        <v>3.18</v>
      </c>
      <c r="E2848" t="s">
        <v>54</v>
      </c>
      <c r="F2848" t="s">
        <v>55</v>
      </c>
      <c r="G2848" t="s">
        <v>2069</v>
      </c>
      <c r="H2848" t="s">
        <v>16</v>
      </c>
      <c r="I2848" s="26" t="s">
        <v>378</v>
      </c>
    </row>
    <row r="2849" spans="1:9" x14ac:dyDescent="0.3">
      <c r="A2849" s="24">
        <v>45369</v>
      </c>
      <c r="B2849" t="s">
        <v>318</v>
      </c>
      <c r="C2849" t="s">
        <v>53</v>
      </c>
      <c r="D2849">
        <v>5.85</v>
      </c>
      <c r="E2849" t="s">
        <v>54</v>
      </c>
      <c r="F2849" t="s">
        <v>55</v>
      </c>
      <c r="G2849" t="s">
        <v>2070</v>
      </c>
      <c r="H2849" t="s">
        <v>16</v>
      </c>
      <c r="I2849" s="26" t="s">
        <v>378</v>
      </c>
    </row>
    <row r="2850" spans="1:9" x14ac:dyDescent="0.3">
      <c r="A2850" s="24">
        <v>45369</v>
      </c>
      <c r="B2850" t="s">
        <v>324</v>
      </c>
      <c r="C2850" t="s">
        <v>29</v>
      </c>
      <c r="D2850">
        <v>1.55</v>
      </c>
      <c r="E2850" t="s">
        <v>81</v>
      </c>
      <c r="F2850" t="s">
        <v>31</v>
      </c>
      <c r="H2850" t="s">
        <v>16</v>
      </c>
      <c r="I2850" s="26" t="s">
        <v>378</v>
      </c>
    </row>
    <row r="2851" spans="1:9" x14ac:dyDescent="0.3">
      <c r="A2851" s="24">
        <v>45369</v>
      </c>
      <c r="B2851" t="s">
        <v>324</v>
      </c>
      <c r="C2851" t="s">
        <v>29</v>
      </c>
      <c r="D2851">
        <v>4.12</v>
      </c>
      <c r="E2851" t="s">
        <v>81</v>
      </c>
      <c r="F2851" t="s">
        <v>31</v>
      </c>
      <c r="G2851" t="s">
        <v>2071</v>
      </c>
      <c r="H2851" t="s">
        <v>16</v>
      </c>
      <c r="I2851" s="26" t="s">
        <v>378</v>
      </c>
    </row>
    <row r="2852" spans="1:9" x14ac:dyDescent="0.3">
      <c r="A2852" s="24">
        <v>45369</v>
      </c>
      <c r="B2852" t="s">
        <v>324</v>
      </c>
      <c r="C2852" t="s">
        <v>85</v>
      </c>
      <c r="D2852">
        <v>3.92</v>
      </c>
      <c r="E2852" t="s">
        <v>81</v>
      </c>
      <c r="F2852" t="s">
        <v>31</v>
      </c>
      <c r="H2852" t="s">
        <v>16</v>
      </c>
      <c r="I2852" s="26" t="s">
        <v>378</v>
      </c>
    </row>
    <row r="2853" spans="1:9" x14ac:dyDescent="0.3">
      <c r="A2853" s="24">
        <v>45369</v>
      </c>
      <c r="B2853" t="s">
        <v>328</v>
      </c>
      <c r="C2853" t="s">
        <v>29</v>
      </c>
      <c r="D2853">
        <v>0.56999999999999995</v>
      </c>
      <c r="E2853" t="s">
        <v>420</v>
      </c>
      <c r="F2853" t="s">
        <v>31</v>
      </c>
      <c r="G2853" t="s">
        <v>2072</v>
      </c>
      <c r="H2853" t="s">
        <v>16</v>
      </c>
      <c r="I2853" s="26" t="s">
        <v>378</v>
      </c>
    </row>
    <row r="2854" spans="1:9" x14ac:dyDescent="0.3">
      <c r="A2854" s="24">
        <v>45369</v>
      </c>
      <c r="B2854" t="s">
        <v>328</v>
      </c>
      <c r="C2854" t="s">
        <v>29</v>
      </c>
      <c r="D2854">
        <v>2.3199999999999998</v>
      </c>
      <c r="E2854" t="s">
        <v>423</v>
      </c>
      <c r="F2854" t="s">
        <v>31</v>
      </c>
      <c r="G2854" t="s">
        <v>2073</v>
      </c>
      <c r="H2854" t="s">
        <v>16</v>
      </c>
      <c r="I2854" s="26" t="s">
        <v>378</v>
      </c>
    </row>
    <row r="2855" spans="1:9" x14ac:dyDescent="0.3">
      <c r="A2855" s="24">
        <v>45369</v>
      </c>
      <c r="B2855" t="s">
        <v>328</v>
      </c>
      <c r="C2855" t="s">
        <v>53</v>
      </c>
      <c r="D2855">
        <v>0.25</v>
      </c>
      <c r="E2855" t="s">
        <v>54</v>
      </c>
      <c r="F2855" t="s">
        <v>55</v>
      </c>
      <c r="G2855" t="s">
        <v>2074</v>
      </c>
      <c r="H2855" t="s">
        <v>16</v>
      </c>
      <c r="I2855" s="26" t="s">
        <v>378</v>
      </c>
    </row>
    <row r="2856" spans="1:9" x14ac:dyDescent="0.3">
      <c r="A2856" s="24">
        <v>45369</v>
      </c>
      <c r="B2856" t="s">
        <v>328</v>
      </c>
      <c r="C2856" t="s">
        <v>53</v>
      </c>
      <c r="D2856">
        <v>0.35</v>
      </c>
      <c r="E2856" t="s">
        <v>54</v>
      </c>
      <c r="F2856" t="s">
        <v>55</v>
      </c>
      <c r="G2856" t="s">
        <v>2075</v>
      </c>
      <c r="H2856" t="s">
        <v>16</v>
      </c>
      <c r="I2856" s="26" t="s">
        <v>378</v>
      </c>
    </row>
    <row r="2857" spans="1:9" x14ac:dyDescent="0.3">
      <c r="A2857" s="24">
        <v>45369</v>
      </c>
      <c r="B2857" t="s">
        <v>328</v>
      </c>
      <c r="C2857" t="s">
        <v>53</v>
      </c>
      <c r="D2857">
        <v>0.5</v>
      </c>
      <c r="E2857" t="s">
        <v>54</v>
      </c>
      <c r="F2857" t="s">
        <v>55</v>
      </c>
      <c r="G2857" t="s">
        <v>253</v>
      </c>
      <c r="H2857" t="s">
        <v>16</v>
      </c>
      <c r="I2857" s="26" t="s">
        <v>378</v>
      </c>
    </row>
    <row r="2858" spans="1:9" x14ac:dyDescent="0.3">
      <c r="A2858" s="24">
        <v>45369</v>
      </c>
      <c r="B2858" t="s">
        <v>328</v>
      </c>
      <c r="C2858" t="s">
        <v>53</v>
      </c>
      <c r="D2858">
        <v>0.52</v>
      </c>
      <c r="E2858" t="s">
        <v>54</v>
      </c>
      <c r="F2858" t="s">
        <v>55</v>
      </c>
      <c r="G2858" t="s">
        <v>2076</v>
      </c>
      <c r="H2858" t="s">
        <v>16</v>
      </c>
      <c r="I2858" s="26" t="s">
        <v>378</v>
      </c>
    </row>
    <row r="2859" spans="1:9" x14ac:dyDescent="0.3">
      <c r="A2859" s="24">
        <v>45369</v>
      </c>
      <c r="B2859" t="s">
        <v>328</v>
      </c>
      <c r="C2859" t="s">
        <v>58</v>
      </c>
      <c r="D2859">
        <v>0.38</v>
      </c>
      <c r="E2859" t="s">
        <v>54</v>
      </c>
      <c r="F2859" t="s">
        <v>55</v>
      </c>
      <c r="G2859" t="s">
        <v>2077</v>
      </c>
      <c r="H2859" t="s">
        <v>16</v>
      </c>
      <c r="I2859" s="26" t="s">
        <v>378</v>
      </c>
    </row>
    <row r="2860" spans="1:9" x14ac:dyDescent="0.3">
      <c r="A2860" s="24">
        <v>45369</v>
      </c>
      <c r="B2860" t="s">
        <v>328</v>
      </c>
      <c r="C2860" t="s">
        <v>58</v>
      </c>
      <c r="D2860">
        <v>0.56999999999999995</v>
      </c>
      <c r="E2860" t="s">
        <v>54</v>
      </c>
      <c r="F2860" t="s">
        <v>55</v>
      </c>
      <c r="G2860" t="s">
        <v>2078</v>
      </c>
      <c r="H2860" t="s">
        <v>16</v>
      </c>
      <c r="I2860" s="26" t="s">
        <v>378</v>
      </c>
    </row>
    <row r="2861" spans="1:9" x14ac:dyDescent="0.3">
      <c r="A2861" s="24">
        <v>45369</v>
      </c>
      <c r="B2861" t="s">
        <v>328</v>
      </c>
      <c r="C2861" t="s">
        <v>60</v>
      </c>
      <c r="D2861">
        <v>0.25</v>
      </c>
      <c r="E2861" t="s">
        <v>81</v>
      </c>
      <c r="F2861" t="s">
        <v>31</v>
      </c>
      <c r="G2861" t="s">
        <v>2079</v>
      </c>
      <c r="H2861" t="s">
        <v>16</v>
      </c>
      <c r="I2861" s="26" t="s">
        <v>378</v>
      </c>
    </row>
    <row r="2862" spans="1:9" x14ac:dyDescent="0.3">
      <c r="A2862" s="24">
        <v>45369</v>
      </c>
      <c r="B2862" t="s">
        <v>328</v>
      </c>
      <c r="C2862" t="s">
        <v>60</v>
      </c>
      <c r="D2862">
        <v>0.33</v>
      </c>
      <c r="E2862" t="s">
        <v>445</v>
      </c>
      <c r="F2862" t="s">
        <v>31</v>
      </c>
      <c r="G2862" t="s">
        <v>547</v>
      </c>
      <c r="H2862" t="s">
        <v>16</v>
      </c>
      <c r="I2862" s="26" t="s">
        <v>378</v>
      </c>
    </row>
    <row r="2863" spans="1:9" x14ac:dyDescent="0.3">
      <c r="A2863" s="24">
        <v>45369</v>
      </c>
      <c r="B2863" t="s">
        <v>328</v>
      </c>
      <c r="C2863" t="s">
        <v>60</v>
      </c>
      <c r="D2863">
        <v>0.6</v>
      </c>
      <c r="E2863" t="s">
        <v>162</v>
      </c>
      <c r="F2863" t="s">
        <v>31</v>
      </c>
      <c r="G2863" t="s">
        <v>2080</v>
      </c>
      <c r="H2863" t="s">
        <v>16</v>
      </c>
      <c r="I2863" s="26" t="s">
        <v>378</v>
      </c>
    </row>
    <row r="2864" spans="1:9" x14ac:dyDescent="0.3">
      <c r="A2864" s="24">
        <v>45369</v>
      </c>
      <c r="B2864" t="s">
        <v>328</v>
      </c>
      <c r="C2864" t="s">
        <v>60</v>
      </c>
      <c r="D2864">
        <v>0.67</v>
      </c>
      <c r="E2864" t="s">
        <v>162</v>
      </c>
      <c r="F2864" t="s">
        <v>31</v>
      </c>
      <c r="G2864" t="s">
        <v>2081</v>
      </c>
      <c r="H2864" t="s">
        <v>16</v>
      </c>
      <c r="I2864" s="26" t="s">
        <v>378</v>
      </c>
    </row>
    <row r="2865" spans="1:9" x14ac:dyDescent="0.3">
      <c r="A2865" s="24">
        <v>45369</v>
      </c>
      <c r="B2865" t="s">
        <v>328</v>
      </c>
      <c r="C2865" t="s">
        <v>60</v>
      </c>
      <c r="D2865">
        <v>0.72</v>
      </c>
      <c r="E2865" t="s">
        <v>81</v>
      </c>
      <c r="F2865" t="s">
        <v>31</v>
      </c>
      <c r="G2865" t="s">
        <v>2082</v>
      </c>
      <c r="H2865" t="s">
        <v>16</v>
      </c>
      <c r="I2865" s="26" t="s">
        <v>378</v>
      </c>
    </row>
    <row r="2866" spans="1:9" x14ac:dyDescent="0.3">
      <c r="A2866" s="24">
        <v>45369</v>
      </c>
      <c r="B2866" t="s">
        <v>331</v>
      </c>
      <c r="C2866" t="s">
        <v>29</v>
      </c>
      <c r="D2866">
        <v>0.5</v>
      </c>
      <c r="E2866" t="s">
        <v>218</v>
      </c>
      <c r="F2866" t="s">
        <v>31</v>
      </c>
      <c r="G2866" t="s">
        <v>2083</v>
      </c>
      <c r="H2866" t="s">
        <v>16</v>
      </c>
      <c r="I2866" s="26" t="s">
        <v>378</v>
      </c>
    </row>
    <row r="2867" spans="1:9" x14ac:dyDescent="0.3">
      <c r="A2867" s="24">
        <v>45369</v>
      </c>
      <c r="B2867" t="s">
        <v>331</v>
      </c>
      <c r="C2867" t="s">
        <v>29</v>
      </c>
      <c r="D2867">
        <v>0.52</v>
      </c>
      <c r="E2867" t="s">
        <v>176</v>
      </c>
      <c r="F2867" t="s">
        <v>31</v>
      </c>
      <c r="G2867" t="s">
        <v>2084</v>
      </c>
      <c r="H2867" t="s">
        <v>16</v>
      </c>
      <c r="I2867" s="26" t="s">
        <v>378</v>
      </c>
    </row>
    <row r="2868" spans="1:9" x14ac:dyDescent="0.3">
      <c r="A2868" s="24">
        <v>45369</v>
      </c>
      <c r="B2868" t="s">
        <v>331</v>
      </c>
      <c r="C2868" t="s">
        <v>29</v>
      </c>
      <c r="D2868">
        <v>0.65</v>
      </c>
      <c r="E2868" t="s">
        <v>91</v>
      </c>
      <c r="F2868" t="s">
        <v>31</v>
      </c>
      <c r="G2868" t="s">
        <v>2085</v>
      </c>
      <c r="H2868" t="s">
        <v>16</v>
      </c>
      <c r="I2868" s="26" t="s">
        <v>378</v>
      </c>
    </row>
    <row r="2869" spans="1:9" x14ac:dyDescent="0.3">
      <c r="A2869" s="24">
        <v>45369</v>
      </c>
      <c r="B2869" t="s">
        <v>331</v>
      </c>
      <c r="C2869" t="s">
        <v>29</v>
      </c>
      <c r="D2869">
        <v>1.1299999999999999</v>
      </c>
      <c r="E2869" t="s">
        <v>176</v>
      </c>
      <c r="F2869" t="s">
        <v>31</v>
      </c>
      <c r="G2869" t="s">
        <v>2086</v>
      </c>
      <c r="H2869" t="s">
        <v>16</v>
      </c>
      <c r="I2869" s="26" t="s">
        <v>378</v>
      </c>
    </row>
    <row r="2870" spans="1:9" x14ac:dyDescent="0.3">
      <c r="A2870" s="24">
        <v>45369</v>
      </c>
      <c r="B2870" t="s">
        <v>331</v>
      </c>
      <c r="C2870" t="s">
        <v>29</v>
      </c>
      <c r="D2870">
        <v>2.1800000000000002</v>
      </c>
      <c r="E2870" t="s">
        <v>91</v>
      </c>
      <c r="F2870" t="s">
        <v>31</v>
      </c>
      <c r="H2870" t="s">
        <v>16</v>
      </c>
      <c r="I2870" s="26" t="s">
        <v>378</v>
      </c>
    </row>
    <row r="2871" spans="1:9" x14ac:dyDescent="0.3">
      <c r="A2871" s="24">
        <v>45369</v>
      </c>
      <c r="B2871" t="s">
        <v>331</v>
      </c>
      <c r="C2871" t="s">
        <v>29</v>
      </c>
      <c r="D2871">
        <v>2.68</v>
      </c>
      <c r="E2871" t="s">
        <v>91</v>
      </c>
      <c r="F2871" t="s">
        <v>31</v>
      </c>
      <c r="G2871" t="s">
        <v>2087</v>
      </c>
      <c r="H2871" t="s">
        <v>16</v>
      </c>
      <c r="I2871" s="26" t="s">
        <v>378</v>
      </c>
    </row>
    <row r="2872" spans="1:9" x14ac:dyDescent="0.3">
      <c r="A2872" s="24">
        <v>45369</v>
      </c>
      <c r="B2872" t="s">
        <v>331</v>
      </c>
      <c r="C2872" t="s">
        <v>53</v>
      </c>
      <c r="D2872">
        <v>0.5</v>
      </c>
      <c r="E2872" t="s">
        <v>54</v>
      </c>
      <c r="F2872" t="s">
        <v>55</v>
      </c>
      <c r="G2872" t="s">
        <v>332</v>
      </c>
      <c r="H2872" t="s">
        <v>16</v>
      </c>
      <c r="I2872" s="26" t="s">
        <v>378</v>
      </c>
    </row>
    <row r="2873" spans="1:9" x14ac:dyDescent="0.3">
      <c r="A2873" s="24">
        <v>45369</v>
      </c>
      <c r="B2873" t="s">
        <v>340</v>
      </c>
      <c r="C2873" t="s">
        <v>202</v>
      </c>
      <c r="D2873">
        <v>0.33</v>
      </c>
      <c r="E2873" t="s">
        <v>108</v>
      </c>
      <c r="F2873" t="s">
        <v>31</v>
      </c>
      <c r="G2873" t="s">
        <v>2088</v>
      </c>
      <c r="H2873" t="s">
        <v>16</v>
      </c>
      <c r="I2873" s="26" t="s">
        <v>378</v>
      </c>
    </row>
    <row r="2874" spans="1:9" x14ac:dyDescent="0.3">
      <c r="A2874" s="24">
        <v>45369</v>
      </c>
      <c r="B2874" t="s">
        <v>340</v>
      </c>
      <c r="C2874" t="s">
        <v>202</v>
      </c>
      <c r="D2874">
        <v>0.75</v>
      </c>
      <c r="E2874" t="s">
        <v>176</v>
      </c>
      <c r="F2874" t="s">
        <v>31</v>
      </c>
      <c r="G2874" t="s">
        <v>2089</v>
      </c>
      <c r="H2874" t="s">
        <v>16</v>
      </c>
      <c r="I2874" s="26" t="s">
        <v>378</v>
      </c>
    </row>
    <row r="2875" spans="1:9" x14ac:dyDescent="0.3">
      <c r="A2875" s="24">
        <v>45369</v>
      </c>
      <c r="B2875" t="s">
        <v>340</v>
      </c>
      <c r="C2875" t="s">
        <v>202</v>
      </c>
      <c r="D2875">
        <v>0.75</v>
      </c>
      <c r="E2875" t="s">
        <v>127</v>
      </c>
      <c r="F2875" t="s">
        <v>31</v>
      </c>
      <c r="G2875" t="s">
        <v>2090</v>
      </c>
      <c r="H2875" t="s">
        <v>16</v>
      </c>
      <c r="I2875" s="26" t="s">
        <v>378</v>
      </c>
    </row>
    <row r="2876" spans="1:9" x14ac:dyDescent="0.3">
      <c r="A2876" s="24">
        <v>45369</v>
      </c>
      <c r="B2876" t="s">
        <v>340</v>
      </c>
      <c r="C2876" t="s">
        <v>202</v>
      </c>
      <c r="D2876">
        <v>1</v>
      </c>
      <c r="E2876" t="s">
        <v>665</v>
      </c>
      <c r="F2876" t="s">
        <v>31</v>
      </c>
      <c r="G2876" t="s">
        <v>2091</v>
      </c>
      <c r="H2876" t="s">
        <v>16</v>
      </c>
      <c r="I2876" s="26" t="s">
        <v>378</v>
      </c>
    </row>
    <row r="2877" spans="1:9" x14ac:dyDescent="0.3">
      <c r="A2877" s="24">
        <v>45369</v>
      </c>
      <c r="B2877" t="s">
        <v>340</v>
      </c>
      <c r="C2877" t="s">
        <v>53</v>
      </c>
      <c r="D2877">
        <v>1.25</v>
      </c>
      <c r="E2877" t="s">
        <v>54</v>
      </c>
      <c r="F2877" t="s">
        <v>55</v>
      </c>
      <c r="G2877" t="s">
        <v>2092</v>
      </c>
      <c r="H2877" t="s">
        <v>16</v>
      </c>
      <c r="I2877" s="26" t="s">
        <v>378</v>
      </c>
    </row>
    <row r="2878" spans="1:9" x14ac:dyDescent="0.3">
      <c r="A2878" s="24">
        <v>45369</v>
      </c>
      <c r="B2878" t="s">
        <v>340</v>
      </c>
      <c r="C2878" t="s">
        <v>53</v>
      </c>
      <c r="D2878">
        <v>1.5</v>
      </c>
      <c r="E2878" t="s">
        <v>54</v>
      </c>
      <c r="F2878" t="s">
        <v>55</v>
      </c>
      <c r="G2878" t="s">
        <v>2093</v>
      </c>
      <c r="H2878" t="s">
        <v>16</v>
      </c>
      <c r="I2878" s="26" t="s">
        <v>378</v>
      </c>
    </row>
    <row r="2879" spans="1:9" x14ac:dyDescent="0.3">
      <c r="A2879" s="24">
        <v>45369</v>
      </c>
      <c r="B2879" t="s">
        <v>340</v>
      </c>
      <c r="C2879" t="s">
        <v>225</v>
      </c>
      <c r="D2879">
        <v>0.33</v>
      </c>
      <c r="E2879" t="s">
        <v>195</v>
      </c>
      <c r="F2879" t="s">
        <v>31</v>
      </c>
      <c r="G2879" t="s">
        <v>2094</v>
      </c>
      <c r="H2879" t="s">
        <v>16</v>
      </c>
      <c r="I2879" s="26" t="s">
        <v>378</v>
      </c>
    </row>
    <row r="2880" spans="1:9" x14ac:dyDescent="0.3">
      <c r="A2880" s="24">
        <v>45369</v>
      </c>
      <c r="B2880" t="s">
        <v>340</v>
      </c>
      <c r="C2880" t="s">
        <v>225</v>
      </c>
      <c r="D2880">
        <v>0.5</v>
      </c>
      <c r="E2880" t="s">
        <v>967</v>
      </c>
      <c r="F2880" t="s">
        <v>31</v>
      </c>
      <c r="G2880" t="s">
        <v>2095</v>
      </c>
      <c r="H2880" t="s">
        <v>16</v>
      </c>
      <c r="I2880" s="26" t="s">
        <v>378</v>
      </c>
    </row>
    <row r="2881" spans="1:9" x14ac:dyDescent="0.3">
      <c r="A2881" s="24">
        <v>45369</v>
      </c>
      <c r="B2881" t="s">
        <v>340</v>
      </c>
      <c r="C2881" t="s">
        <v>225</v>
      </c>
      <c r="D2881">
        <v>0.5</v>
      </c>
      <c r="E2881" t="s">
        <v>967</v>
      </c>
      <c r="F2881" t="s">
        <v>31</v>
      </c>
      <c r="G2881" t="s">
        <v>2096</v>
      </c>
      <c r="H2881" t="s">
        <v>16</v>
      </c>
      <c r="I2881" s="26" t="s">
        <v>378</v>
      </c>
    </row>
    <row r="2882" spans="1:9" x14ac:dyDescent="0.3">
      <c r="A2882" s="24">
        <v>45369</v>
      </c>
      <c r="B2882" t="s">
        <v>340</v>
      </c>
      <c r="C2882" t="s">
        <v>58</v>
      </c>
      <c r="D2882">
        <v>0.5</v>
      </c>
      <c r="E2882" t="s">
        <v>54</v>
      </c>
      <c r="F2882" t="s">
        <v>55</v>
      </c>
      <c r="G2882" t="s">
        <v>1351</v>
      </c>
      <c r="H2882" t="s">
        <v>16</v>
      </c>
      <c r="I2882" s="26" t="s">
        <v>378</v>
      </c>
    </row>
    <row r="2883" spans="1:9" x14ac:dyDescent="0.3">
      <c r="A2883" s="24">
        <v>45369</v>
      </c>
      <c r="B2883" t="s">
        <v>351</v>
      </c>
      <c r="C2883" t="s">
        <v>159</v>
      </c>
      <c r="D2883">
        <v>8.3699999999999992</v>
      </c>
      <c r="E2883" t="s">
        <v>81</v>
      </c>
      <c r="F2883" t="s">
        <v>31</v>
      </c>
      <c r="G2883" t="s">
        <v>2097</v>
      </c>
      <c r="H2883" t="s">
        <v>16</v>
      </c>
      <c r="I2883" s="26" t="s">
        <v>378</v>
      </c>
    </row>
    <row r="2884" spans="1:9" x14ac:dyDescent="0.3">
      <c r="A2884" s="24">
        <v>45369</v>
      </c>
      <c r="B2884" t="s">
        <v>355</v>
      </c>
      <c r="C2884" t="s">
        <v>73</v>
      </c>
      <c r="D2884">
        <v>7.6</v>
      </c>
      <c r="E2884" t="s">
        <v>54</v>
      </c>
      <c r="F2884" t="s">
        <v>55</v>
      </c>
      <c r="H2884" t="s">
        <v>16</v>
      </c>
      <c r="I2884" s="26" t="s">
        <v>378</v>
      </c>
    </row>
    <row r="2885" spans="1:9" x14ac:dyDescent="0.3">
      <c r="A2885" s="24">
        <v>45369</v>
      </c>
      <c r="B2885" t="s">
        <v>374</v>
      </c>
      <c r="C2885" t="s">
        <v>123</v>
      </c>
      <c r="D2885">
        <v>4</v>
      </c>
      <c r="E2885" t="s">
        <v>54</v>
      </c>
      <c r="F2885" t="s">
        <v>55</v>
      </c>
      <c r="H2885" t="s">
        <v>16</v>
      </c>
      <c r="I2885" s="26" t="s">
        <v>378</v>
      </c>
    </row>
    <row r="2886" spans="1:9" x14ac:dyDescent="0.3">
      <c r="A2886" s="24">
        <v>45369</v>
      </c>
      <c r="B2886" t="s">
        <v>374</v>
      </c>
      <c r="C2886" t="s">
        <v>123</v>
      </c>
      <c r="D2886">
        <v>4</v>
      </c>
      <c r="E2886" t="s">
        <v>54</v>
      </c>
      <c r="F2886" t="s">
        <v>55</v>
      </c>
      <c r="G2886" t="e">
        <f>- check results of APE and transfer to personnel folders of employees - draft and post ad for Finance Manager role - respond to queries</f>
        <v>#NAME?</v>
      </c>
      <c r="H2886" t="s">
        <v>16</v>
      </c>
      <c r="I2886" s="26" t="s">
        <v>378</v>
      </c>
    </row>
    <row r="2887" spans="1:9" x14ac:dyDescent="0.3">
      <c r="A2887" s="24">
        <v>45370</v>
      </c>
      <c r="B2887" t="s">
        <v>28</v>
      </c>
      <c r="C2887" t="s">
        <v>29</v>
      </c>
      <c r="D2887">
        <v>7.0000000000000007E-2</v>
      </c>
      <c r="E2887" t="s">
        <v>39</v>
      </c>
      <c r="F2887" t="s">
        <v>31</v>
      </c>
      <c r="G2887" t="s">
        <v>579</v>
      </c>
      <c r="H2887" t="s">
        <v>16</v>
      </c>
      <c r="I2887" s="26" t="s">
        <v>576</v>
      </c>
    </row>
    <row r="2888" spans="1:9" x14ac:dyDescent="0.3">
      <c r="A2888" s="24">
        <v>45370</v>
      </c>
      <c r="B2888" t="s">
        <v>28</v>
      </c>
      <c r="C2888" t="s">
        <v>29</v>
      </c>
      <c r="D2888">
        <v>0.12</v>
      </c>
      <c r="E2888" t="s">
        <v>35</v>
      </c>
      <c r="F2888" t="s">
        <v>31</v>
      </c>
      <c r="G2888" t="s">
        <v>2098</v>
      </c>
      <c r="H2888" t="s">
        <v>16</v>
      </c>
      <c r="I2888" s="26" t="s">
        <v>576</v>
      </c>
    </row>
    <row r="2889" spans="1:9" x14ac:dyDescent="0.3">
      <c r="A2889" s="24">
        <v>45370</v>
      </c>
      <c r="B2889" t="s">
        <v>28</v>
      </c>
      <c r="C2889" t="s">
        <v>29</v>
      </c>
      <c r="D2889">
        <v>0.25</v>
      </c>
      <c r="E2889" t="s">
        <v>44</v>
      </c>
      <c r="F2889" t="s">
        <v>31</v>
      </c>
      <c r="G2889" t="s">
        <v>34</v>
      </c>
      <c r="H2889" t="s">
        <v>16</v>
      </c>
      <c r="I2889" s="26" t="s">
        <v>576</v>
      </c>
    </row>
    <row r="2890" spans="1:9" x14ac:dyDescent="0.3">
      <c r="A2890" s="24">
        <v>45370</v>
      </c>
      <c r="B2890" t="s">
        <v>28</v>
      </c>
      <c r="C2890" t="s">
        <v>29</v>
      </c>
      <c r="D2890">
        <v>0.27</v>
      </c>
      <c r="E2890" t="s">
        <v>42</v>
      </c>
      <c r="F2890" t="s">
        <v>31</v>
      </c>
      <c r="G2890" t="s">
        <v>34</v>
      </c>
      <c r="H2890" t="s">
        <v>16</v>
      </c>
      <c r="I2890" s="26" t="s">
        <v>576</v>
      </c>
    </row>
    <row r="2891" spans="1:9" x14ac:dyDescent="0.3">
      <c r="A2891" s="24">
        <v>45370</v>
      </c>
      <c r="B2891" t="s">
        <v>28</v>
      </c>
      <c r="C2891" t="s">
        <v>29</v>
      </c>
      <c r="D2891">
        <v>0.33</v>
      </c>
      <c r="E2891" t="s">
        <v>49</v>
      </c>
      <c r="F2891" t="s">
        <v>31</v>
      </c>
      <c r="G2891" t="s">
        <v>34</v>
      </c>
      <c r="H2891" t="s">
        <v>16</v>
      </c>
      <c r="I2891" s="26" t="s">
        <v>576</v>
      </c>
    </row>
    <row r="2892" spans="1:9" x14ac:dyDescent="0.3">
      <c r="A2892" s="24">
        <v>45370</v>
      </c>
      <c r="B2892" t="s">
        <v>28</v>
      </c>
      <c r="C2892" t="s">
        <v>29</v>
      </c>
      <c r="D2892">
        <v>0.38</v>
      </c>
      <c r="E2892" t="s">
        <v>44</v>
      </c>
      <c r="F2892" t="s">
        <v>31</v>
      </c>
      <c r="G2892" t="s">
        <v>579</v>
      </c>
      <c r="H2892" t="s">
        <v>16</v>
      </c>
      <c r="I2892" s="26" t="s">
        <v>576</v>
      </c>
    </row>
    <row r="2893" spans="1:9" x14ac:dyDescent="0.3">
      <c r="A2893" s="24">
        <v>45370</v>
      </c>
      <c r="B2893" t="s">
        <v>28</v>
      </c>
      <c r="C2893" t="s">
        <v>29</v>
      </c>
      <c r="D2893">
        <v>0.38</v>
      </c>
      <c r="E2893" t="s">
        <v>35</v>
      </c>
      <c r="F2893" t="s">
        <v>31</v>
      </c>
      <c r="G2893" t="s">
        <v>47</v>
      </c>
      <c r="H2893" t="s">
        <v>16</v>
      </c>
      <c r="I2893" s="26" t="s">
        <v>576</v>
      </c>
    </row>
    <row r="2894" spans="1:9" x14ac:dyDescent="0.3">
      <c r="A2894" s="24">
        <v>45370</v>
      </c>
      <c r="B2894" t="s">
        <v>28</v>
      </c>
      <c r="C2894" t="s">
        <v>29</v>
      </c>
      <c r="D2894">
        <v>0.52</v>
      </c>
      <c r="E2894" t="s">
        <v>40</v>
      </c>
      <c r="F2894" t="s">
        <v>31</v>
      </c>
      <c r="G2894" t="s">
        <v>579</v>
      </c>
      <c r="H2894" t="s">
        <v>16</v>
      </c>
      <c r="I2894" s="26" t="s">
        <v>576</v>
      </c>
    </row>
    <row r="2895" spans="1:9" x14ac:dyDescent="0.3">
      <c r="A2895" s="24">
        <v>45370</v>
      </c>
      <c r="B2895" t="s">
        <v>28</v>
      </c>
      <c r="C2895" t="s">
        <v>29</v>
      </c>
      <c r="D2895">
        <v>1</v>
      </c>
      <c r="E2895" t="s">
        <v>49</v>
      </c>
      <c r="F2895" t="s">
        <v>31</v>
      </c>
      <c r="G2895" t="s">
        <v>43</v>
      </c>
      <c r="H2895" t="s">
        <v>16</v>
      </c>
      <c r="I2895" s="26" t="s">
        <v>576</v>
      </c>
    </row>
    <row r="2896" spans="1:9" x14ac:dyDescent="0.3">
      <c r="A2896" s="24">
        <v>45370</v>
      </c>
      <c r="B2896" t="s">
        <v>28</v>
      </c>
      <c r="C2896" t="s">
        <v>29</v>
      </c>
      <c r="D2896">
        <v>1.08</v>
      </c>
      <c r="E2896" t="s">
        <v>42</v>
      </c>
      <c r="F2896" t="s">
        <v>31</v>
      </c>
      <c r="G2896" t="s">
        <v>579</v>
      </c>
      <c r="H2896" t="s">
        <v>16</v>
      </c>
      <c r="I2896" s="26" t="s">
        <v>576</v>
      </c>
    </row>
    <row r="2897" spans="1:9" x14ac:dyDescent="0.3">
      <c r="A2897" s="24">
        <v>45370</v>
      </c>
      <c r="B2897" t="s">
        <v>28</v>
      </c>
      <c r="C2897" t="s">
        <v>29</v>
      </c>
      <c r="D2897">
        <v>1.1000000000000001</v>
      </c>
      <c r="E2897" t="s">
        <v>30</v>
      </c>
      <c r="F2897" t="s">
        <v>55</v>
      </c>
      <c r="G2897" t="s">
        <v>2099</v>
      </c>
      <c r="H2897" t="s">
        <v>16</v>
      </c>
      <c r="I2897" s="26" t="s">
        <v>576</v>
      </c>
    </row>
    <row r="2898" spans="1:9" x14ac:dyDescent="0.3">
      <c r="A2898" s="24">
        <v>45370</v>
      </c>
      <c r="B2898" t="s">
        <v>28</v>
      </c>
      <c r="C2898" t="s">
        <v>29</v>
      </c>
      <c r="D2898">
        <v>1.85</v>
      </c>
      <c r="E2898" t="s">
        <v>49</v>
      </c>
      <c r="F2898" t="s">
        <v>31</v>
      </c>
      <c r="G2898" t="s">
        <v>579</v>
      </c>
      <c r="H2898" t="s">
        <v>16</v>
      </c>
      <c r="I2898" s="26" t="s">
        <v>576</v>
      </c>
    </row>
    <row r="2899" spans="1:9" x14ac:dyDescent="0.3">
      <c r="A2899" s="24">
        <v>45370</v>
      </c>
      <c r="B2899" t="s">
        <v>28</v>
      </c>
      <c r="C2899" t="s">
        <v>53</v>
      </c>
      <c r="D2899">
        <v>0.25</v>
      </c>
      <c r="E2899" t="s">
        <v>54</v>
      </c>
      <c r="F2899" t="s">
        <v>55</v>
      </c>
      <c r="G2899" t="s">
        <v>56</v>
      </c>
      <c r="H2899" t="s">
        <v>16</v>
      </c>
      <c r="I2899" s="26" t="s">
        <v>576</v>
      </c>
    </row>
    <row r="2900" spans="1:9" x14ac:dyDescent="0.3">
      <c r="A2900" s="24">
        <v>45370</v>
      </c>
      <c r="B2900" t="s">
        <v>28</v>
      </c>
      <c r="C2900" t="s">
        <v>53</v>
      </c>
      <c r="D2900">
        <v>0.25</v>
      </c>
      <c r="E2900" t="s">
        <v>54</v>
      </c>
      <c r="F2900" t="s">
        <v>55</v>
      </c>
      <c r="G2900" t="s">
        <v>57</v>
      </c>
      <c r="H2900" t="s">
        <v>16</v>
      </c>
      <c r="I2900" s="26" t="s">
        <v>576</v>
      </c>
    </row>
    <row r="2901" spans="1:9" x14ac:dyDescent="0.3">
      <c r="A2901" s="24">
        <v>45370</v>
      </c>
      <c r="B2901" t="s">
        <v>28</v>
      </c>
      <c r="C2901" t="s">
        <v>225</v>
      </c>
      <c r="D2901">
        <v>0.05</v>
      </c>
      <c r="E2901" t="s">
        <v>61</v>
      </c>
      <c r="F2901" t="s">
        <v>31</v>
      </c>
      <c r="G2901" t="s">
        <v>1972</v>
      </c>
      <c r="H2901" t="s">
        <v>16</v>
      </c>
      <c r="I2901" s="26" t="s">
        <v>576</v>
      </c>
    </row>
    <row r="2902" spans="1:9" x14ac:dyDescent="0.3">
      <c r="A2902" s="24">
        <v>45370</v>
      </c>
      <c r="B2902" t="s">
        <v>28</v>
      </c>
      <c r="C2902" t="s">
        <v>60</v>
      </c>
      <c r="D2902">
        <v>0.1</v>
      </c>
      <c r="E2902" t="s">
        <v>48</v>
      </c>
      <c r="F2902" t="s">
        <v>31</v>
      </c>
      <c r="H2902" t="s">
        <v>16</v>
      </c>
      <c r="I2902" s="26" t="s">
        <v>576</v>
      </c>
    </row>
    <row r="2903" spans="1:9" x14ac:dyDescent="0.3">
      <c r="A2903" s="24">
        <v>45370</v>
      </c>
      <c r="B2903" t="s">
        <v>64</v>
      </c>
      <c r="C2903" t="s">
        <v>173</v>
      </c>
      <c r="D2903">
        <v>2.33</v>
      </c>
      <c r="E2903" t="s">
        <v>162</v>
      </c>
      <c r="F2903" t="s">
        <v>31</v>
      </c>
      <c r="G2903" t="s">
        <v>2100</v>
      </c>
      <c r="H2903" t="s">
        <v>16</v>
      </c>
      <c r="I2903" s="26" t="s">
        <v>576</v>
      </c>
    </row>
    <row r="2904" spans="1:9" x14ac:dyDescent="0.3">
      <c r="A2904" s="24">
        <v>45370</v>
      </c>
      <c r="B2904" t="s">
        <v>64</v>
      </c>
      <c r="C2904" t="s">
        <v>65</v>
      </c>
      <c r="D2904">
        <v>0.25</v>
      </c>
      <c r="E2904" t="s">
        <v>66</v>
      </c>
      <c r="F2904" t="s">
        <v>31</v>
      </c>
      <c r="G2904" t="s">
        <v>2101</v>
      </c>
      <c r="H2904" t="s">
        <v>16</v>
      </c>
      <c r="I2904" s="26" t="s">
        <v>576</v>
      </c>
    </row>
    <row r="2905" spans="1:9" x14ac:dyDescent="0.3">
      <c r="A2905" s="24">
        <v>45370</v>
      </c>
      <c r="B2905" t="s">
        <v>64</v>
      </c>
      <c r="C2905" t="s">
        <v>379</v>
      </c>
      <c r="D2905">
        <v>1.33</v>
      </c>
      <c r="E2905" t="s">
        <v>66</v>
      </c>
      <c r="F2905" t="s">
        <v>31</v>
      </c>
      <c r="G2905" t="s">
        <v>2102</v>
      </c>
      <c r="H2905" t="s">
        <v>16</v>
      </c>
      <c r="I2905" s="26" t="s">
        <v>576</v>
      </c>
    </row>
    <row r="2906" spans="1:9" x14ac:dyDescent="0.3">
      <c r="A2906" s="24">
        <v>45370</v>
      </c>
      <c r="B2906" t="s">
        <v>64</v>
      </c>
      <c r="C2906" t="s">
        <v>68</v>
      </c>
      <c r="D2906">
        <v>0.83</v>
      </c>
      <c r="E2906" t="s">
        <v>66</v>
      </c>
      <c r="F2906" t="s">
        <v>31</v>
      </c>
      <c r="G2906" t="s">
        <v>2103</v>
      </c>
      <c r="H2906" t="s">
        <v>16</v>
      </c>
      <c r="I2906" s="26" t="s">
        <v>576</v>
      </c>
    </row>
    <row r="2907" spans="1:9" x14ac:dyDescent="0.3">
      <c r="A2907" s="24">
        <v>45370</v>
      </c>
      <c r="B2907" t="s">
        <v>64</v>
      </c>
      <c r="C2907" t="s">
        <v>70</v>
      </c>
      <c r="D2907">
        <v>0.42</v>
      </c>
      <c r="E2907" t="s">
        <v>66</v>
      </c>
      <c r="F2907" t="s">
        <v>31</v>
      </c>
      <c r="G2907" t="s">
        <v>2104</v>
      </c>
      <c r="H2907" t="s">
        <v>16</v>
      </c>
      <c r="I2907" s="26" t="s">
        <v>576</v>
      </c>
    </row>
    <row r="2908" spans="1:9" x14ac:dyDescent="0.3">
      <c r="A2908" s="24">
        <v>45370</v>
      </c>
      <c r="B2908" t="s">
        <v>72</v>
      </c>
      <c r="C2908" t="s">
        <v>29</v>
      </c>
      <c r="D2908">
        <v>0.32</v>
      </c>
      <c r="E2908" t="s">
        <v>139</v>
      </c>
      <c r="F2908" t="s">
        <v>55</v>
      </c>
      <c r="G2908" t="s">
        <v>2105</v>
      </c>
      <c r="H2908" t="s">
        <v>16</v>
      </c>
      <c r="I2908" s="26" t="s">
        <v>576</v>
      </c>
    </row>
    <row r="2909" spans="1:9" x14ac:dyDescent="0.3">
      <c r="A2909" s="24">
        <v>45370</v>
      </c>
      <c r="B2909" t="s">
        <v>72</v>
      </c>
      <c r="C2909" t="s">
        <v>29</v>
      </c>
      <c r="D2909">
        <v>0.92</v>
      </c>
      <c r="E2909" t="s">
        <v>271</v>
      </c>
      <c r="F2909" t="s">
        <v>31</v>
      </c>
      <c r="H2909" t="s">
        <v>16</v>
      </c>
      <c r="I2909" s="26" t="s">
        <v>576</v>
      </c>
    </row>
    <row r="2910" spans="1:9" x14ac:dyDescent="0.3">
      <c r="A2910" s="24">
        <v>45370</v>
      </c>
      <c r="B2910" t="s">
        <v>72</v>
      </c>
      <c r="C2910" t="s">
        <v>53</v>
      </c>
      <c r="D2910">
        <v>0.12</v>
      </c>
      <c r="E2910" t="s">
        <v>54</v>
      </c>
      <c r="F2910" t="s">
        <v>55</v>
      </c>
      <c r="G2910" t="s">
        <v>2106</v>
      </c>
      <c r="H2910" t="s">
        <v>16</v>
      </c>
      <c r="I2910" s="26" t="s">
        <v>576</v>
      </c>
    </row>
    <row r="2911" spans="1:9" x14ac:dyDescent="0.3">
      <c r="A2911" s="24">
        <v>45370</v>
      </c>
      <c r="B2911" t="s">
        <v>72</v>
      </c>
      <c r="C2911" t="s">
        <v>53</v>
      </c>
      <c r="D2911">
        <v>0.25</v>
      </c>
      <c r="E2911" t="s">
        <v>54</v>
      </c>
      <c r="F2911" t="s">
        <v>55</v>
      </c>
      <c r="G2911" t="s">
        <v>2107</v>
      </c>
      <c r="H2911" t="s">
        <v>16</v>
      </c>
      <c r="I2911" s="26" t="s">
        <v>576</v>
      </c>
    </row>
    <row r="2912" spans="1:9" x14ac:dyDescent="0.3">
      <c r="A2912" s="24">
        <v>45370</v>
      </c>
      <c r="B2912" t="s">
        <v>72</v>
      </c>
      <c r="C2912" t="s">
        <v>53</v>
      </c>
      <c r="D2912">
        <v>0.42</v>
      </c>
      <c r="E2912" t="s">
        <v>54</v>
      </c>
      <c r="F2912" t="s">
        <v>55</v>
      </c>
      <c r="G2912" t="s">
        <v>2108</v>
      </c>
      <c r="H2912" t="s">
        <v>16</v>
      </c>
      <c r="I2912" s="26" t="s">
        <v>576</v>
      </c>
    </row>
    <row r="2913" spans="1:9" x14ac:dyDescent="0.3">
      <c r="A2913" s="24">
        <v>45370</v>
      </c>
      <c r="B2913" t="s">
        <v>72</v>
      </c>
      <c r="C2913" t="s">
        <v>53</v>
      </c>
      <c r="D2913">
        <v>0.5</v>
      </c>
      <c r="E2913" t="s">
        <v>54</v>
      </c>
      <c r="F2913" t="s">
        <v>55</v>
      </c>
      <c r="G2913" t="s">
        <v>110</v>
      </c>
      <c r="H2913" t="s">
        <v>16</v>
      </c>
      <c r="I2913" s="26" t="s">
        <v>576</v>
      </c>
    </row>
    <row r="2914" spans="1:9" x14ac:dyDescent="0.3">
      <c r="A2914" s="24">
        <v>45370</v>
      </c>
      <c r="B2914" t="s">
        <v>72</v>
      </c>
      <c r="C2914" t="s">
        <v>53</v>
      </c>
      <c r="D2914">
        <v>0.52</v>
      </c>
      <c r="E2914" t="s">
        <v>54</v>
      </c>
      <c r="F2914" t="s">
        <v>55</v>
      </c>
      <c r="G2914" t="s">
        <v>2109</v>
      </c>
      <c r="H2914" t="s">
        <v>16</v>
      </c>
      <c r="I2914" s="26" t="s">
        <v>576</v>
      </c>
    </row>
    <row r="2915" spans="1:9" x14ac:dyDescent="0.3">
      <c r="A2915" s="24">
        <v>45370</v>
      </c>
      <c r="B2915" t="s">
        <v>72</v>
      </c>
      <c r="C2915" t="s">
        <v>53</v>
      </c>
      <c r="D2915">
        <v>0.7</v>
      </c>
      <c r="E2915" t="s">
        <v>54</v>
      </c>
      <c r="F2915" t="s">
        <v>55</v>
      </c>
      <c r="H2915" t="s">
        <v>16</v>
      </c>
      <c r="I2915" s="26" t="s">
        <v>576</v>
      </c>
    </row>
    <row r="2916" spans="1:9" x14ac:dyDescent="0.3">
      <c r="A2916" s="24">
        <v>45370</v>
      </c>
      <c r="B2916" t="s">
        <v>72</v>
      </c>
      <c r="C2916" t="s">
        <v>53</v>
      </c>
      <c r="D2916">
        <v>0.7</v>
      </c>
      <c r="E2916" t="s">
        <v>54</v>
      </c>
      <c r="F2916" t="s">
        <v>55</v>
      </c>
      <c r="G2916" t="s">
        <v>2110</v>
      </c>
      <c r="H2916" t="s">
        <v>16</v>
      </c>
      <c r="I2916" s="26" t="s">
        <v>576</v>
      </c>
    </row>
    <row r="2917" spans="1:9" x14ac:dyDescent="0.3">
      <c r="A2917" s="24">
        <v>45370</v>
      </c>
      <c r="B2917" t="s">
        <v>72</v>
      </c>
      <c r="C2917" t="s">
        <v>53</v>
      </c>
      <c r="D2917">
        <v>0.82</v>
      </c>
      <c r="E2917" t="s">
        <v>54</v>
      </c>
      <c r="F2917" t="s">
        <v>55</v>
      </c>
      <c r="G2917" t="s">
        <v>2111</v>
      </c>
      <c r="H2917" t="s">
        <v>16</v>
      </c>
      <c r="I2917" s="26" t="s">
        <v>576</v>
      </c>
    </row>
    <row r="2918" spans="1:9" x14ac:dyDescent="0.3">
      <c r="A2918" s="24">
        <v>45370</v>
      </c>
      <c r="B2918" t="s">
        <v>72</v>
      </c>
      <c r="C2918" t="s">
        <v>53</v>
      </c>
      <c r="D2918">
        <v>1.07</v>
      </c>
      <c r="E2918" t="s">
        <v>54</v>
      </c>
      <c r="F2918" t="s">
        <v>55</v>
      </c>
      <c r="G2918" t="s">
        <v>2112</v>
      </c>
      <c r="H2918" t="s">
        <v>16</v>
      </c>
      <c r="I2918" s="26" t="s">
        <v>576</v>
      </c>
    </row>
    <row r="2919" spans="1:9" x14ac:dyDescent="0.3">
      <c r="A2919" s="24">
        <v>45370</v>
      </c>
      <c r="B2919" t="s">
        <v>72</v>
      </c>
      <c r="C2919" t="s">
        <v>58</v>
      </c>
      <c r="D2919">
        <v>0.3</v>
      </c>
      <c r="E2919" t="s">
        <v>54</v>
      </c>
      <c r="F2919" t="s">
        <v>55</v>
      </c>
      <c r="G2919" t="s">
        <v>2113</v>
      </c>
      <c r="H2919" t="s">
        <v>16</v>
      </c>
      <c r="I2919" s="26" t="s">
        <v>576</v>
      </c>
    </row>
    <row r="2920" spans="1:9" x14ac:dyDescent="0.3">
      <c r="A2920" s="24">
        <v>45370</v>
      </c>
      <c r="B2920" t="s">
        <v>72</v>
      </c>
      <c r="C2920" t="s">
        <v>58</v>
      </c>
      <c r="D2920">
        <v>0.4</v>
      </c>
      <c r="E2920" t="s">
        <v>54</v>
      </c>
      <c r="F2920" t="s">
        <v>55</v>
      </c>
      <c r="G2920" t="s">
        <v>2114</v>
      </c>
      <c r="H2920" t="s">
        <v>16</v>
      </c>
      <c r="I2920" s="26" t="s">
        <v>576</v>
      </c>
    </row>
    <row r="2921" spans="1:9" x14ac:dyDescent="0.3">
      <c r="A2921" s="24">
        <v>45370</v>
      </c>
      <c r="B2921" t="s">
        <v>72</v>
      </c>
      <c r="C2921" t="s">
        <v>58</v>
      </c>
      <c r="D2921">
        <v>0.42</v>
      </c>
      <c r="E2921" t="s">
        <v>54</v>
      </c>
      <c r="F2921" t="s">
        <v>55</v>
      </c>
      <c r="G2921" t="s">
        <v>2115</v>
      </c>
      <c r="H2921" t="s">
        <v>16</v>
      </c>
      <c r="I2921" s="26" t="s">
        <v>576</v>
      </c>
    </row>
    <row r="2922" spans="1:9" x14ac:dyDescent="0.3">
      <c r="A2922" s="24">
        <v>45370</v>
      </c>
      <c r="B2922" t="s">
        <v>72</v>
      </c>
      <c r="C2922" t="s">
        <v>58</v>
      </c>
      <c r="D2922">
        <v>0.57999999999999996</v>
      </c>
      <c r="E2922" t="s">
        <v>54</v>
      </c>
      <c r="F2922" t="s">
        <v>55</v>
      </c>
      <c r="G2922" t="s">
        <v>2116</v>
      </c>
      <c r="H2922" t="s">
        <v>16</v>
      </c>
      <c r="I2922" s="26" t="s">
        <v>576</v>
      </c>
    </row>
    <row r="2923" spans="1:9" x14ac:dyDescent="0.3">
      <c r="A2923" s="24">
        <v>45370</v>
      </c>
      <c r="B2923" t="s">
        <v>75</v>
      </c>
      <c r="C2923" t="s">
        <v>148</v>
      </c>
      <c r="D2923">
        <v>8</v>
      </c>
      <c r="E2923" t="s">
        <v>54</v>
      </c>
      <c r="F2923" t="s">
        <v>55</v>
      </c>
      <c r="G2923" t="s">
        <v>2117</v>
      </c>
      <c r="H2923" t="s">
        <v>16</v>
      </c>
      <c r="I2923" s="26" t="s">
        <v>576</v>
      </c>
    </row>
    <row r="2924" spans="1:9" x14ac:dyDescent="0.3">
      <c r="A2924" s="24">
        <v>45370</v>
      </c>
      <c r="B2924" t="s">
        <v>79</v>
      </c>
      <c r="C2924" t="s">
        <v>53</v>
      </c>
      <c r="D2924">
        <v>7</v>
      </c>
      <c r="E2924" t="s">
        <v>54</v>
      </c>
      <c r="F2924" t="s">
        <v>55</v>
      </c>
      <c r="H2924" t="s">
        <v>16</v>
      </c>
      <c r="I2924" s="26" t="s">
        <v>576</v>
      </c>
    </row>
    <row r="2925" spans="1:9" x14ac:dyDescent="0.3">
      <c r="A2925" s="24">
        <v>45370</v>
      </c>
      <c r="B2925" t="s">
        <v>80</v>
      </c>
      <c r="C2925" t="s">
        <v>29</v>
      </c>
      <c r="D2925">
        <v>2.5</v>
      </c>
      <c r="E2925" t="s">
        <v>81</v>
      </c>
      <c r="F2925" t="s">
        <v>31</v>
      </c>
      <c r="G2925" t="s">
        <v>2118</v>
      </c>
      <c r="H2925" t="s">
        <v>16</v>
      </c>
      <c r="I2925" s="26" t="s">
        <v>576</v>
      </c>
    </row>
    <row r="2926" spans="1:9" x14ac:dyDescent="0.3">
      <c r="A2926" s="24">
        <v>45370</v>
      </c>
      <c r="B2926" t="s">
        <v>80</v>
      </c>
      <c r="C2926" t="s">
        <v>29</v>
      </c>
      <c r="D2926">
        <v>2.75</v>
      </c>
      <c r="E2926" t="s">
        <v>81</v>
      </c>
      <c r="F2926" t="s">
        <v>31</v>
      </c>
      <c r="G2926" t="s">
        <v>1853</v>
      </c>
      <c r="H2926" t="s">
        <v>16</v>
      </c>
      <c r="I2926" s="26" t="s">
        <v>576</v>
      </c>
    </row>
    <row r="2927" spans="1:9" x14ac:dyDescent="0.3">
      <c r="A2927" s="24">
        <v>45370</v>
      </c>
      <c r="B2927" t="s">
        <v>80</v>
      </c>
      <c r="C2927" t="s">
        <v>29</v>
      </c>
      <c r="D2927">
        <v>3</v>
      </c>
      <c r="E2927" t="s">
        <v>81</v>
      </c>
      <c r="F2927" t="s">
        <v>31</v>
      </c>
      <c r="G2927" t="s">
        <v>2119</v>
      </c>
      <c r="H2927" t="s">
        <v>16</v>
      </c>
      <c r="I2927" s="26" t="s">
        <v>576</v>
      </c>
    </row>
    <row r="2928" spans="1:9" x14ac:dyDescent="0.3">
      <c r="A2928" s="24">
        <v>45370</v>
      </c>
      <c r="B2928" t="s">
        <v>88</v>
      </c>
      <c r="C2928" t="s">
        <v>394</v>
      </c>
      <c r="D2928">
        <v>8</v>
      </c>
      <c r="E2928" t="s">
        <v>54</v>
      </c>
      <c r="F2928" t="s">
        <v>55</v>
      </c>
      <c r="G2928" t="s">
        <v>2120</v>
      </c>
      <c r="H2928" t="s">
        <v>16</v>
      </c>
      <c r="I2928" s="26" t="s">
        <v>576</v>
      </c>
    </row>
    <row r="2929" spans="1:9" x14ac:dyDescent="0.3">
      <c r="A2929" s="24">
        <v>45370</v>
      </c>
      <c r="B2929" t="s">
        <v>97</v>
      </c>
      <c r="C2929" t="s">
        <v>89</v>
      </c>
      <c r="D2929">
        <v>1.5</v>
      </c>
      <c r="E2929" t="s">
        <v>54</v>
      </c>
      <c r="F2929" t="s">
        <v>55</v>
      </c>
      <c r="G2929" t="s">
        <v>1698</v>
      </c>
      <c r="H2929" t="s">
        <v>16</v>
      </c>
      <c r="I2929" s="26" t="s">
        <v>576</v>
      </c>
    </row>
    <row r="2930" spans="1:9" x14ac:dyDescent="0.3">
      <c r="A2930" s="24">
        <v>45370</v>
      </c>
      <c r="B2930" t="s">
        <v>99</v>
      </c>
      <c r="C2930" t="s">
        <v>89</v>
      </c>
      <c r="D2930">
        <v>9.27</v>
      </c>
      <c r="E2930" t="s">
        <v>54</v>
      </c>
      <c r="F2930" t="s">
        <v>55</v>
      </c>
      <c r="G2930" t="s">
        <v>1983</v>
      </c>
      <c r="H2930" t="s">
        <v>16</v>
      </c>
      <c r="I2930" s="26" t="s">
        <v>576</v>
      </c>
    </row>
    <row r="2931" spans="1:9" x14ac:dyDescent="0.3">
      <c r="A2931" s="24">
        <v>45370</v>
      </c>
      <c r="B2931" t="s">
        <v>101</v>
      </c>
      <c r="C2931" t="s">
        <v>29</v>
      </c>
      <c r="D2931">
        <v>0.08</v>
      </c>
      <c r="E2931" t="s">
        <v>195</v>
      </c>
      <c r="F2931" t="s">
        <v>55</v>
      </c>
      <c r="G2931" t="s">
        <v>1985</v>
      </c>
      <c r="H2931" t="s">
        <v>16</v>
      </c>
      <c r="I2931" s="26" t="s">
        <v>576</v>
      </c>
    </row>
    <row r="2932" spans="1:9" x14ac:dyDescent="0.3">
      <c r="A2932" s="24">
        <v>45370</v>
      </c>
      <c r="B2932" t="s">
        <v>101</v>
      </c>
      <c r="C2932" t="s">
        <v>29</v>
      </c>
      <c r="D2932">
        <v>0.17</v>
      </c>
      <c r="E2932" t="s">
        <v>106</v>
      </c>
      <c r="F2932" t="s">
        <v>31</v>
      </c>
      <c r="G2932" t="s">
        <v>103</v>
      </c>
      <c r="H2932" t="s">
        <v>16</v>
      </c>
      <c r="I2932" s="26" t="s">
        <v>576</v>
      </c>
    </row>
    <row r="2933" spans="1:9" x14ac:dyDescent="0.3">
      <c r="A2933" s="24">
        <v>45370</v>
      </c>
      <c r="B2933" t="s">
        <v>101</v>
      </c>
      <c r="C2933" t="s">
        <v>29</v>
      </c>
      <c r="D2933">
        <v>0.33</v>
      </c>
      <c r="E2933" t="s">
        <v>195</v>
      </c>
      <c r="F2933" t="s">
        <v>31</v>
      </c>
      <c r="G2933" t="s">
        <v>243</v>
      </c>
      <c r="H2933" t="s">
        <v>16</v>
      </c>
      <c r="I2933" s="26" t="s">
        <v>576</v>
      </c>
    </row>
    <row r="2934" spans="1:9" x14ac:dyDescent="0.3">
      <c r="A2934" s="24">
        <v>45370</v>
      </c>
      <c r="B2934" t="s">
        <v>101</v>
      </c>
      <c r="C2934" t="s">
        <v>29</v>
      </c>
      <c r="D2934">
        <v>0.42</v>
      </c>
      <c r="E2934" t="s">
        <v>229</v>
      </c>
      <c r="F2934" t="s">
        <v>31</v>
      </c>
      <c r="G2934" t="s">
        <v>1701</v>
      </c>
      <c r="H2934" t="s">
        <v>16</v>
      </c>
      <c r="I2934" s="26" t="s">
        <v>576</v>
      </c>
    </row>
    <row r="2935" spans="1:9" x14ac:dyDescent="0.3">
      <c r="A2935" s="24">
        <v>45370</v>
      </c>
      <c r="B2935" t="s">
        <v>101</v>
      </c>
      <c r="C2935" t="s">
        <v>29</v>
      </c>
      <c r="D2935">
        <v>0.5</v>
      </c>
      <c r="E2935" t="s">
        <v>725</v>
      </c>
      <c r="F2935" t="s">
        <v>55</v>
      </c>
      <c r="G2935" t="s">
        <v>2121</v>
      </c>
      <c r="H2935" t="s">
        <v>16</v>
      </c>
      <c r="I2935" s="26" t="s">
        <v>576</v>
      </c>
    </row>
    <row r="2936" spans="1:9" x14ac:dyDescent="0.3">
      <c r="A2936" s="24">
        <v>45370</v>
      </c>
      <c r="B2936" t="s">
        <v>101</v>
      </c>
      <c r="C2936" t="s">
        <v>29</v>
      </c>
      <c r="D2936">
        <v>0.57999999999999996</v>
      </c>
      <c r="E2936" t="s">
        <v>725</v>
      </c>
      <c r="F2936" t="s">
        <v>31</v>
      </c>
      <c r="G2936" t="s">
        <v>2122</v>
      </c>
      <c r="H2936" t="s">
        <v>16</v>
      </c>
      <c r="I2936" s="26" t="s">
        <v>576</v>
      </c>
    </row>
    <row r="2937" spans="1:9" x14ac:dyDescent="0.3">
      <c r="A2937" s="24">
        <v>45370</v>
      </c>
      <c r="B2937" t="s">
        <v>101</v>
      </c>
      <c r="C2937" t="s">
        <v>29</v>
      </c>
      <c r="D2937">
        <v>0.75</v>
      </c>
      <c r="E2937" t="s">
        <v>214</v>
      </c>
      <c r="F2937" t="s">
        <v>31</v>
      </c>
      <c r="G2937" t="s">
        <v>103</v>
      </c>
      <c r="H2937" t="s">
        <v>16</v>
      </c>
      <c r="I2937" s="26" t="s">
        <v>576</v>
      </c>
    </row>
    <row r="2938" spans="1:9" x14ac:dyDescent="0.3">
      <c r="A2938" s="24">
        <v>45370</v>
      </c>
      <c r="B2938" t="s">
        <v>101</v>
      </c>
      <c r="C2938" t="s">
        <v>29</v>
      </c>
      <c r="D2938">
        <v>1.92</v>
      </c>
      <c r="E2938" t="s">
        <v>108</v>
      </c>
      <c r="F2938" t="s">
        <v>31</v>
      </c>
      <c r="G2938" t="s">
        <v>2123</v>
      </c>
      <c r="H2938" t="s">
        <v>16</v>
      </c>
      <c r="I2938" s="26" t="s">
        <v>576</v>
      </c>
    </row>
    <row r="2939" spans="1:9" x14ac:dyDescent="0.3">
      <c r="A2939" s="24">
        <v>45370</v>
      </c>
      <c r="B2939" t="s">
        <v>101</v>
      </c>
      <c r="C2939" t="s">
        <v>53</v>
      </c>
      <c r="D2939">
        <v>0.5</v>
      </c>
      <c r="E2939" t="s">
        <v>54</v>
      </c>
      <c r="F2939" t="s">
        <v>55</v>
      </c>
      <c r="G2939" t="s">
        <v>110</v>
      </c>
      <c r="H2939" t="s">
        <v>16</v>
      </c>
      <c r="I2939" s="26" t="s">
        <v>576</v>
      </c>
    </row>
    <row r="2940" spans="1:9" x14ac:dyDescent="0.3">
      <c r="A2940" s="24">
        <v>45370</v>
      </c>
      <c r="B2940" t="s">
        <v>101</v>
      </c>
      <c r="C2940" t="s">
        <v>90</v>
      </c>
      <c r="D2940">
        <v>0.5</v>
      </c>
      <c r="E2940" t="s">
        <v>1865</v>
      </c>
      <c r="F2940" t="s">
        <v>55</v>
      </c>
      <c r="G2940" t="s">
        <v>1985</v>
      </c>
      <c r="H2940" t="s">
        <v>16</v>
      </c>
      <c r="I2940" s="26" t="s">
        <v>576</v>
      </c>
    </row>
    <row r="2941" spans="1:9" x14ac:dyDescent="0.3">
      <c r="A2941" s="24">
        <v>45370</v>
      </c>
      <c r="B2941" t="s">
        <v>101</v>
      </c>
      <c r="C2941" t="s">
        <v>90</v>
      </c>
      <c r="D2941">
        <v>2.25</v>
      </c>
      <c r="E2941" t="s">
        <v>1865</v>
      </c>
      <c r="F2941" t="s">
        <v>31</v>
      </c>
      <c r="G2941" t="s">
        <v>107</v>
      </c>
      <c r="H2941" t="s">
        <v>16</v>
      </c>
      <c r="I2941" s="26" t="s">
        <v>576</v>
      </c>
    </row>
    <row r="2942" spans="1:9" x14ac:dyDescent="0.3">
      <c r="A2942" s="24">
        <v>45370</v>
      </c>
      <c r="B2942" t="s">
        <v>113</v>
      </c>
      <c r="C2942" t="s">
        <v>29</v>
      </c>
      <c r="D2942">
        <v>0.37</v>
      </c>
      <c r="E2942" t="s">
        <v>114</v>
      </c>
      <c r="F2942" t="s">
        <v>31</v>
      </c>
      <c r="G2942" t="s">
        <v>207</v>
      </c>
      <c r="H2942" t="s">
        <v>16</v>
      </c>
      <c r="I2942" s="26" t="s">
        <v>576</v>
      </c>
    </row>
    <row r="2943" spans="1:9" x14ac:dyDescent="0.3">
      <c r="A2943" s="24">
        <v>45370</v>
      </c>
      <c r="B2943" t="s">
        <v>113</v>
      </c>
      <c r="C2943" t="s">
        <v>29</v>
      </c>
      <c r="D2943">
        <v>0.4</v>
      </c>
      <c r="E2943" t="s">
        <v>437</v>
      </c>
      <c r="F2943" t="s">
        <v>31</v>
      </c>
      <c r="G2943" t="s">
        <v>2124</v>
      </c>
      <c r="H2943" t="s">
        <v>16</v>
      </c>
      <c r="I2943" s="26" t="s">
        <v>576</v>
      </c>
    </row>
    <row r="2944" spans="1:9" x14ac:dyDescent="0.3">
      <c r="A2944" s="24">
        <v>45370</v>
      </c>
      <c r="B2944" t="s">
        <v>113</v>
      </c>
      <c r="C2944" t="s">
        <v>29</v>
      </c>
      <c r="D2944">
        <v>0.97</v>
      </c>
      <c r="E2944" t="s">
        <v>437</v>
      </c>
      <c r="F2944" t="s">
        <v>31</v>
      </c>
      <c r="G2944" t="s">
        <v>131</v>
      </c>
      <c r="H2944" t="s">
        <v>16</v>
      </c>
      <c r="I2944" s="26" t="s">
        <v>576</v>
      </c>
    </row>
    <row r="2945" spans="1:9" x14ac:dyDescent="0.3">
      <c r="A2945" s="24">
        <v>45370</v>
      </c>
      <c r="B2945" t="s">
        <v>113</v>
      </c>
      <c r="C2945" t="s">
        <v>29</v>
      </c>
      <c r="D2945">
        <v>0.97</v>
      </c>
      <c r="E2945" t="s">
        <v>52</v>
      </c>
      <c r="F2945" t="s">
        <v>31</v>
      </c>
      <c r="G2945" t="s">
        <v>2125</v>
      </c>
      <c r="H2945" t="s">
        <v>16</v>
      </c>
      <c r="I2945" s="26" t="s">
        <v>576</v>
      </c>
    </row>
    <row r="2946" spans="1:9" x14ac:dyDescent="0.3">
      <c r="A2946" s="24">
        <v>45370</v>
      </c>
      <c r="B2946" t="s">
        <v>113</v>
      </c>
      <c r="C2946" t="s">
        <v>85</v>
      </c>
      <c r="D2946">
        <v>1.77</v>
      </c>
      <c r="E2946" t="s">
        <v>81</v>
      </c>
      <c r="F2946" t="s">
        <v>31</v>
      </c>
      <c r="G2946" t="s">
        <v>2126</v>
      </c>
      <c r="H2946" t="s">
        <v>16</v>
      </c>
      <c r="I2946" s="26" t="s">
        <v>576</v>
      </c>
    </row>
    <row r="2947" spans="1:9" x14ac:dyDescent="0.3">
      <c r="A2947" s="24">
        <v>45370</v>
      </c>
      <c r="B2947" t="s">
        <v>113</v>
      </c>
      <c r="C2947" t="s">
        <v>53</v>
      </c>
      <c r="D2947">
        <v>0.25</v>
      </c>
      <c r="E2947" t="s">
        <v>54</v>
      </c>
      <c r="F2947" t="s">
        <v>55</v>
      </c>
      <c r="G2947" t="s">
        <v>2127</v>
      </c>
      <c r="H2947" t="s">
        <v>16</v>
      </c>
      <c r="I2947" s="26" t="s">
        <v>576</v>
      </c>
    </row>
    <row r="2948" spans="1:9" x14ac:dyDescent="0.3">
      <c r="A2948" s="24">
        <v>45370</v>
      </c>
      <c r="B2948" t="s">
        <v>113</v>
      </c>
      <c r="C2948" t="s">
        <v>53</v>
      </c>
      <c r="D2948">
        <v>0.35</v>
      </c>
      <c r="E2948" t="s">
        <v>54</v>
      </c>
      <c r="F2948" t="s">
        <v>55</v>
      </c>
      <c r="G2948" t="s">
        <v>2128</v>
      </c>
      <c r="H2948" t="s">
        <v>16</v>
      </c>
      <c r="I2948" s="26" t="s">
        <v>576</v>
      </c>
    </row>
    <row r="2949" spans="1:9" x14ac:dyDescent="0.3">
      <c r="A2949" s="24">
        <v>45370</v>
      </c>
      <c r="B2949" t="s">
        <v>113</v>
      </c>
      <c r="C2949" t="s">
        <v>53</v>
      </c>
      <c r="D2949">
        <v>0.45</v>
      </c>
      <c r="E2949" t="s">
        <v>54</v>
      </c>
      <c r="F2949" t="s">
        <v>55</v>
      </c>
      <c r="G2949" t="s">
        <v>2129</v>
      </c>
      <c r="H2949" t="s">
        <v>16</v>
      </c>
      <c r="I2949" s="26" t="s">
        <v>576</v>
      </c>
    </row>
    <row r="2950" spans="1:9" x14ac:dyDescent="0.3">
      <c r="A2950" s="24">
        <v>45370</v>
      </c>
      <c r="B2950" t="s">
        <v>113</v>
      </c>
      <c r="C2950" t="s">
        <v>53</v>
      </c>
      <c r="D2950">
        <v>0.5</v>
      </c>
      <c r="E2950" t="s">
        <v>54</v>
      </c>
      <c r="F2950" t="s">
        <v>55</v>
      </c>
      <c r="G2950" t="s">
        <v>110</v>
      </c>
      <c r="H2950" t="s">
        <v>16</v>
      </c>
      <c r="I2950" s="26" t="s">
        <v>576</v>
      </c>
    </row>
    <row r="2951" spans="1:9" x14ac:dyDescent="0.3">
      <c r="A2951" s="24">
        <v>45370</v>
      </c>
      <c r="B2951" t="s">
        <v>113</v>
      </c>
      <c r="C2951" t="s">
        <v>53</v>
      </c>
      <c r="D2951">
        <v>0.55000000000000004</v>
      </c>
      <c r="E2951" t="s">
        <v>54</v>
      </c>
      <c r="F2951" t="s">
        <v>55</v>
      </c>
      <c r="G2951" t="s">
        <v>2130</v>
      </c>
      <c r="H2951" t="s">
        <v>16</v>
      </c>
      <c r="I2951" s="26" t="s">
        <v>576</v>
      </c>
    </row>
    <row r="2952" spans="1:9" x14ac:dyDescent="0.3">
      <c r="A2952" s="24">
        <v>45370</v>
      </c>
      <c r="B2952" t="s">
        <v>113</v>
      </c>
      <c r="C2952" t="s">
        <v>159</v>
      </c>
      <c r="D2952">
        <v>0.17</v>
      </c>
      <c r="E2952" t="s">
        <v>437</v>
      </c>
      <c r="F2952" t="s">
        <v>31</v>
      </c>
      <c r="G2952" t="s">
        <v>2131</v>
      </c>
      <c r="H2952" t="s">
        <v>16</v>
      </c>
      <c r="I2952" s="26" t="s">
        <v>576</v>
      </c>
    </row>
    <row r="2953" spans="1:9" x14ac:dyDescent="0.3">
      <c r="A2953" s="24">
        <v>45370</v>
      </c>
      <c r="B2953" t="s">
        <v>113</v>
      </c>
      <c r="C2953" t="s">
        <v>60</v>
      </c>
      <c r="D2953">
        <v>0.18</v>
      </c>
      <c r="E2953" t="s">
        <v>81</v>
      </c>
      <c r="F2953" t="s">
        <v>31</v>
      </c>
      <c r="G2953" t="s">
        <v>2132</v>
      </c>
      <c r="H2953" t="s">
        <v>16</v>
      </c>
      <c r="I2953" s="26" t="s">
        <v>576</v>
      </c>
    </row>
    <row r="2954" spans="1:9" x14ac:dyDescent="0.3">
      <c r="A2954" s="24">
        <v>45370</v>
      </c>
      <c r="B2954" t="s">
        <v>113</v>
      </c>
      <c r="C2954" t="s">
        <v>60</v>
      </c>
      <c r="D2954">
        <v>0.4</v>
      </c>
      <c r="E2954" t="s">
        <v>81</v>
      </c>
      <c r="F2954" t="s">
        <v>31</v>
      </c>
      <c r="G2954" t="s">
        <v>2133</v>
      </c>
      <c r="H2954" t="s">
        <v>16</v>
      </c>
      <c r="I2954" s="26" t="s">
        <v>576</v>
      </c>
    </row>
    <row r="2955" spans="1:9" x14ac:dyDescent="0.3">
      <c r="A2955" s="24">
        <v>45370</v>
      </c>
      <c r="B2955" t="s">
        <v>113</v>
      </c>
      <c r="C2955" t="s">
        <v>1408</v>
      </c>
      <c r="D2955">
        <v>0.68</v>
      </c>
      <c r="E2955" t="s">
        <v>1409</v>
      </c>
      <c r="F2955" t="s">
        <v>31</v>
      </c>
      <c r="G2955" t="s">
        <v>2134</v>
      </c>
      <c r="H2955" t="s">
        <v>16</v>
      </c>
      <c r="I2955" s="26" t="s">
        <v>576</v>
      </c>
    </row>
    <row r="2956" spans="1:9" x14ac:dyDescent="0.3">
      <c r="A2956" s="24">
        <v>45370</v>
      </c>
      <c r="B2956" t="s">
        <v>132</v>
      </c>
      <c r="C2956" t="s">
        <v>53</v>
      </c>
      <c r="D2956">
        <v>9.5</v>
      </c>
      <c r="E2956" t="s">
        <v>54</v>
      </c>
      <c r="F2956" t="s">
        <v>55</v>
      </c>
      <c r="G2956" t="s">
        <v>2135</v>
      </c>
      <c r="H2956" t="s">
        <v>16</v>
      </c>
      <c r="I2956" s="26" t="s">
        <v>576</v>
      </c>
    </row>
    <row r="2957" spans="1:9" x14ac:dyDescent="0.3">
      <c r="A2957" s="24">
        <v>45370</v>
      </c>
      <c r="B2957" t="s">
        <v>134</v>
      </c>
      <c r="C2957" t="s">
        <v>29</v>
      </c>
      <c r="D2957">
        <v>1</v>
      </c>
      <c r="E2957" t="s">
        <v>139</v>
      </c>
      <c r="F2957" t="s">
        <v>31</v>
      </c>
      <c r="G2957" t="s">
        <v>2136</v>
      </c>
      <c r="H2957" t="s">
        <v>16</v>
      </c>
      <c r="I2957" s="26" t="s">
        <v>576</v>
      </c>
    </row>
    <row r="2958" spans="1:9" x14ac:dyDescent="0.3">
      <c r="A2958" s="24">
        <v>45370</v>
      </c>
      <c r="B2958" t="s">
        <v>134</v>
      </c>
      <c r="C2958" t="s">
        <v>29</v>
      </c>
      <c r="D2958">
        <v>1.37</v>
      </c>
      <c r="E2958" t="s">
        <v>137</v>
      </c>
      <c r="F2958" t="s">
        <v>31</v>
      </c>
      <c r="G2958" t="s">
        <v>427</v>
      </c>
      <c r="H2958" t="s">
        <v>16</v>
      </c>
      <c r="I2958" s="26" t="s">
        <v>576</v>
      </c>
    </row>
    <row r="2959" spans="1:9" x14ac:dyDescent="0.3">
      <c r="A2959" s="24">
        <v>45370</v>
      </c>
      <c r="B2959" t="s">
        <v>134</v>
      </c>
      <c r="C2959" t="s">
        <v>29</v>
      </c>
      <c r="D2959">
        <v>2.08</v>
      </c>
      <c r="E2959" t="s">
        <v>139</v>
      </c>
      <c r="F2959" t="s">
        <v>31</v>
      </c>
      <c r="G2959" t="s">
        <v>2137</v>
      </c>
      <c r="H2959" t="s">
        <v>16</v>
      </c>
      <c r="I2959" s="26" t="s">
        <v>576</v>
      </c>
    </row>
    <row r="2960" spans="1:9" x14ac:dyDescent="0.3">
      <c r="A2960" s="24">
        <v>45370</v>
      </c>
      <c r="B2960" t="s">
        <v>134</v>
      </c>
      <c r="C2960" t="s">
        <v>29</v>
      </c>
      <c r="D2960">
        <v>3.55</v>
      </c>
      <c r="E2960" t="s">
        <v>135</v>
      </c>
      <c r="F2960" t="s">
        <v>31</v>
      </c>
      <c r="G2960" t="s">
        <v>2138</v>
      </c>
      <c r="H2960" t="s">
        <v>16</v>
      </c>
      <c r="I2960" s="26" t="s">
        <v>576</v>
      </c>
    </row>
    <row r="2961" spans="1:9" x14ac:dyDescent="0.3">
      <c r="A2961" s="24">
        <v>45370</v>
      </c>
      <c r="B2961" t="s">
        <v>150</v>
      </c>
      <c r="C2961" t="s">
        <v>29</v>
      </c>
      <c r="D2961">
        <v>0.27</v>
      </c>
      <c r="E2961" t="s">
        <v>151</v>
      </c>
      <c r="F2961" t="s">
        <v>31</v>
      </c>
      <c r="G2961" t="s">
        <v>2139</v>
      </c>
      <c r="H2961" t="s">
        <v>16</v>
      </c>
      <c r="I2961" s="26" t="s">
        <v>576</v>
      </c>
    </row>
    <row r="2962" spans="1:9" x14ac:dyDescent="0.3">
      <c r="A2962" s="24">
        <v>45370</v>
      </c>
      <c r="B2962" t="s">
        <v>150</v>
      </c>
      <c r="C2962" t="s">
        <v>29</v>
      </c>
      <c r="D2962">
        <v>0.38</v>
      </c>
      <c r="E2962" t="s">
        <v>151</v>
      </c>
      <c r="F2962" t="s">
        <v>55</v>
      </c>
      <c r="G2962" t="s">
        <v>2140</v>
      </c>
      <c r="H2962" t="s">
        <v>16</v>
      </c>
      <c r="I2962" s="26" t="s">
        <v>576</v>
      </c>
    </row>
    <row r="2963" spans="1:9" x14ac:dyDescent="0.3">
      <c r="A2963" s="24">
        <v>45370</v>
      </c>
      <c r="B2963" t="s">
        <v>150</v>
      </c>
      <c r="C2963" t="s">
        <v>29</v>
      </c>
      <c r="D2963">
        <v>0.4</v>
      </c>
      <c r="E2963" t="s">
        <v>151</v>
      </c>
      <c r="F2963" t="s">
        <v>55</v>
      </c>
      <c r="H2963" t="s">
        <v>16</v>
      </c>
      <c r="I2963" s="26" t="s">
        <v>576</v>
      </c>
    </row>
    <row r="2964" spans="1:9" x14ac:dyDescent="0.3">
      <c r="A2964" s="24">
        <v>45370</v>
      </c>
      <c r="B2964" t="s">
        <v>150</v>
      </c>
      <c r="C2964" t="s">
        <v>29</v>
      </c>
      <c r="D2964">
        <v>1</v>
      </c>
      <c r="E2964" t="s">
        <v>151</v>
      </c>
      <c r="F2964" t="s">
        <v>55</v>
      </c>
      <c r="G2964" t="s">
        <v>2141</v>
      </c>
      <c r="H2964" t="s">
        <v>16</v>
      </c>
      <c r="I2964" s="26" t="s">
        <v>576</v>
      </c>
    </row>
    <row r="2965" spans="1:9" x14ac:dyDescent="0.3">
      <c r="A2965" s="24">
        <v>45370</v>
      </c>
      <c r="B2965" t="s">
        <v>150</v>
      </c>
      <c r="C2965" t="s">
        <v>53</v>
      </c>
      <c r="D2965">
        <v>0.4</v>
      </c>
      <c r="E2965" t="s">
        <v>54</v>
      </c>
      <c r="F2965" t="s">
        <v>55</v>
      </c>
      <c r="G2965" t="s">
        <v>2142</v>
      </c>
      <c r="H2965" t="s">
        <v>16</v>
      </c>
      <c r="I2965" s="26" t="s">
        <v>576</v>
      </c>
    </row>
    <row r="2966" spans="1:9" x14ac:dyDescent="0.3">
      <c r="A2966" s="24">
        <v>45370</v>
      </c>
      <c r="B2966" t="s">
        <v>150</v>
      </c>
      <c r="C2966" t="s">
        <v>60</v>
      </c>
      <c r="D2966">
        <v>6</v>
      </c>
      <c r="E2966" t="s">
        <v>162</v>
      </c>
      <c r="F2966" t="s">
        <v>31</v>
      </c>
      <c r="G2966" t="s">
        <v>624</v>
      </c>
      <c r="H2966" t="s">
        <v>16</v>
      </c>
      <c r="I2966" s="26" t="s">
        <v>576</v>
      </c>
    </row>
    <row r="2967" spans="1:9" x14ac:dyDescent="0.3">
      <c r="A2967" s="24">
        <v>45370</v>
      </c>
      <c r="B2967" t="s">
        <v>164</v>
      </c>
      <c r="C2967" t="s">
        <v>29</v>
      </c>
      <c r="D2967">
        <v>0.68</v>
      </c>
      <c r="E2967" t="s">
        <v>96</v>
      </c>
      <c r="F2967" t="s">
        <v>31</v>
      </c>
      <c r="G2967" t="s">
        <v>2143</v>
      </c>
      <c r="H2967" t="s">
        <v>16</v>
      </c>
      <c r="I2967" s="26" t="s">
        <v>576</v>
      </c>
    </row>
    <row r="2968" spans="1:9" x14ac:dyDescent="0.3">
      <c r="A2968" s="24">
        <v>45370</v>
      </c>
      <c r="B2968" t="s">
        <v>164</v>
      </c>
      <c r="C2968" t="s">
        <v>29</v>
      </c>
      <c r="D2968">
        <v>0.75</v>
      </c>
      <c r="E2968" t="s">
        <v>96</v>
      </c>
      <c r="F2968" t="s">
        <v>31</v>
      </c>
      <c r="H2968" t="s">
        <v>16</v>
      </c>
      <c r="I2968" s="26" t="s">
        <v>576</v>
      </c>
    </row>
    <row r="2969" spans="1:9" x14ac:dyDescent="0.3">
      <c r="A2969" s="24">
        <v>45370</v>
      </c>
      <c r="B2969" t="s">
        <v>164</v>
      </c>
      <c r="C2969" t="s">
        <v>29</v>
      </c>
      <c r="D2969">
        <v>0.87</v>
      </c>
      <c r="E2969" t="s">
        <v>96</v>
      </c>
      <c r="F2969" t="s">
        <v>31</v>
      </c>
      <c r="G2969" t="s">
        <v>2144</v>
      </c>
      <c r="H2969" t="s">
        <v>16</v>
      </c>
      <c r="I2969" s="26" t="s">
        <v>576</v>
      </c>
    </row>
    <row r="2970" spans="1:9" x14ac:dyDescent="0.3">
      <c r="A2970" s="24">
        <v>45370</v>
      </c>
      <c r="B2970" t="s">
        <v>164</v>
      </c>
      <c r="C2970" t="s">
        <v>29</v>
      </c>
      <c r="D2970">
        <v>2.85</v>
      </c>
      <c r="E2970" t="s">
        <v>96</v>
      </c>
      <c r="F2970" t="s">
        <v>31</v>
      </c>
      <c r="G2970" t="s">
        <v>2145</v>
      </c>
      <c r="H2970" t="s">
        <v>16</v>
      </c>
      <c r="I2970" s="26" t="s">
        <v>576</v>
      </c>
    </row>
    <row r="2971" spans="1:9" x14ac:dyDescent="0.3">
      <c r="A2971" s="24">
        <v>45370</v>
      </c>
      <c r="B2971" t="s">
        <v>164</v>
      </c>
      <c r="C2971" t="s">
        <v>53</v>
      </c>
      <c r="D2971">
        <v>0.5</v>
      </c>
      <c r="E2971" t="s">
        <v>54</v>
      </c>
      <c r="F2971" t="s">
        <v>55</v>
      </c>
      <c r="G2971" t="s">
        <v>1722</v>
      </c>
      <c r="H2971" t="s">
        <v>16</v>
      </c>
      <c r="I2971" s="26" t="s">
        <v>576</v>
      </c>
    </row>
    <row r="2972" spans="1:9" x14ac:dyDescent="0.3">
      <c r="A2972" s="24">
        <v>45370</v>
      </c>
      <c r="B2972" t="s">
        <v>164</v>
      </c>
      <c r="C2972" t="s">
        <v>53</v>
      </c>
      <c r="D2972">
        <v>0.57999999999999996</v>
      </c>
      <c r="E2972" t="s">
        <v>54</v>
      </c>
      <c r="F2972" t="s">
        <v>55</v>
      </c>
      <c r="G2972" t="s">
        <v>2146</v>
      </c>
      <c r="H2972" t="s">
        <v>16</v>
      </c>
      <c r="I2972" s="26" t="s">
        <v>576</v>
      </c>
    </row>
    <row r="2973" spans="1:9" x14ac:dyDescent="0.3">
      <c r="A2973" s="24">
        <v>45370</v>
      </c>
      <c r="B2973" t="s">
        <v>164</v>
      </c>
      <c r="C2973" t="s">
        <v>53</v>
      </c>
      <c r="D2973">
        <v>1.03</v>
      </c>
      <c r="E2973" t="s">
        <v>54</v>
      </c>
      <c r="F2973" t="s">
        <v>55</v>
      </c>
      <c r="G2973" t="s">
        <v>2147</v>
      </c>
      <c r="H2973" t="s">
        <v>16</v>
      </c>
      <c r="I2973" s="26" t="s">
        <v>576</v>
      </c>
    </row>
    <row r="2974" spans="1:9" x14ac:dyDescent="0.3">
      <c r="A2974" s="24">
        <v>45370</v>
      </c>
      <c r="B2974" t="s">
        <v>164</v>
      </c>
      <c r="C2974" t="s">
        <v>148</v>
      </c>
      <c r="D2974">
        <v>0.22</v>
      </c>
      <c r="E2974" t="s">
        <v>54</v>
      </c>
      <c r="F2974" t="s">
        <v>55</v>
      </c>
      <c r="G2974" t="s">
        <v>2148</v>
      </c>
      <c r="H2974" t="s">
        <v>16</v>
      </c>
      <c r="I2974" s="26" t="s">
        <v>576</v>
      </c>
    </row>
    <row r="2975" spans="1:9" x14ac:dyDescent="0.3">
      <c r="A2975" s="24">
        <v>45370</v>
      </c>
      <c r="B2975" t="s">
        <v>164</v>
      </c>
      <c r="C2975" t="s">
        <v>60</v>
      </c>
      <c r="D2975">
        <v>0.53</v>
      </c>
      <c r="E2975" t="s">
        <v>170</v>
      </c>
      <c r="F2975" t="s">
        <v>55</v>
      </c>
      <c r="G2975" t="s">
        <v>2149</v>
      </c>
      <c r="H2975" t="s">
        <v>16</v>
      </c>
      <c r="I2975" s="26" t="s">
        <v>576</v>
      </c>
    </row>
    <row r="2976" spans="1:9" x14ac:dyDescent="0.3">
      <c r="A2976" s="24">
        <v>45370</v>
      </c>
      <c r="B2976" t="s">
        <v>169</v>
      </c>
      <c r="C2976" t="s">
        <v>29</v>
      </c>
      <c r="D2976">
        <v>0.47</v>
      </c>
      <c r="E2976" t="s">
        <v>35</v>
      </c>
      <c r="F2976" t="s">
        <v>31</v>
      </c>
      <c r="G2976" t="s">
        <v>63</v>
      </c>
      <c r="H2976" t="s">
        <v>16</v>
      </c>
      <c r="I2976" s="26" t="s">
        <v>576</v>
      </c>
    </row>
    <row r="2977" spans="1:9" x14ac:dyDescent="0.3">
      <c r="A2977" s="24">
        <v>45370</v>
      </c>
      <c r="B2977" t="s">
        <v>169</v>
      </c>
      <c r="C2977" t="s">
        <v>29</v>
      </c>
      <c r="D2977">
        <v>7.4</v>
      </c>
      <c r="E2977" t="s">
        <v>170</v>
      </c>
      <c r="F2977" t="s">
        <v>31</v>
      </c>
      <c r="H2977" t="s">
        <v>16</v>
      </c>
      <c r="I2977" s="26" t="s">
        <v>576</v>
      </c>
    </row>
    <row r="2978" spans="1:9" x14ac:dyDescent="0.3">
      <c r="A2978" s="24">
        <v>45370</v>
      </c>
      <c r="B2978" t="s">
        <v>169</v>
      </c>
      <c r="C2978" t="s">
        <v>58</v>
      </c>
      <c r="D2978">
        <v>0.17</v>
      </c>
      <c r="E2978" t="s">
        <v>54</v>
      </c>
      <c r="F2978" t="s">
        <v>55</v>
      </c>
      <c r="G2978" t="s">
        <v>2150</v>
      </c>
      <c r="H2978" t="s">
        <v>16</v>
      </c>
      <c r="I2978" s="26" t="s">
        <v>576</v>
      </c>
    </row>
    <row r="2979" spans="1:9" x14ac:dyDescent="0.3">
      <c r="A2979" s="24">
        <v>45370</v>
      </c>
      <c r="B2979" t="s">
        <v>175</v>
      </c>
      <c r="C2979" t="s">
        <v>29</v>
      </c>
      <c r="D2979">
        <v>0.33</v>
      </c>
      <c r="E2979" t="s">
        <v>54</v>
      </c>
      <c r="F2979" t="s">
        <v>55</v>
      </c>
      <c r="H2979" t="s">
        <v>16</v>
      </c>
      <c r="I2979" s="26" t="s">
        <v>576</v>
      </c>
    </row>
    <row r="2980" spans="1:9" x14ac:dyDescent="0.3">
      <c r="A2980" s="24">
        <v>45370</v>
      </c>
      <c r="B2980" t="s">
        <v>175</v>
      </c>
      <c r="C2980" t="s">
        <v>29</v>
      </c>
      <c r="D2980">
        <v>0.35</v>
      </c>
      <c r="E2980" t="s">
        <v>179</v>
      </c>
      <c r="F2980" t="s">
        <v>31</v>
      </c>
      <c r="G2980" t="s">
        <v>2151</v>
      </c>
      <c r="H2980" t="s">
        <v>16</v>
      </c>
      <c r="I2980" s="26" t="s">
        <v>576</v>
      </c>
    </row>
    <row r="2981" spans="1:9" x14ac:dyDescent="0.3">
      <c r="A2981" s="24">
        <v>45370</v>
      </c>
      <c r="B2981" t="s">
        <v>175</v>
      </c>
      <c r="C2981" t="s">
        <v>29</v>
      </c>
      <c r="D2981">
        <v>0.63</v>
      </c>
      <c r="E2981" t="s">
        <v>179</v>
      </c>
      <c r="F2981" t="s">
        <v>31</v>
      </c>
      <c r="H2981" t="s">
        <v>16</v>
      </c>
      <c r="I2981" s="26" t="s">
        <v>576</v>
      </c>
    </row>
    <row r="2982" spans="1:9" x14ac:dyDescent="0.3">
      <c r="A2982" s="24">
        <v>45370</v>
      </c>
      <c r="B2982" t="s">
        <v>175</v>
      </c>
      <c r="C2982" t="s">
        <v>29</v>
      </c>
      <c r="D2982">
        <v>0.78</v>
      </c>
      <c r="E2982" t="s">
        <v>185</v>
      </c>
      <c r="F2982" t="s">
        <v>31</v>
      </c>
      <c r="H2982" t="s">
        <v>16</v>
      </c>
      <c r="I2982" s="26" t="s">
        <v>576</v>
      </c>
    </row>
    <row r="2983" spans="1:9" x14ac:dyDescent="0.3">
      <c r="A2983" s="24">
        <v>45370</v>
      </c>
      <c r="B2983" t="s">
        <v>175</v>
      </c>
      <c r="C2983" t="s">
        <v>29</v>
      </c>
      <c r="D2983">
        <v>1.33</v>
      </c>
      <c r="E2983" t="s">
        <v>127</v>
      </c>
      <c r="F2983" t="s">
        <v>31</v>
      </c>
      <c r="H2983" t="s">
        <v>16</v>
      </c>
      <c r="I2983" s="26" t="s">
        <v>576</v>
      </c>
    </row>
    <row r="2984" spans="1:9" x14ac:dyDescent="0.3">
      <c r="A2984" s="24">
        <v>45370</v>
      </c>
      <c r="B2984" t="s">
        <v>175</v>
      </c>
      <c r="C2984" t="s">
        <v>29</v>
      </c>
      <c r="D2984">
        <v>1.92</v>
      </c>
      <c r="E2984" t="s">
        <v>177</v>
      </c>
      <c r="F2984" t="s">
        <v>31</v>
      </c>
      <c r="H2984" t="s">
        <v>16</v>
      </c>
      <c r="I2984" s="26" t="s">
        <v>576</v>
      </c>
    </row>
    <row r="2985" spans="1:9" x14ac:dyDescent="0.3">
      <c r="A2985" s="24">
        <v>45370</v>
      </c>
      <c r="B2985" t="s">
        <v>175</v>
      </c>
      <c r="C2985" t="s">
        <v>29</v>
      </c>
      <c r="D2985">
        <v>2.4700000000000002</v>
      </c>
      <c r="E2985" t="s">
        <v>182</v>
      </c>
      <c r="F2985" t="s">
        <v>31</v>
      </c>
      <c r="H2985" t="s">
        <v>16</v>
      </c>
      <c r="I2985" s="26" t="s">
        <v>576</v>
      </c>
    </row>
    <row r="2986" spans="1:9" x14ac:dyDescent="0.3">
      <c r="A2986" s="24">
        <v>45370</v>
      </c>
      <c r="B2986" t="s">
        <v>175</v>
      </c>
      <c r="C2986" t="s">
        <v>58</v>
      </c>
      <c r="D2986">
        <v>0.18</v>
      </c>
      <c r="E2986" t="s">
        <v>54</v>
      </c>
      <c r="F2986" t="s">
        <v>55</v>
      </c>
      <c r="G2986" t="s">
        <v>2152</v>
      </c>
      <c r="H2986" t="s">
        <v>16</v>
      </c>
      <c r="I2986" s="26" t="s">
        <v>576</v>
      </c>
    </row>
    <row r="2987" spans="1:9" x14ac:dyDescent="0.3">
      <c r="A2987" s="24">
        <v>45370</v>
      </c>
      <c r="B2987" t="s">
        <v>188</v>
      </c>
      <c r="C2987" t="s">
        <v>454</v>
      </c>
      <c r="D2987">
        <v>8</v>
      </c>
      <c r="E2987" t="s">
        <v>54</v>
      </c>
      <c r="F2987" t="s">
        <v>55</v>
      </c>
      <c r="G2987" t="s">
        <v>2015</v>
      </c>
      <c r="H2987" t="s">
        <v>16</v>
      </c>
      <c r="I2987" s="26" t="s">
        <v>576</v>
      </c>
    </row>
    <row r="2988" spans="1:9" x14ac:dyDescent="0.3">
      <c r="A2988" s="24">
        <v>45370</v>
      </c>
      <c r="B2988" t="s">
        <v>190</v>
      </c>
      <c r="C2988" t="s">
        <v>89</v>
      </c>
      <c r="D2988">
        <v>8</v>
      </c>
      <c r="E2988" t="s">
        <v>54</v>
      </c>
      <c r="F2988" t="s">
        <v>55</v>
      </c>
      <c r="H2988" t="s">
        <v>16</v>
      </c>
      <c r="I2988" s="26" t="s">
        <v>576</v>
      </c>
    </row>
    <row r="2989" spans="1:9" x14ac:dyDescent="0.3">
      <c r="A2989" s="24">
        <v>45370</v>
      </c>
      <c r="B2989" t="s">
        <v>191</v>
      </c>
      <c r="C2989" t="s">
        <v>89</v>
      </c>
      <c r="D2989">
        <v>8</v>
      </c>
      <c r="E2989" t="s">
        <v>54</v>
      </c>
      <c r="F2989" t="s">
        <v>55</v>
      </c>
      <c r="G2989" t="s">
        <v>2153</v>
      </c>
      <c r="H2989" t="s">
        <v>16</v>
      </c>
      <c r="I2989" s="26" t="s">
        <v>576</v>
      </c>
    </row>
    <row r="2990" spans="1:9" x14ac:dyDescent="0.3">
      <c r="A2990" s="24">
        <v>45370</v>
      </c>
      <c r="B2990" t="s">
        <v>193</v>
      </c>
      <c r="C2990" t="s">
        <v>29</v>
      </c>
      <c r="D2990">
        <v>0.15</v>
      </c>
      <c r="E2990" t="s">
        <v>205</v>
      </c>
      <c r="F2990" t="s">
        <v>31</v>
      </c>
      <c r="G2990" t="s">
        <v>2154</v>
      </c>
      <c r="H2990" t="s">
        <v>16</v>
      </c>
      <c r="I2990" s="26" t="s">
        <v>576</v>
      </c>
    </row>
    <row r="2991" spans="1:9" x14ac:dyDescent="0.3">
      <c r="A2991" s="24">
        <v>45370</v>
      </c>
      <c r="B2991" t="s">
        <v>193</v>
      </c>
      <c r="C2991" t="s">
        <v>29</v>
      </c>
      <c r="D2991">
        <v>0.2</v>
      </c>
      <c r="E2991" t="s">
        <v>953</v>
      </c>
      <c r="F2991" t="s">
        <v>31</v>
      </c>
      <c r="G2991" t="s">
        <v>2155</v>
      </c>
      <c r="H2991" t="s">
        <v>16</v>
      </c>
      <c r="I2991" s="26" t="s">
        <v>576</v>
      </c>
    </row>
    <row r="2992" spans="1:9" x14ac:dyDescent="0.3">
      <c r="A2992" s="24">
        <v>45370</v>
      </c>
      <c r="B2992" t="s">
        <v>193</v>
      </c>
      <c r="C2992" t="s">
        <v>29</v>
      </c>
      <c r="D2992">
        <v>0.75</v>
      </c>
      <c r="E2992" t="s">
        <v>203</v>
      </c>
      <c r="F2992" t="s">
        <v>31</v>
      </c>
      <c r="G2992" t="s">
        <v>2156</v>
      </c>
      <c r="H2992" t="s">
        <v>16</v>
      </c>
      <c r="I2992" s="26" t="s">
        <v>576</v>
      </c>
    </row>
    <row r="2993" spans="1:9" x14ac:dyDescent="0.3">
      <c r="A2993" s="24">
        <v>45370</v>
      </c>
      <c r="B2993" t="s">
        <v>193</v>
      </c>
      <c r="C2993" t="s">
        <v>197</v>
      </c>
      <c r="D2993">
        <v>0.37</v>
      </c>
      <c r="E2993" t="s">
        <v>54</v>
      </c>
      <c r="F2993" t="s">
        <v>55</v>
      </c>
      <c r="G2993" t="s">
        <v>2157</v>
      </c>
      <c r="H2993" t="s">
        <v>16</v>
      </c>
      <c r="I2993" s="26" t="s">
        <v>576</v>
      </c>
    </row>
    <row r="2994" spans="1:9" x14ac:dyDescent="0.3">
      <c r="A2994" s="24">
        <v>45370</v>
      </c>
      <c r="B2994" t="s">
        <v>193</v>
      </c>
      <c r="C2994" t="s">
        <v>197</v>
      </c>
      <c r="D2994">
        <v>0.4</v>
      </c>
      <c r="E2994" t="s">
        <v>54</v>
      </c>
      <c r="F2994" t="s">
        <v>55</v>
      </c>
      <c r="G2994" t="s">
        <v>2158</v>
      </c>
      <c r="H2994" t="s">
        <v>16</v>
      </c>
      <c r="I2994" s="26" t="s">
        <v>576</v>
      </c>
    </row>
    <row r="2995" spans="1:9" x14ac:dyDescent="0.3">
      <c r="A2995" s="24">
        <v>45370</v>
      </c>
      <c r="B2995" t="s">
        <v>193</v>
      </c>
      <c r="C2995" t="s">
        <v>202</v>
      </c>
      <c r="D2995">
        <v>7.0000000000000007E-2</v>
      </c>
      <c r="E2995" t="s">
        <v>195</v>
      </c>
      <c r="F2995" t="s">
        <v>31</v>
      </c>
      <c r="G2995" t="s">
        <v>2159</v>
      </c>
      <c r="H2995" t="s">
        <v>16</v>
      </c>
      <c r="I2995" s="26" t="s">
        <v>576</v>
      </c>
    </row>
    <row r="2996" spans="1:9" x14ac:dyDescent="0.3">
      <c r="A2996" s="24">
        <v>45370</v>
      </c>
      <c r="B2996" t="s">
        <v>193</v>
      </c>
      <c r="C2996" t="s">
        <v>202</v>
      </c>
      <c r="D2996">
        <v>0.35</v>
      </c>
      <c r="E2996" t="s">
        <v>195</v>
      </c>
      <c r="F2996" t="s">
        <v>31</v>
      </c>
      <c r="G2996" t="s">
        <v>2160</v>
      </c>
      <c r="H2996" t="s">
        <v>16</v>
      </c>
      <c r="I2996" s="26" t="s">
        <v>576</v>
      </c>
    </row>
    <row r="2997" spans="1:9" x14ac:dyDescent="0.3">
      <c r="A2997" s="24">
        <v>45370</v>
      </c>
      <c r="B2997" t="s">
        <v>193</v>
      </c>
      <c r="C2997" t="s">
        <v>53</v>
      </c>
      <c r="D2997">
        <v>0.13</v>
      </c>
      <c r="E2997" t="s">
        <v>54</v>
      </c>
      <c r="F2997" t="s">
        <v>55</v>
      </c>
      <c r="G2997" t="s">
        <v>651</v>
      </c>
      <c r="H2997" t="s">
        <v>16</v>
      </c>
      <c r="I2997" s="26" t="s">
        <v>576</v>
      </c>
    </row>
    <row r="2998" spans="1:9" x14ac:dyDescent="0.3">
      <c r="A2998" s="24">
        <v>45370</v>
      </c>
      <c r="B2998" t="s">
        <v>193</v>
      </c>
      <c r="C2998" t="s">
        <v>53</v>
      </c>
      <c r="D2998">
        <v>0.2</v>
      </c>
      <c r="E2998" t="s">
        <v>54</v>
      </c>
      <c r="F2998" t="s">
        <v>55</v>
      </c>
      <c r="G2998" t="s">
        <v>2161</v>
      </c>
      <c r="H2998" t="s">
        <v>16</v>
      </c>
      <c r="I2998" s="26" t="s">
        <v>576</v>
      </c>
    </row>
    <row r="2999" spans="1:9" x14ac:dyDescent="0.3">
      <c r="A2999" s="24">
        <v>45370</v>
      </c>
      <c r="B2999" t="s">
        <v>193</v>
      </c>
      <c r="C2999" t="s">
        <v>53</v>
      </c>
      <c r="D2999">
        <v>0.42</v>
      </c>
      <c r="E2999" t="s">
        <v>54</v>
      </c>
      <c r="F2999" t="s">
        <v>55</v>
      </c>
      <c r="G2999" t="s">
        <v>2162</v>
      </c>
      <c r="H2999" t="s">
        <v>16</v>
      </c>
      <c r="I2999" s="26" t="s">
        <v>576</v>
      </c>
    </row>
    <row r="3000" spans="1:9" x14ac:dyDescent="0.3">
      <c r="A3000" s="24">
        <v>45370</v>
      </c>
      <c r="B3000" t="s">
        <v>193</v>
      </c>
      <c r="C3000" t="s">
        <v>53</v>
      </c>
      <c r="D3000">
        <v>0.56999999999999995</v>
      </c>
      <c r="E3000" t="s">
        <v>54</v>
      </c>
      <c r="F3000" t="s">
        <v>55</v>
      </c>
      <c r="G3000" t="s">
        <v>2163</v>
      </c>
      <c r="H3000" t="s">
        <v>16</v>
      </c>
      <c r="I3000" s="26" t="s">
        <v>576</v>
      </c>
    </row>
    <row r="3001" spans="1:9" x14ac:dyDescent="0.3">
      <c r="A3001" s="24">
        <v>45370</v>
      </c>
      <c r="B3001" t="s">
        <v>193</v>
      </c>
      <c r="C3001" t="s">
        <v>53</v>
      </c>
      <c r="D3001">
        <v>0.67</v>
      </c>
      <c r="E3001" t="s">
        <v>54</v>
      </c>
      <c r="F3001" t="s">
        <v>55</v>
      </c>
      <c r="G3001" t="s">
        <v>2164</v>
      </c>
      <c r="H3001" t="s">
        <v>16</v>
      </c>
      <c r="I3001" s="26" t="s">
        <v>576</v>
      </c>
    </row>
    <row r="3002" spans="1:9" x14ac:dyDescent="0.3">
      <c r="A3002" s="24">
        <v>45370</v>
      </c>
      <c r="B3002" t="s">
        <v>193</v>
      </c>
      <c r="C3002" t="s">
        <v>232</v>
      </c>
      <c r="D3002">
        <v>0.38</v>
      </c>
      <c r="E3002" t="s">
        <v>106</v>
      </c>
      <c r="F3002" t="s">
        <v>31</v>
      </c>
      <c r="G3002" t="s">
        <v>2165</v>
      </c>
      <c r="H3002" t="s">
        <v>16</v>
      </c>
      <c r="I3002" s="26" t="s">
        <v>576</v>
      </c>
    </row>
    <row r="3003" spans="1:9" x14ac:dyDescent="0.3">
      <c r="A3003" s="24">
        <v>45370</v>
      </c>
      <c r="B3003" t="s">
        <v>193</v>
      </c>
      <c r="C3003" t="s">
        <v>60</v>
      </c>
      <c r="D3003">
        <v>0.22</v>
      </c>
      <c r="E3003" t="s">
        <v>81</v>
      </c>
      <c r="F3003" t="s">
        <v>31</v>
      </c>
      <c r="G3003" t="s">
        <v>2166</v>
      </c>
      <c r="H3003" t="s">
        <v>16</v>
      </c>
      <c r="I3003" s="26" t="s">
        <v>576</v>
      </c>
    </row>
    <row r="3004" spans="1:9" x14ac:dyDescent="0.3">
      <c r="A3004" s="24">
        <v>45370</v>
      </c>
      <c r="B3004" t="s">
        <v>193</v>
      </c>
      <c r="C3004" t="s">
        <v>60</v>
      </c>
      <c r="D3004">
        <v>0.38</v>
      </c>
      <c r="E3004" t="s">
        <v>657</v>
      </c>
      <c r="F3004" t="s">
        <v>31</v>
      </c>
      <c r="G3004" t="s">
        <v>2167</v>
      </c>
      <c r="H3004" t="s">
        <v>16</v>
      </c>
      <c r="I3004" s="26" t="s">
        <v>576</v>
      </c>
    </row>
    <row r="3005" spans="1:9" x14ac:dyDescent="0.3">
      <c r="A3005" s="24">
        <v>45370</v>
      </c>
      <c r="B3005" t="s">
        <v>193</v>
      </c>
      <c r="C3005" t="s">
        <v>60</v>
      </c>
      <c r="D3005">
        <v>0.42</v>
      </c>
      <c r="E3005" t="s">
        <v>162</v>
      </c>
      <c r="F3005" t="s">
        <v>31</v>
      </c>
      <c r="G3005" t="s">
        <v>2168</v>
      </c>
      <c r="H3005" t="s">
        <v>16</v>
      </c>
      <c r="I3005" s="26" t="s">
        <v>576</v>
      </c>
    </row>
    <row r="3006" spans="1:9" x14ac:dyDescent="0.3">
      <c r="A3006" s="24">
        <v>45370</v>
      </c>
      <c r="B3006" t="s">
        <v>193</v>
      </c>
      <c r="C3006" t="s">
        <v>60</v>
      </c>
      <c r="D3006">
        <v>0.5</v>
      </c>
      <c r="E3006" t="s">
        <v>81</v>
      </c>
      <c r="F3006" t="s">
        <v>31</v>
      </c>
      <c r="G3006" t="s">
        <v>2169</v>
      </c>
      <c r="H3006" t="s">
        <v>16</v>
      </c>
      <c r="I3006" s="26" t="s">
        <v>576</v>
      </c>
    </row>
    <row r="3007" spans="1:9" x14ac:dyDescent="0.3">
      <c r="A3007" s="24">
        <v>45370</v>
      </c>
      <c r="B3007" t="s">
        <v>193</v>
      </c>
      <c r="C3007" t="s">
        <v>60</v>
      </c>
      <c r="D3007">
        <v>2</v>
      </c>
      <c r="E3007" t="s">
        <v>162</v>
      </c>
      <c r="F3007" t="s">
        <v>31</v>
      </c>
      <c r="G3007" t="s">
        <v>2170</v>
      </c>
      <c r="H3007" t="s">
        <v>16</v>
      </c>
      <c r="I3007" s="26" t="s">
        <v>576</v>
      </c>
    </row>
    <row r="3008" spans="1:9" x14ac:dyDescent="0.3">
      <c r="A3008" s="24">
        <v>45370</v>
      </c>
      <c r="B3008" t="s">
        <v>212</v>
      </c>
      <c r="C3008" t="s">
        <v>85</v>
      </c>
      <c r="D3008">
        <v>0.08</v>
      </c>
      <c r="E3008" t="s">
        <v>139</v>
      </c>
      <c r="F3008" t="s">
        <v>55</v>
      </c>
      <c r="G3008" t="s">
        <v>973</v>
      </c>
      <c r="H3008" t="s">
        <v>16</v>
      </c>
      <c r="I3008" s="26" t="s">
        <v>576</v>
      </c>
    </row>
    <row r="3009" spans="1:9" x14ac:dyDescent="0.3">
      <c r="A3009" s="24">
        <v>45370</v>
      </c>
      <c r="B3009" t="s">
        <v>212</v>
      </c>
      <c r="C3009" t="s">
        <v>85</v>
      </c>
      <c r="D3009">
        <v>0.08</v>
      </c>
      <c r="E3009" t="s">
        <v>214</v>
      </c>
      <c r="F3009" t="s">
        <v>55</v>
      </c>
      <c r="G3009" t="s">
        <v>215</v>
      </c>
      <c r="H3009" t="s">
        <v>16</v>
      </c>
      <c r="I3009" s="26" t="s">
        <v>576</v>
      </c>
    </row>
    <row r="3010" spans="1:9" x14ac:dyDescent="0.3">
      <c r="A3010" s="24">
        <v>45370</v>
      </c>
      <c r="B3010" t="s">
        <v>212</v>
      </c>
      <c r="C3010" t="s">
        <v>85</v>
      </c>
      <c r="D3010">
        <v>0.18</v>
      </c>
      <c r="E3010" t="s">
        <v>81</v>
      </c>
      <c r="F3010" t="s">
        <v>55</v>
      </c>
      <c r="G3010" t="s">
        <v>2171</v>
      </c>
      <c r="H3010" t="s">
        <v>16</v>
      </c>
      <c r="I3010" s="26" t="s">
        <v>576</v>
      </c>
    </row>
    <row r="3011" spans="1:9" x14ac:dyDescent="0.3">
      <c r="A3011" s="24">
        <v>45370</v>
      </c>
      <c r="B3011" t="s">
        <v>212</v>
      </c>
      <c r="C3011" t="s">
        <v>85</v>
      </c>
      <c r="D3011">
        <v>0.22</v>
      </c>
      <c r="E3011" t="s">
        <v>54</v>
      </c>
      <c r="F3011" t="s">
        <v>55</v>
      </c>
      <c r="G3011" t="s">
        <v>2172</v>
      </c>
      <c r="H3011" t="s">
        <v>16</v>
      </c>
      <c r="I3011" s="26" t="s">
        <v>576</v>
      </c>
    </row>
    <row r="3012" spans="1:9" x14ac:dyDescent="0.3">
      <c r="A3012" s="24">
        <v>45370</v>
      </c>
      <c r="B3012" t="s">
        <v>212</v>
      </c>
      <c r="C3012" t="s">
        <v>85</v>
      </c>
      <c r="D3012">
        <v>0.23</v>
      </c>
      <c r="E3012" t="s">
        <v>524</v>
      </c>
      <c r="F3012" t="s">
        <v>55</v>
      </c>
      <c r="G3012" t="s">
        <v>2173</v>
      </c>
      <c r="H3012" t="s">
        <v>16</v>
      </c>
      <c r="I3012" s="26" t="s">
        <v>576</v>
      </c>
    </row>
    <row r="3013" spans="1:9" x14ac:dyDescent="0.3">
      <c r="A3013" s="24">
        <v>45370</v>
      </c>
      <c r="B3013" t="s">
        <v>212</v>
      </c>
      <c r="C3013" t="s">
        <v>85</v>
      </c>
      <c r="D3013">
        <v>0.25</v>
      </c>
      <c r="E3013" t="s">
        <v>81</v>
      </c>
      <c r="F3013" t="s">
        <v>55</v>
      </c>
      <c r="G3013" t="s">
        <v>2174</v>
      </c>
      <c r="H3013" t="s">
        <v>16</v>
      </c>
      <c r="I3013" s="26" t="s">
        <v>576</v>
      </c>
    </row>
    <row r="3014" spans="1:9" x14ac:dyDescent="0.3">
      <c r="A3014" s="24">
        <v>45370</v>
      </c>
      <c r="B3014" t="s">
        <v>212</v>
      </c>
      <c r="C3014" t="s">
        <v>85</v>
      </c>
      <c r="D3014">
        <v>0.25</v>
      </c>
      <c r="E3014" t="s">
        <v>35</v>
      </c>
      <c r="F3014" t="s">
        <v>55</v>
      </c>
      <c r="G3014" t="s">
        <v>973</v>
      </c>
      <c r="H3014" t="s">
        <v>16</v>
      </c>
      <c r="I3014" s="26" t="s">
        <v>576</v>
      </c>
    </row>
    <row r="3015" spans="1:9" x14ac:dyDescent="0.3">
      <c r="A3015" s="24">
        <v>45370</v>
      </c>
      <c r="B3015" t="s">
        <v>212</v>
      </c>
      <c r="C3015" t="s">
        <v>53</v>
      </c>
      <c r="D3015">
        <v>0.25</v>
      </c>
      <c r="E3015" t="s">
        <v>54</v>
      </c>
      <c r="F3015" t="s">
        <v>55</v>
      </c>
      <c r="G3015" t="s">
        <v>1766</v>
      </c>
      <c r="H3015" t="s">
        <v>16</v>
      </c>
      <c r="I3015" s="26" t="s">
        <v>576</v>
      </c>
    </row>
    <row r="3016" spans="1:9" x14ac:dyDescent="0.3">
      <c r="A3016" s="24">
        <v>45370</v>
      </c>
      <c r="B3016" t="s">
        <v>212</v>
      </c>
      <c r="C3016" t="s">
        <v>53</v>
      </c>
      <c r="D3016">
        <v>0.25</v>
      </c>
      <c r="E3016" t="s">
        <v>54</v>
      </c>
      <c r="F3016" t="s">
        <v>55</v>
      </c>
      <c r="G3016" t="s">
        <v>222</v>
      </c>
      <c r="H3016" t="s">
        <v>16</v>
      </c>
      <c r="I3016" s="26" t="s">
        <v>576</v>
      </c>
    </row>
    <row r="3017" spans="1:9" x14ac:dyDescent="0.3">
      <c r="A3017" s="24">
        <v>45370</v>
      </c>
      <c r="B3017" t="s">
        <v>212</v>
      </c>
      <c r="C3017" t="s">
        <v>53</v>
      </c>
      <c r="D3017">
        <v>0.83</v>
      </c>
      <c r="E3017" t="s">
        <v>54</v>
      </c>
      <c r="F3017" t="s">
        <v>55</v>
      </c>
      <c r="H3017" t="s">
        <v>16</v>
      </c>
      <c r="I3017" s="26" t="s">
        <v>576</v>
      </c>
    </row>
    <row r="3018" spans="1:9" x14ac:dyDescent="0.3">
      <c r="A3018" s="24">
        <v>45370</v>
      </c>
      <c r="B3018" t="s">
        <v>212</v>
      </c>
      <c r="C3018" t="s">
        <v>53</v>
      </c>
      <c r="D3018">
        <v>1.85</v>
      </c>
      <c r="E3018" t="s">
        <v>54</v>
      </c>
      <c r="F3018" t="s">
        <v>55</v>
      </c>
      <c r="G3018" t="s">
        <v>2175</v>
      </c>
      <c r="H3018" t="s">
        <v>16</v>
      </c>
      <c r="I3018" s="26" t="s">
        <v>576</v>
      </c>
    </row>
    <row r="3019" spans="1:9" x14ac:dyDescent="0.3">
      <c r="A3019" s="24">
        <v>45370</v>
      </c>
      <c r="B3019" t="s">
        <v>212</v>
      </c>
      <c r="C3019" t="s">
        <v>123</v>
      </c>
      <c r="D3019">
        <v>0.12</v>
      </c>
      <c r="E3019" t="s">
        <v>54</v>
      </c>
      <c r="F3019" t="s">
        <v>55</v>
      </c>
      <c r="G3019" t="s">
        <v>2176</v>
      </c>
      <c r="H3019" t="s">
        <v>16</v>
      </c>
      <c r="I3019" s="26" t="s">
        <v>576</v>
      </c>
    </row>
    <row r="3020" spans="1:9" x14ac:dyDescent="0.3">
      <c r="A3020" s="24">
        <v>45370</v>
      </c>
      <c r="B3020" t="s">
        <v>212</v>
      </c>
      <c r="C3020" t="s">
        <v>148</v>
      </c>
      <c r="D3020">
        <v>0.4</v>
      </c>
      <c r="E3020" t="s">
        <v>54</v>
      </c>
      <c r="F3020" t="s">
        <v>55</v>
      </c>
      <c r="G3020" t="s">
        <v>2177</v>
      </c>
      <c r="H3020" t="s">
        <v>16</v>
      </c>
      <c r="I3020" s="26" t="s">
        <v>576</v>
      </c>
    </row>
    <row r="3021" spans="1:9" x14ac:dyDescent="0.3">
      <c r="A3021" s="24">
        <v>45370</v>
      </c>
      <c r="B3021" t="s">
        <v>212</v>
      </c>
      <c r="C3021" t="s">
        <v>148</v>
      </c>
      <c r="D3021">
        <v>1.03</v>
      </c>
      <c r="E3021" t="s">
        <v>54</v>
      </c>
      <c r="F3021" t="s">
        <v>55</v>
      </c>
      <c r="G3021" t="s">
        <v>2178</v>
      </c>
      <c r="H3021" t="s">
        <v>16</v>
      </c>
      <c r="I3021" s="26" t="s">
        <v>576</v>
      </c>
    </row>
    <row r="3022" spans="1:9" x14ac:dyDescent="0.3">
      <c r="A3022" s="24">
        <v>45370</v>
      </c>
      <c r="B3022" t="s">
        <v>212</v>
      </c>
      <c r="C3022" t="s">
        <v>148</v>
      </c>
      <c r="D3022">
        <v>1.98</v>
      </c>
      <c r="E3022" t="s">
        <v>54</v>
      </c>
      <c r="F3022" t="s">
        <v>55</v>
      </c>
      <c r="G3022" t="s">
        <v>2179</v>
      </c>
      <c r="H3022" t="s">
        <v>16</v>
      </c>
      <c r="I3022" s="26" t="s">
        <v>576</v>
      </c>
    </row>
    <row r="3023" spans="1:9" x14ac:dyDescent="0.3">
      <c r="A3023" s="24">
        <v>45370</v>
      </c>
      <c r="B3023" t="s">
        <v>498</v>
      </c>
      <c r="C3023" t="s">
        <v>123</v>
      </c>
      <c r="D3023">
        <v>3</v>
      </c>
      <c r="E3023" t="s">
        <v>54</v>
      </c>
      <c r="F3023" t="s">
        <v>55</v>
      </c>
      <c r="G3023" t="s">
        <v>2180</v>
      </c>
      <c r="H3023" t="s">
        <v>16</v>
      </c>
      <c r="I3023" s="26" t="s">
        <v>576</v>
      </c>
    </row>
    <row r="3024" spans="1:9" x14ac:dyDescent="0.3">
      <c r="A3024" s="24">
        <v>45370</v>
      </c>
      <c r="B3024" t="s">
        <v>498</v>
      </c>
      <c r="C3024" t="s">
        <v>173</v>
      </c>
      <c r="D3024">
        <v>5</v>
      </c>
      <c r="E3024" t="s">
        <v>49</v>
      </c>
      <c r="F3024" t="s">
        <v>31</v>
      </c>
      <c r="G3024" t="s">
        <v>2181</v>
      </c>
      <c r="H3024" t="s">
        <v>16</v>
      </c>
      <c r="I3024" s="26" t="s">
        <v>576</v>
      </c>
    </row>
    <row r="3025" spans="1:9" x14ac:dyDescent="0.3">
      <c r="A3025" s="24">
        <v>45370</v>
      </c>
      <c r="B3025" t="s">
        <v>240</v>
      </c>
      <c r="C3025" t="s">
        <v>29</v>
      </c>
      <c r="D3025">
        <v>0.32</v>
      </c>
      <c r="E3025" t="s">
        <v>81</v>
      </c>
      <c r="F3025" t="s">
        <v>31</v>
      </c>
      <c r="G3025" t="s">
        <v>2182</v>
      </c>
      <c r="H3025" t="s">
        <v>16</v>
      </c>
      <c r="I3025" s="26" t="s">
        <v>576</v>
      </c>
    </row>
    <row r="3026" spans="1:9" x14ac:dyDescent="0.3">
      <c r="A3026" s="24">
        <v>45370</v>
      </c>
      <c r="B3026" t="s">
        <v>240</v>
      </c>
      <c r="C3026" t="s">
        <v>29</v>
      </c>
      <c r="D3026">
        <v>0.52</v>
      </c>
      <c r="E3026" t="s">
        <v>241</v>
      </c>
      <c r="F3026" t="s">
        <v>31</v>
      </c>
      <c r="H3026" t="s">
        <v>16</v>
      </c>
      <c r="I3026" s="26" t="s">
        <v>576</v>
      </c>
    </row>
    <row r="3027" spans="1:9" x14ac:dyDescent="0.3">
      <c r="A3027" s="24">
        <v>45370</v>
      </c>
      <c r="B3027" t="s">
        <v>240</v>
      </c>
      <c r="C3027" t="s">
        <v>29</v>
      </c>
      <c r="D3027">
        <v>6.32</v>
      </c>
      <c r="E3027" t="s">
        <v>81</v>
      </c>
      <c r="F3027" t="s">
        <v>31</v>
      </c>
      <c r="H3027" t="s">
        <v>16</v>
      </c>
      <c r="I3027" s="26" t="s">
        <v>576</v>
      </c>
    </row>
    <row r="3028" spans="1:9" x14ac:dyDescent="0.3">
      <c r="A3028" s="24">
        <v>45370</v>
      </c>
      <c r="B3028" t="s">
        <v>240</v>
      </c>
      <c r="C3028" t="s">
        <v>53</v>
      </c>
      <c r="D3028">
        <v>0.23</v>
      </c>
      <c r="E3028" t="s">
        <v>54</v>
      </c>
      <c r="F3028" t="s">
        <v>55</v>
      </c>
      <c r="G3028" t="s">
        <v>1470</v>
      </c>
      <c r="H3028" t="s">
        <v>16</v>
      </c>
      <c r="I3028" s="26" t="s">
        <v>576</v>
      </c>
    </row>
    <row r="3029" spans="1:9" x14ac:dyDescent="0.3">
      <c r="A3029" s="24">
        <v>45370</v>
      </c>
      <c r="B3029" t="s">
        <v>240</v>
      </c>
      <c r="C3029" t="s">
        <v>60</v>
      </c>
      <c r="D3029">
        <v>1.03</v>
      </c>
      <c r="E3029" t="s">
        <v>139</v>
      </c>
      <c r="F3029" t="s">
        <v>31</v>
      </c>
      <c r="H3029" t="s">
        <v>16</v>
      </c>
      <c r="I3029" s="26" t="s">
        <v>576</v>
      </c>
    </row>
    <row r="3030" spans="1:9" x14ac:dyDescent="0.3">
      <c r="A3030" s="24">
        <v>45370</v>
      </c>
      <c r="B3030" t="s">
        <v>249</v>
      </c>
      <c r="C3030" t="s">
        <v>252</v>
      </c>
      <c r="D3030">
        <v>1.5</v>
      </c>
      <c r="E3030" t="s">
        <v>54</v>
      </c>
      <c r="F3030" t="s">
        <v>55</v>
      </c>
      <c r="H3030" t="s">
        <v>16</v>
      </c>
      <c r="I3030" s="26" t="s">
        <v>576</v>
      </c>
    </row>
    <row r="3031" spans="1:9" x14ac:dyDescent="0.3">
      <c r="A3031" s="24">
        <v>45370</v>
      </c>
      <c r="B3031" t="s">
        <v>249</v>
      </c>
      <c r="C3031" t="s">
        <v>252</v>
      </c>
      <c r="D3031">
        <v>6</v>
      </c>
      <c r="E3031" t="s">
        <v>81</v>
      </c>
      <c r="F3031" t="s">
        <v>31</v>
      </c>
      <c r="H3031" t="s">
        <v>16</v>
      </c>
      <c r="I3031" s="26" t="s">
        <v>576</v>
      </c>
    </row>
    <row r="3032" spans="1:9" x14ac:dyDescent="0.3">
      <c r="A3032" s="24">
        <v>45370</v>
      </c>
      <c r="B3032" t="s">
        <v>249</v>
      </c>
      <c r="C3032" t="s">
        <v>53</v>
      </c>
      <c r="D3032">
        <v>0.5</v>
      </c>
      <c r="E3032" t="s">
        <v>54</v>
      </c>
      <c r="F3032" t="s">
        <v>55</v>
      </c>
      <c r="G3032" t="s">
        <v>110</v>
      </c>
      <c r="H3032" t="s">
        <v>16</v>
      </c>
      <c r="I3032" s="26" t="s">
        <v>576</v>
      </c>
    </row>
    <row r="3033" spans="1:9" x14ac:dyDescent="0.3">
      <c r="A3033" s="24">
        <v>45370</v>
      </c>
      <c r="B3033" t="s">
        <v>262</v>
      </c>
      <c r="C3033" t="s">
        <v>29</v>
      </c>
      <c r="D3033">
        <v>4.7699999999999996</v>
      </c>
      <c r="E3033" t="s">
        <v>263</v>
      </c>
      <c r="F3033" t="s">
        <v>31</v>
      </c>
      <c r="G3033" t="s">
        <v>2183</v>
      </c>
      <c r="H3033" t="s">
        <v>16</v>
      </c>
      <c r="I3033" s="26" t="s">
        <v>576</v>
      </c>
    </row>
    <row r="3034" spans="1:9" x14ac:dyDescent="0.3">
      <c r="A3034" s="24">
        <v>45370</v>
      </c>
      <c r="B3034" t="s">
        <v>262</v>
      </c>
      <c r="C3034" t="s">
        <v>53</v>
      </c>
      <c r="D3034">
        <v>0.5</v>
      </c>
      <c r="E3034" t="s">
        <v>54</v>
      </c>
      <c r="F3034" t="s">
        <v>55</v>
      </c>
      <c r="G3034" t="s">
        <v>253</v>
      </c>
      <c r="H3034" t="s">
        <v>16</v>
      </c>
      <c r="I3034" s="26" t="s">
        <v>576</v>
      </c>
    </row>
    <row r="3035" spans="1:9" x14ac:dyDescent="0.3">
      <c r="A3035" s="24">
        <v>45370</v>
      </c>
      <c r="B3035" t="s">
        <v>262</v>
      </c>
      <c r="C3035" t="s">
        <v>148</v>
      </c>
      <c r="D3035">
        <v>2.73</v>
      </c>
      <c r="E3035" t="s">
        <v>54</v>
      </c>
      <c r="F3035" t="s">
        <v>55</v>
      </c>
      <c r="G3035" t="s">
        <v>2045</v>
      </c>
      <c r="H3035" t="s">
        <v>16</v>
      </c>
      <c r="I3035" s="26" t="s">
        <v>576</v>
      </c>
    </row>
    <row r="3036" spans="1:9" x14ac:dyDescent="0.3">
      <c r="A3036" s="24">
        <v>45370</v>
      </c>
      <c r="B3036" t="s">
        <v>266</v>
      </c>
      <c r="C3036" t="s">
        <v>267</v>
      </c>
      <c r="D3036">
        <v>9</v>
      </c>
      <c r="E3036" t="s">
        <v>54</v>
      </c>
      <c r="F3036" t="s">
        <v>55</v>
      </c>
      <c r="G3036" t="s">
        <v>994</v>
      </c>
      <c r="H3036" t="s">
        <v>16</v>
      </c>
      <c r="I3036" s="26" t="s">
        <v>576</v>
      </c>
    </row>
    <row r="3037" spans="1:9" x14ac:dyDescent="0.3">
      <c r="A3037" s="24">
        <v>45370</v>
      </c>
      <c r="B3037" t="s">
        <v>269</v>
      </c>
      <c r="C3037" t="s">
        <v>29</v>
      </c>
      <c r="D3037">
        <v>0.38</v>
      </c>
      <c r="E3037" t="s">
        <v>42</v>
      </c>
      <c r="F3037" t="s">
        <v>31</v>
      </c>
      <c r="G3037" t="s">
        <v>2184</v>
      </c>
      <c r="H3037" t="s">
        <v>16</v>
      </c>
      <c r="I3037" s="26" t="s">
        <v>576</v>
      </c>
    </row>
    <row r="3038" spans="1:9" x14ac:dyDescent="0.3">
      <c r="A3038" s="24">
        <v>45370</v>
      </c>
      <c r="B3038" t="s">
        <v>269</v>
      </c>
      <c r="C3038" t="s">
        <v>29</v>
      </c>
      <c r="D3038">
        <v>0.53</v>
      </c>
      <c r="E3038" t="s">
        <v>116</v>
      </c>
      <c r="F3038" t="s">
        <v>31</v>
      </c>
      <c r="G3038" t="s">
        <v>2185</v>
      </c>
      <c r="H3038" t="s">
        <v>16</v>
      </c>
      <c r="I3038" s="26" t="s">
        <v>576</v>
      </c>
    </row>
    <row r="3039" spans="1:9" x14ac:dyDescent="0.3">
      <c r="A3039" s="24">
        <v>45370</v>
      </c>
      <c r="B3039" t="s">
        <v>269</v>
      </c>
      <c r="C3039" t="s">
        <v>29</v>
      </c>
      <c r="D3039">
        <v>0.8</v>
      </c>
      <c r="E3039" t="s">
        <v>116</v>
      </c>
      <c r="F3039" t="s">
        <v>31</v>
      </c>
      <c r="G3039" t="s">
        <v>511</v>
      </c>
      <c r="H3039" t="s">
        <v>16</v>
      </c>
      <c r="I3039" s="26" t="s">
        <v>576</v>
      </c>
    </row>
    <row r="3040" spans="1:9" x14ac:dyDescent="0.3">
      <c r="A3040" s="24">
        <v>45370</v>
      </c>
      <c r="B3040" t="s">
        <v>269</v>
      </c>
      <c r="C3040" t="s">
        <v>29</v>
      </c>
      <c r="D3040">
        <v>4.38</v>
      </c>
      <c r="E3040" t="s">
        <v>271</v>
      </c>
      <c r="F3040" t="s">
        <v>31</v>
      </c>
      <c r="G3040" t="s">
        <v>2186</v>
      </c>
      <c r="H3040" t="s">
        <v>16</v>
      </c>
      <c r="I3040" s="26" t="s">
        <v>576</v>
      </c>
    </row>
    <row r="3041" spans="1:9" x14ac:dyDescent="0.3">
      <c r="A3041" s="24">
        <v>45370</v>
      </c>
      <c r="B3041" t="s">
        <v>269</v>
      </c>
      <c r="C3041" t="s">
        <v>53</v>
      </c>
      <c r="D3041">
        <v>0.47</v>
      </c>
      <c r="E3041" t="s">
        <v>54</v>
      </c>
      <c r="F3041" t="s">
        <v>55</v>
      </c>
      <c r="G3041" t="s">
        <v>2187</v>
      </c>
      <c r="H3041" t="s">
        <v>16</v>
      </c>
      <c r="I3041" s="26" t="s">
        <v>576</v>
      </c>
    </row>
    <row r="3042" spans="1:9" x14ac:dyDescent="0.3">
      <c r="A3042" s="24">
        <v>45370</v>
      </c>
      <c r="B3042" t="s">
        <v>269</v>
      </c>
      <c r="C3042" t="s">
        <v>53</v>
      </c>
      <c r="D3042">
        <v>1.55</v>
      </c>
      <c r="E3042" t="s">
        <v>54</v>
      </c>
      <c r="F3042" t="s">
        <v>55</v>
      </c>
      <c r="G3042" t="s">
        <v>2188</v>
      </c>
      <c r="H3042" t="s">
        <v>16</v>
      </c>
      <c r="I3042" s="26" t="s">
        <v>576</v>
      </c>
    </row>
    <row r="3043" spans="1:9" x14ac:dyDescent="0.3">
      <c r="A3043" s="24">
        <v>45370</v>
      </c>
      <c r="B3043" t="s">
        <v>278</v>
      </c>
      <c r="C3043" t="s">
        <v>279</v>
      </c>
      <c r="D3043">
        <v>1.3</v>
      </c>
      <c r="E3043" t="s">
        <v>54</v>
      </c>
      <c r="F3043" t="s">
        <v>55</v>
      </c>
      <c r="G3043" t="s">
        <v>2189</v>
      </c>
      <c r="H3043" t="s">
        <v>16</v>
      </c>
      <c r="I3043" s="26" t="s">
        <v>576</v>
      </c>
    </row>
    <row r="3044" spans="1:9" x14ac:dyDescent="0.3">
      <c r="A3044" s="24">
        <v>45370</v>
      </c>
      <c r="B3044" t="s">
        <v>278</v>
      </c>
      <c r="C3044" t="s">
        <v>279</v>
      </c>
      <c r="D3044">
        <v>1.7</v>
      </c>
      <c r="E3044" t="s">
        <v>254</v>
      </c>
      <c r="F3044" t="s">
        <v>55</v>
      </c>
      <c r="G3044" t="s">
        <v>2190</v>
      </c>
      <c r="H3044" t="s">
        <v>16</v>
      </c>
      <c r="I3044" s="26" t="s">
        <v>576</v>
      </c>
    </row>
    <row r="3045" spans="1:9" x14ac:dyDescent="0.3">
      <c r="A3045" s="24">
        <v>45370</v>
      </c>
      <c r="B3045" t="s">
        <v>278</v>
      </c>
      <c r="C3045" t="s">
        <v>29</v>
      </c>
      <c r="D3045">
        <v>1.92</v>
      </c>
      <c r="E3045" t="s">
        <v>54</v>
      </c>
      <c r="F3045" t="s">
        <v>55</v>
      </c>
      <c r="G3045" t="s">
        <v>2191</v>
      </c>
      <c r="H3045" t="s">
        <v>16</v>
      </c>
      <c r="I3045" s="26" t="s">
        <v>576</v>
      </c>
    </row>
    <row r="3046" spans="1:9" x14ac:dyDescent="0.3">
      <c r="A3046" s="24">
        <v>45370</v>
      </c>
      <c r="B3046" t="s">
        <v>278</v>
      </c>
      <c r="C3046" t="s">
        <v>29</v>
      </c>
      <c r="D3046">
        <v>2.23</v>
      </c>
      <c r="E3046" t="s">
        <v>54</v>
      </c>
      <c r="F3046" t="s">
        <v>55</v>
      </c>
      <c r="G3046" t="s">
        <v>2192</v>
      </c>
      <c r="H3046" t="s">
        <v>16</v>
      </c>
      <c r="I3046" s="26" t="s">
        <v>576</v>
      </c>
    </row>
    <row r="3047" spans="1:9" x14ac:dyDescent="0.3">
      <c r="A3047" s="24">
        <v>45370</v>
      </c>
      <c r="B3047" t="s">
        <v>278</v>
      </c>
      <c r="C3047" t="s">
        <v>58</v>
      </c>
      <c r="D3047">
        <v>0.25</v>
      </c>
      <c r="E3047" t="s">
        <v>54</v>
      </c>
      <c r="F3047" t="s">
        <v>55</v>
      </c>
      <c r="G3047" t="s">
        <v>2193</v>
      </c>
      <c r="H3047" t="s">
        <v>16</v>
      </c>
      <c r="I3047" s="26" t="s">
        <v>576</v>
      </c>
    </row>
    <row r="3048" spans="1:9" x14ac:dyDescent="0.3">
      <c r="A3048" s="24">
        <v>45370</v>
      </c>
      <c r="B3048" t="s">
        <v>278</v>
      </c>
      <c r="C3048" t="s">
        <v>60</v>
      </c>
      <c r="D3048">
        <v>0.67</v>
      </c>
      <c r="E3048" t="s">
        <v>254</v>
      </c>
      <c r="F3048" t="s">
        <v>55</v>
      </c>
      <c r="G3048" t="s">
        <v>2194</v>
      </c>
      <c r="H3048" t="s">
        <v>16</v>
      </c>
      <c r="I3048" s="26" t="s">
        <v>576</v>
      </c>
    </row>
    <row r="3049" spans="1:9" x14ac:dyDescent="0.3">
      <c r="A3049" s="24">
        <v>45370</v>
      </c>
      <c r="B3049" t="s">
        <v>286</v>
      </c>
      <c r="C3049" t="s">
        <v>287</v>
      </c>
      <c r="D3049">
        <v>10</v>
      </c>
      <c r="E3049" t="s">
        <v>54</v>
      </c>
      <c r="F3049" t="s">
        <v>55</v>
      </c>
      <c r="G3049" t="s">
        <v>2195</v>
      </c>
      <c r="H3049" t="s">
        <v>16</v>
      </c>
      <c r="I3049" s="26" t="s">
        <v>576</v>
      </c>
    </row>
    <row r="3050" spans="1:9" x14ac:dyDescent="0.3">
      <c r="A3050" s="24">
        <v>45370</v>
      </c>
      <c r="B3050" t="s">
        <v>289</v>
      </c>
      <c r="C3050" t="s">
        <v>29</v>
      </c>
      <c r="D3050">
        <v>0.5</v>
      </c>
      <c r="E3050" t="s">
        <v>291</v>
      </c>
      <c r="F3050" t="s">
        <v>31</v>
      </c>
      <c r="H3050" t="s">
        <v>16</v>
      </c>
      <c r="I3050" s="26" t="s">
        <v>576</v>
      </c>
    </row>
    <row r="3051" spans="1:9" x14ac:dyDescent="0.3">
      <c r="A3051" s="24">
        <v>45370</v>
      </c>
      <c r="B3051" t="s">
        <v>289</v>
      </c>
      <c r="C3051" t="s">
        <v>29</v>
      </c>
      <c r="D3051">
        <v>0.5</v>
      </c>
      <c r="E3051" t="s">
        <v>524</v>
      </c>
      <c r="F3051" t="s">
        <v>31</v>
      </c>
      <c r="H3051" t="s">
        <v>16</v>
      </c>
      <c r="I3051" s="26" t="s">
        <v>576</v>
      </c>
    </row>
    <row r="3052" spans="1:9" x14ac:dyDescent="0.3">
      <c r="A3052" s="24">
        <v>45370</v>
      </c>
      <c r="B3052" t="s">
        <v>289</v>
      </c>
      <c r="C3052" t="s">
        <v>29</v>
      </c>
      <c r="D3052">
        <v>0.5</v>
      </c>
      <c r="E3052" t="s">
        <v>226</v>
      </c>
      <c r="F3052" t="s">
        <v>31</v>
      </c>
      <c r="H3052" t="s">
        <v>16</v>
      </c>
      <c r="I3052" s="26" t="s">
        <v>576</v>
      </c>
    </row>
    <row r="3053" spans="1:9" x14ac:dyDescent="0.3">
      <c r="A3053" s="24">
        <v>45370</v>
      </c>
      <c r="B3053" t="s">
        <v>289</v>
      </c>
      <c r="C3053" t="s">
        <v>29</v>
      </c>
      <c r="D3053">
        <v>0.5</v>
      </c>
      <c r="E3053" t="s">
        <v>290</v>
      </c>
      <c r="F3053" t="s">
        <v>31</v>
      </c>
      <c r="H3053" t="s">
        <v>16</v>
      </c>
      <c r="I3053" s="26" t="s">
        <v>576</v>
      </c>
    </row>
    <row r="3054" spans="1:9" x14ac:dyDescent="0.3">
      <c r="A3054" s="24">
        <v>45370</v>
      </c>
      <c r="B3054" t="s">
        <v>289</v>
      </c>
      <c r="C3054" t="s">
        <v>29</v>
      </c>
      <c r="D3054">
        <v>2.5</v>
      </c>
      <c r="E3054" t="s">
        <v>49</v>
      </c>
      <c r="F3054" t="s">
        <v>31</v>
      </c>
      <c r="H3054" t="s">
        <v>16</v>
      </c>
      <c r="I3054" s="26" t="s">
        <v>576</v>
      </c>
    </row>
    <row r="3055" spans="1:9" x14ac:dyDescent="0.3">
      <c r="A3055" s="24">
        <v>45370</v>
      </c>
      <c r="B3055" t="s">
        <v>289</v>
      </c>
      <c r="C3055" t="s">
        <v>53</v>
      </c>
      <c r="D3055">
        <v>0.5</v>
      </c>
      <c r="E3055" t="s">
        <v>54</v>
      </c>
      <c r="F3055" t="s">
        <v>55</v>
      </c>
      <c r="G3055" t="s">
        <v>2196</v>
      </c>
      <c r="H3055" t="s">
        <v>16</v>
      </c>
      <c r="I3055" s="26" t="s">
        <v>576</v>
      </c>
    </row>
    <row r="3056" spans="1:9" x14ac:dyDescent="0.3">
      <c r="A3056" s="24">
        <v>45370</v>
      </c>
      <c r="B3056" t="s">
        <v>294</v>
      </c>
      <c r="C3056" t="s">
        <v>202</v>
      </c>
      <c r="D3056">
        <v>0.15</v>
      </c>
      <c r="E3056" t="s">
        <v>445</v>
      </c>
      <c r="F3056" t="s">
        <v>31</v>
      </c>
      <c r="G3056" t="s">
        <v>2197</v>
      </c>
      <c r="H3056" t="s">
        <v>16</v>
      </c>
      <c r="I3056" s="26" t="s">
        <v>576</v>
      </c>
    </row>
    <row r="3057" spans="1:9" x14ac:dyDescent="0.3">
      <c r="A3057" s="24">
        <v>45370</v>
      </c>
      <c r="B3057" t="s">
        <v>294</v>
      </c>
      <c r="C3057" t="s">
        <v>202</v>
      </c>
      <c r="D3057">
        <v>0.17</v>
      </c>
      <c r="E3057" t="s">
        <v>1022</v>
      </c>
      <c r="F3057" t="s">
        <v>55</v>
      </c>
      <c r="G3057" t="s">
        <v>2198</v>
      </c>
      <c r="H3057" t="s">
        <v>16</v>
      </c>
      <c r="I3057" s="26" t="s">
        <v>576</v>
      </c>
    </row>
    <row r="3058" spans="1:9" x14ac:dyDescent="0.3">
      <c r="A3058" s="24">
        <v>45370</v>
      </c>
      <c r="B3058" t="s">
        <v>294</v>
      </c>
      <c r="C3058" t="s">
        <v>202</v>
      </c>
      <c r="D3058">
        <v>5.18</v>
      </c>
      <c r="E3058" t="s">
        <v>30</v>
      </c>
      <c r="F3058" t="s">
        <v>55</v>
      </c>
      <c r="G3058" t="s">
        <v>2199</v>
      </c>
      <c r="H3058" t="s">
        <v>16</v>
      </c>
      <c r="I3058" s="26" t="s">
        <v>576</v>
      </c>
    </row>
    <row r="3059" spans="1:9" x14ac:dyDescent="0.3">
      <c r="A3059" s="24">
        <v>45370</v>
      </c>
      <c r="B3059" t="s">
        <v>294</v>
      </c>
      <c r="C3059" t="s">
        <v>53</v>
      </c>
      <c r="D3059">
        <v>1.08</v>
      </c>
      <c r="E3059" t="s">
        <v>54</v>
      </c>
      <c r="F3059" t="s">
        <v>55</v>
      </c>
      <c r="G3059" t="s">
        <v>2200</v>
      </c>
      <c r="H3059" t="s">
        <v>16</v>
      </c>
      <c r="I3059" s="26" t="s">
        <v>576</v>
      </c>
    </row>
    <row r="3060" spans="1:9" x14ac:dyDescent="0.3">
      <c r="A3060" s="24">
        <v>45370</v>
      </c>
      <c r="B3060" t="s">
        <v>301</v>
      </c>
      <c r="C3060" t="s">
        <v>29</v>
      </c>
      <c r="D3060">
        <v>0.35</v>
      </c>
      <c r="E3060" t="s">
        <v>156</v>
      </c>
      <c r="F3060" t="s">
        <v>31</v>
      </c>
      <c r="G3060" t="s">
        <v>852</v>
      </c>
      <c r="H3060" t="s">
        <v>16</v>
      </c>
      <c r="I3060" s="26" t="s">
        <v>576</v>
      </c>
    </row>
    <row r="3061" spans="1:9" x14ac:dyDescent="0.3">
      <c r="A3061" s="24">
        <v>45370</v>
      </c>
      <c r="B3061" t="s">
        <v>301</v>
      </c>
      <c r="C3061" t="s">
        <v>29</v>
      </c>
      <c r="D3061">
        <v>0.38</v>
      </c>
      <c r="E3061" t="s">
        <v>304</v>
      </c>
      <c r="F3061" t="s">
        <v>31</v>
      </c>
      <c r="G3061" t="s">
        <v>2201</v>
      </c>
      <c r="H3061" t="s">
        <v>16</v>
      </c>
      <c r="I3061" s="26" t="s">
        <v>576</v>
      </c>
    </row>
    <row r="3062" spans="1:9" x14ac:dyDescent="0.3">
      <c r="A3062" s="24">
        <v>45370</v>
      </c>
      <c r="B3062" t="s">
        <v>301</v>
      </c>
      <c r="C3062" t="s">
        <v>29</v>
      </c>
      <c r="D3062">
        <v>0.63</v>
      </c>
      <c r="E3062" t="s">
        <v>156</v>
      </c>
      <c r="F3062" t="s">
        <v>31</v>
      </c>
      <c r="G3062" t="s">
        <v>2202</v>
      </c>
      <c r="H3062" t="s">
        <v>16</v>
      </c>
      <c r="I3062" s="26" t="s">
        <v>576</v>
      </c>
    </row>
    <row r="3063" spans="1:9" x14ac:dyDescent="0.3">
      <c r="A3063" s="24">
        <v>45370</v>
      </c>
      <c r="B3063" t="s">
        <v>301</v>
      </c>
      <c r="C3063" t="s">
        <v>29</v>
      </c>
      <c r="D3063">
        <v>0.85</v>
      </c>
      <c r="E3063" t="s">
        <v>304</v>
      </c>
      <c r="F3063" t="s">
        <v>31</v>
      </c>
      <c r="G3063" t="s">
        <v>2203</v>
      </c>
      <c r="H3063" t="s">
        <v>16</v>
      </c>
      <c r="I3063" s="26" t="s">
        <v>576</v>
      </c>
    </row>
    <row r="3064" spans="1:9" x14ac:dyDescent="0.3">
      <c r="A3064" s="24">
        <v>45370</v>
      </c>
      <c r="B3064" t="s">
        <v>301</v>
      </c>
      <c r="C3064" t="s">
        <v>29</v>
      </c>
      <c r="D3064">
        <v>1.1499999999999999</v>
      </c>
      <c r="E3064" t="s">
        <v>156</v>
      </c>
      <c r="F3064" t="s">
        <v>31</v>
      </c>
      <c r="G3064" t="s">
        <v>2204</v>
      </c>
      <c r="H3064" t="s">
        <v>16</v>
      </c>
      <c r="I3064" s="26" t="s">
        <v>576</v>
      </c>
    </row>
    <row r="3065" spans="1:9" x14ac:dyDescent="0.3">
      <c r="A3065" s="24">
        <v>45370</v>
      </c>
      <c r="B3065" t="s">
        <v>301</v>
      </c>
      <c r="C3065" t="s">
        <v>29</v>
      </c>
      <c r="D3065">
        <v>1.2</v>
      </c>
      <c r="E3065" t="s">
        <v>156</v>
      </c>
      <c r="F3065" t="s">
        <v>55</v>
      </c>
      <c r="G3065" t="s">
        <v>2205</v>
      </c>
      <c r="H3065" t="s">
        <v>16</v>
      </c>
      <c r="I3065" s="26" t="s">
        <v>576</v>
      </c>
    </row>
    <row r="3066" spans="1:9" x14ac:dyDescent="0.3">
      <c r="A3066" s="24">
        <v>45370</v>
      </c>
      <c r="B3066" t="s">
        <v>301</v>
      </c>
      <c r="C3066" t="s">
        <v>29</v>
      </c>
      <c r="D3066">
        <v>1.25</v>
      </c>
      <c r="E3066" t="s">
        <v>304</v>
      </c>
      <c r="F3066" t="s">
        <v>31</v>
      </c>
      <c r="G3066" t="s">
        <v>2206</v>
      </c>
      <c r="H3066" t="s">
        <v>16</v>
      </c>
      <c r="I3066" s="26" t="s">
        <v>576</v>
      </c>
    </row>
    <row r="3067" spans="1:9" x14ac:dyDescent="0.3">
      <c r="A3067" s="24">
        <v>45370</v>
      </c>
      <c r="B3067" t="s">
        <v>301</v>
      </c>
      <c r="C3067" t="s">
        <v>29</v>
      </c>
      <c r="D3067">
        <v>2.0299999999999998</v>
      </c>
      <c r="E3067" t="s">
        <v>304</v>
      </c>
      <c r="F3067" t="s">
        <v>31</v>
      </c>
      <c r="G3067" t="s">
        <v>2207</v>
      </c>
      <c r="H3067" t="s">
        <v>16</v>
      </c>
      <c r="I3067" s="26" t="s">
        <v>576</v>
      </c>
    </row>
    <row r="3068" spans="1:9" x14ac:dyDescent="0.3">
      <c r="A3068" s="24">
        <v>45370</v>
      </c>
      <c r="B3068" t="s">
        <v>301</v>
      </c>
      <c r="C3068" t="s">
        <v>58</v>
      </c>
      <c r="D3068">
        <v>0.08</v>
      </c>
      <c r="E3068" t="s">
        <v>54</v>
      </c>
      <c r="F3068" t="s">
        <v>55</v>
      </c>
      <c r="G3068" t="s">
        <v>2208</v>
      </c>
      <c r="H3068" t="s">
        <v>16</v>
      </c>
      <c r="I3068" s="26" t="s">
        <v>576</v>
      </c>
    </row>
    <row r="3069" spans="1:9" x14ac:dyDescent="0.3">
      <c r="A3069" s="24">
        <v>45370</v>
      </c>
      <c r="B3069" t="s">
        <v>301</v>
      </c>
      <c r="C3069" t="s">
        <v>58</v>
      </c>
      <c r="D3069">
        <v>0.38</v>
      </c>
      <c r="E3069" t="s">
        <v>54</v>
      </c>
      <c r="F3069" t="s">
        <v>55</v>
      </c>
      <c r="G3069" t="s">
        <v>2209</v>
      </c>
      <c r="H3069" t="s">
        <v>16</v>
      </c>
      <c r="I3069" s="26" t="s">
        <v>576</v>
      </c>
    </row>
    <row r="3070" spans="1:9" x14ac:dyDescent="0.3">
      <c r="A3070" s="24">
        <v>45370</v>
      </c>
      <c r="B3070" t="s">
        <v>313</v>
      </c>
      <c r="C3070" t="s">
        <v>29</v>
      </c>
      <c r="D3070">
        <v>1.17</v>
      </c>
      <c r="E3070" t="s">
        <v>91</v>
      </c>
      <c r="F3070" t="s">
        <v>31</v>
      </c>
      <c r="G3070" t="s">
        <v>2210</v>
      </c>
      <c r="H3070" t="s">
        <v>16</v>
      </c>
      <c r="I3070" s="26" t="s">
        <v>576</v>
      </c>
    </row>
    <row r="3071" spans="1:9" x14ac:dyDescent="0.3">
      <c r="A3071" s="24">
        <v>45370</v>
      </c>
      <c r="B3071" t="s">
        <v>313</v>
      </c>
      <c r="C3071" t="s">
        <v>29</v>
      </c>
      <c r="D3071">
        <v>1.43</v>
      </c>
      <c r="E3071" t="s">
        <v>170</v>
      </c>
      <c r="F3071" t="s">
        <v>31</v>
      </c>
      <c r="H3071" t="s">
        <v>16</v>
      </c>
      <c r="I3071" s="26" t="s">
        <v>576</v>
      </c>
    </row>
    <row r="3072" spans="1:9" x14ac:dyDescent="0.3">
      <c r="A3072" s="24">
        <v>45370</v>
      </c>
      <c r="B3072" t="s">
        <v>313</v>
      </c>
      <c r="C3072" t="s">
        <v>29</v>
      </c>
      <c r="D3072">
        <v>2.98</v>
      </c>
      <c r="E3072" t="s">
        <v>91</v>
      </c>
      <c r="F3072" t="s">
        <v>31</v>
      </c>
      <c r="G3072" t="s">
        <v>617</v>
      </c>
      <c r="H3072" t="s">
        <v>16</v>
      </c>
      <c r="I3072" s="26" t="s">
        <v>576</v>
      </c>
    </row>
    <row r="3073" spans="1:9" x14ac:dyDescent="0.3">
      <c r="A3073" s="24">
        <v>45370</v>
      </c>
      <c r="B3073" t="s">
        <v>313</v>
      </c>
      <c r="C3073" t="s">
        <v>53</v>
      </c>
      <c r="D3073">
        <v>0.25</v>
      </c>
      <c r="E3073" t="s">
        <v>54</v>
      </c>
      <c r="F3073" t="s">
        <v>55</v>
      </c>
      <c r="G3073" t="s">
        <v>705</v>
      </c>
      <c r="H3073" t="s">
        <v>16</v>
      </c>
      <c r="I3073" s="26" t="s">
        <v>576</v>
      </c>
    </row>
    <row r="3074" spans="1:9" x14ac:dyDescent="0.3">
      <c r="A3074" s="24">
        <v>45370</v>
      </c>
      <c r="B3074" t="s">
        <v>313</v>
      </c>
      <c r="C3074" t="s">
        <v>159</v>
      </c>
      <c r="D3074">
        <v>2.48</v>
      </c>
      <c r="E3074" t="s">
        <v>170</v>
      </c>
      <c r="F3074" t="s">
        <v>31</v>
      </c>
      <c r="G3074" t="s">
        <v>1798</v>
      </c>
      <c r="H3074" t="s">
        <v>16</v>
      </c>
      <c r="I3074" s="26" t="s">
        <v>576</v>
      </c>
    </row>
    <row r="3075" spans="1:9" x14ac:dyDescent="0.3">
      <c r="A3075" s="24">
        <v>45370</v>
      </c>
      <c r="B3075" t="s">
        <v>313</v>
      </c>
      <c r="C3075" t="s">
        <v>60</v>
      </c>
      <c r="D3075">
        <v>0.62</v>
      </c>
      <c r="E3075" t="s">
        <v>162</v>
      </c>
      <c r="F3075" t="s">
        <v>31</v>
      </c>
      <c r="G3075" t="s">
        <v>2211</v>
      </c>
      <c r="H3075" t="s">
        <v>16</v>
      </c>
      <c r="I3075" s="26" t="s">
        <v>576</v>
      </c>
    </row>
    <row r="3076" spans="1:9" x14ac:dyDescent="0.3">
      <c r="A3076" s="24">
        <v>45370</v>
      </c>
      <c r="B3076" t="s">
        <v>318</v>
      </c>
      <c r="C3076" t="s">
        <v>53</v>
      </c>
      <c r="D3076">
        <v>4.18</v>
      </c>
      <c r="E3076" t="s">
        <v>54</v>
      </c>
      <c r="F3076" t="s">
        <v>55</v>
      </c>
      <c r="G3076" t="s">
        <v>2212</v>
      </c>
      <c r="H3076" t="s">
        <v>16</v>
      </c>
      <c r="I3076" s="26" t="s">
        <v>576</v>
      </c>
    </row>
    <row r="3077" spans="1:9" x14ac:dyDescent="0.3">
      <c r="A3077" s="24">
        <v>45370</v>
      </c>
      <c r="B3077" t="s">
        <v>318</v>
      </c>
      <c r="C3077" t="s">
        <v>53</v>
      </c>
      <c r="D3077">
        <v>5.53</v>
      </c>
      <c r="E3077" t="s">
        <v>54</v>
      </c>
      <c r="F3077" t="s">
        <v>55</v>
      </c>
      <c r="G3077" t="s">
        <v>2213</v>
      </c>
      <c r="H3077" t="s">
        <v>16</v>
      </c>
      <c r="I3077" s="26" t="s">
        <v>576</v>
      </c>
    </row>
    <row r="3078" spans="1:9" x14ac:dyDescent="0.3">
      <c r="A3078" s="24">
        <v>45370</v>
      </c>
      <c r="B3078" t="s">
        <v>324</v>
      </c>
      <c r="C3078" t="s">
        <v>29</v>
      </c>
      <c r="D3078">
        <v>8.1300000000000008</v>
      </c>
      <c r="E3078" t="s">
        <v>81</v>
      </c>
      <c r="F3078" t="s">
        <v>31</v>
      </c>
      <c r="H3078" t="s">
        <v>16</v>
      </c>
      <c r="I3078" s="26" t="s">
        <v>576</v>
      </c>
    </row>
    <row r="3079" spans="1:9" x14ac:dyDescent="0.3">
      <c r="A3079" s="24">
        <v>45370</v>
      </c>
      <c r="B3079" t="s">
        <v>328</v>
      </c>
      <c r="C3079" t="s">
        <v>85</v>
      </c>
      <c r="D3079">
        <v>1.8</v>
      </c>
      <c r="E3079" t="s">
        <v>81</v>
      </c>
      <c r="F3079" t="s">
        <v>31</v>
      </c>
      <c r="G3079" t="s">
        <v>2214</v>
      </c>
      <c r="H3079" t="s">
        <v>16</v>
      </c>
      <c r="I3079" s="26" t="s">
        <v>576</v>
      </c>
    </row>
    <row r="3080" spans="1:9" x14ac:dyDescent="0.3">
      <c r="A3080" s="24">
        <v>45370</v>
      </c>
      <c r="B3080" t="s">
        <v>328</v>
      </c>
      <c r="C3080" t="s">
        <v>53</v>
      </c>
      <c r="D3080">
        <v>0.2</v>
      </c>
      <c r="E3080" t="s">
        <v>54</v>
      </c>
      <c r="F3080" t="s">
        <v>55</v>
      </c>
      <c r="G3080" t="s">
        <v>2215</v>
      </c>
      <c r="H3080" t="s">
        <v>16</v>
      </c>
      <c r="I3080" s="26" t="s">
        <v>576</v>
      </c>
    </row>
    <row r="3081" spans="1:9" x14ac:dyDescent="0.3">
      <c r="A3081" s="24">
        <v>45370</v>
      </c>
      <c r="B3081" t="s">
        <v>328</v>
      </c>
      <c r="C3081" t="s">
        <v>53</v>
      </c>
      <c r="D3081">
        <v>0.8</v>
      </c>
      <c r="E3081" t="s">
        <v>54</v>
      </c>
      <c r="F3081" t="s">
        <v>55</v>
      </c>
      <c r="G3081" t="s">
        <v>2216</v>
      </c>
      <c r="H3081" t="s">
        <v>16</v>
      </c>
      <c r="I3081" s="26" t="s">
        <v>576</v>
      </c>
    </row>
    <row r="3082" spans="1:9" x14ac:dyDescent="0.3">
      <c r="A3082" s="24">
        <v>45370</v>
      </c>
      <c r="B3082" t="s">
        <v>328</v>
      </c>
      <c r="C3082" t="s">
        <v>60</v>
      </c>
      <c r="D3082">
        <v>0.87</v>
      </c>
      <c r="E3082" t="s">
        <v>162</v>
      </c>
      <c r="F3082" t="s">
        <v>31</v>
      </c>
      <c r="G3082" t="s">
        <v>2217</v>
      </c>
      <c r="H3082" t="s">
        <v>16</v>
      </c>
      <c r="I3082" s="26" t="s">
        <v>576</v>
      </c>
    </row>
    <row r="3083" spans="1:9" x14ac:dyDescent="0.3">
      <c r="A3083" s="24">
        <v>45370</v>
      </c>
      <c r="B3083" t="s">
        <v>328</v>
      </c>
      <c r="C3083" t="s">
        <v>60</v>
      </c>
      <c r="D3083">
        <v>4.37</v>
      </c>
      <c r="E3083" t="s">
        <v>162</v>
      </c>
      <c r="F3083" t="s">
        <v>31</v>
      </c>
      <c r="G3083" t="s">
        <v>716</v>
      </c>
      <c r="H3083" t="s">
        <v>16</v>
      </c>
      <c r="I3083" s="26" t="s">
        <v>576</v>
      </c>
    </row>
    <row r="3084" spans="1:9" x14ac:dyDescent="0.3">
      <c r="A3084" s="24">
        <v>45370</v>
      </c>
      <c r="B3084" t="s">
        <v>329</v>
      </c>
      <c r="C3084" t="s">
        <v>2218</v>
      </c>
      <c r="D3084">
        <v>0.3</v>
      </c>
      <c r="E3084" t="s">
        <v>1859</v>
      </c>
      <c r="F3084" t="s">
        <v>31</v>
      </c>
      <c r="G3084" t="s">
        <v>2219</v>
      </c>
      <c r="H3084" t="s">
        <v>16</v>
      </c>
      <c r="I3084" s="26" t="s">
        <v>576</v>
      </c>
    </row>
    <row r="3085" spans="1:9" x14ac:dyDescent="0.3">
      <c r="A3085" s="24">
        <v>45370</v>
      </c>
      <c r="B3085" t="s">
        <v>329</v>
      </c>
      <c r="C3085" t="s">
        <v>926</v>
      </c>
      <c r="D3085">
        <v>0.2</v>
      </c>
      <c r="E3085" t="s">
        <v>1860</v>
      </c>
      <c r="F3085" t="s">
        <v>31</v>
      </c>
      <c r="G3085" t="s">
        <v>2220</v>
      </c>
      <c r="H3085" t="s">
        <v>16</v>
      </c>
      <c r="I3085" s="26" t="s">
        <v>576</v>
      </c>
    </row>
    <row r="3086" spans="1:9" x14ac:dyDescent="0.3">
      <c r="A3086" s="24">
        <v>45370</v>
      </c>
      <c r="B3086" t="s">
        <v>331</v>
      </c>
      <c r="C3086" t="s">
        <v>29</v>
      </c>
      <c r="D3086">
        <v>0.98</v>
      </c>
      <c r="E3086" t="s">
        <v>176</v>
      </c>
      <c r="F3086" t="s">
        <v>31</v>
      </c>
      <c r="G3086" t="s">
        <v>2221</v>
      </c>
      <c r="H3086" t="s">
        <v>16</v>
      </c>
      <c r="I3086" s="26" t="s">
        <v>576</v>
      </c>
    </row>
    <row r="3087" spans="1:9" x14ac:dyDescent="0.3">
      <c r="A3087" s="24">
        <v>45370</v>
      </c>
      <c r="B3087" t="s">
        <v>331</v>
      </c>
      <c r="C3087" t="s">
        <v>29</v>
      </c>
      <c r="D3087">
        <v>2.12</v>
      </c>
      <c r="E3087" t="s">
        <v>91</v>
      </c>
      <c r="F3087" t="s">
        <v>31</v>
      </c>
      <c r="G3087" t="s">
        <v>2222</v>
      </c>
      <c r="H3087" t="s">
        <v>16</v>
      </c>
      <c r="I3087" s="26" t="s">
        <v>576</v>
      </c>
    </row>
    <row r="3088" spans="1:9" x14ac:dyDescent="0.3">
      <c r="A3088" s="24">
        <v>45370</v>
      </c>
      <c r="B3088" t="s">
        <v>331</v>
      </c>
      <c r="C3088" t="s">
        <v>29</v>
      </c>
      <c r="D3088">
        <v>2.87</v>
      </c>
      <c r="E3088" t="s">
        <v>91</v>
      </c>
      <c r="F3088" t="s">
        <v>31</v>
      </c>
      <c r="G3088" t="s">
        <v>2223</v>
      </c>
      <c r="H3088" t="s">
        <v>16</v>
      </c>
      <c r="I3088" s="26" t="s">
        <v>576</v>
      </c>
    </row>
    <row r="3089" spans="1:9" x14ac:dyDescent="0.3">
      <c r="A3089" s="24">
        <v>45370</v>
      </c>
      <c r="B3089" t="s">
        <v>331</v>
      </c>
      <c r="C3089" t="s">
        <v>53</v>
      </c>
      <c r="D3089">
        <v>0.5</v>
      </c>
      <c r="E3089" t="s">
        <v>54</v>
      </c>
      <c r="F3089" t="s">
        <v>55</v>
      </c>
      <c r="G3089" t="s">
        <v>332</v>
      </c>
      <c r="H3089" t="s">
        <v>16</v>
      </c>
      <c r="I3089" s="26" t="s">
        <v>576</v>
      </c>
    </row>
    <row r="3090" spans="1:9" x14ac:dyDescent="0.3">
      <c r="A3090" s="24">
        <v>45370</v>
      </c>
      <c r="B3090" t="s">
        <v>331</v>
      </c>
      <c r="C3090" t="s">
        <v>159</v>
      </c>
      <c r="D3090">
        <v>1.83</v>
      </c>
      <c r="E3090" t="s">
        <v>337</v>
      </c>
      <c r="F3090" t="s">
        <v>31</v>
      </c>
      <c r="G3090" t="s">
        <v>1052</v>
      </c>
      <c r="H3090" t="s">
        <v>16</v>
      </c>
      <c r="I3090" s="26" t="s">
        <v>576</v>
      </c>
    </row>
    <row r="3091" spans="1:9" x14ac:dyDescent="0.3">
      <c r="A3091" s="24">
        <v>45370</v>
      </c>
      <c r="B3091" t="s">
        <v>340</v>
      </c>
      <c r="C3091" t="s">
        <v>202</v>
      </c>
      <c r="D3091">
        <v>0.25</v>
      </c>
      <c r="E3091" t="s">
        <v>156</v>
      </c>
      <c r="F3091" t="s">
        <v>31</v>
      </c>
      <c r="G3091" t="s">
        <v>2224</v>
      </c>
      <c r="H3091" t="s">
        <v>16</v>
      </c>
      <c r="I3091" s="26" t="s">
        <v>576</v>
      </c>
    </row>
    <row r="3092" spans="1:9" x14ac:dyDescent="0.3">
      <c r="A3092" s="24">
        <v>45370</v>
      </c>
      <c r="B3092" t="s">
        <v>340</v>
      </c>
      <c r="C3092" t="s">
        <v>202</v>
      </c>
      <c r="D3092">
        <v>0.33</v>
      </c>
      <c r="E3092" t="s">
        <v>176</v>
      </c>
      <c r="F3092" t="s">
        <v>31</v>
      </c>
      <c r="G3092" t="s">
        <v>2225</v>
      </c>
      <c r="H3092" t="s">
        <v>16</v>
      </c>
      <c r="I3092" s="26" t="s">
        <v>576</v>
      </c>
    </row>
    <row r="3093" spans="1:9" x14ac:dyDescent="0.3">
      <c r="A3093" s="24">
        <v>45370</v>
      </c>
      <c r="B3093" t="s">
        <v>340</v>
      </c>
      <c r="C3093" t="s">
        <v>202</v>
      </c>
      <c r="D3093">
        <v>8</v>
      </c>
      <c r="E3093" t="s">
        <v>1216</v>
      </c>
      <c r="F3093" t="s">
        <v>31</v>
      </c>
      <c r="G3093" t="s">
        <v>2226</v>
      </c>
      <c r="H3093" t="s">
        <v>16</v>
      </c>
      <c r="I3093" s="26" t="s">
        <v>576</v>
      </c>
    </row>
    <row r="3094" spans="1:9" x14ac:dyDescent="0.3">
      <c r="A3094" s="24">
        <v>45370</v>
      </c>
      <c r="B3094" t="s">
        <v>340</v>
      </c>
      <c r="C3094" t="s">
        <v>53</v>
      </c>
      <c r="D3094">
        <v>0.25</v>
      </c>
      <c r="E3094" t="s">
        <v>54</v>
      </c>
      <c r="F3094" t="s">
        <v>55</v>
      </c>
      <c r="G3094" t="s">
        <v>2227</v>
      </c>
      <c r="H3094" t="s">
        <v>16</v>
      </c>
      <c r="I3094" s="26" t="s">
        <v>576</v>
      </c>
    </row>
    <row r="3095" spans="1:9" x14ac:dyDescent="0.3">
      <c r="A3095" s="24">
        <v>45370</v>
      </c>
      <c r="B3095" t="s">
        <v>351</v>
      </c>
      <c r="C3095" t="s">
        <v>29</v>
      </c>
      <c r="D3095">
        <v>7</v>
      </c>
      <c r="E3095" t="s">
        <v>81</v>
      </c>
      <c r="F3095" t="s">
        <v>31</v>
      </c>
      <c r="G3095" t="s">
        <v>2228</v>
      </c>
      <c r="H3095" t="s">
        <v>16</v>
      </c>
      <c r="I3095" s="26" t="s">
        <v>576</v>
      </c>
    </row>
    <row r="3096" spans="1:9" x14ac:dyDescent="0.3">
      <c r="A3096" s="24">
        <v>45370</v>
      </c>
      <c r="B3096" t="s">
        <v>351</v>
      </c>
      <c r="C3096" t="s">
        <v>58</v>
      </c>
      <c r="D3096">
        <v>1</v>
      </c>
      <c r="E3096" t="s">
        <v>54</v>
      </c>
      <c r="F3096" t="s">
        <v>55</v>
      </c>
      <c r="G3096" t="s">
        <v>2229</v>
      </c>
      <c r="H3096" t="s">
        <v>16</v>
      </c>
      <c r="I3096" s="26" t="s">
        <v>576</v>
      </c>
    </row>
    <row r="3097" spans="1:9" x14ac:dyDescent="0.3">
      <c r="A3097" s="24">
        <v>45370</v>
      </c>
      <c r="B3097" t="s">
        <v>355</v>
      </c>
      <c r="C3097" t="s">
        <v>73</v>
      </c>
      <c r="D3097">
        <v>7.6</v>
      </c>
      <c r="E3097" t="s">
        <v>54</v>
      </c>
      <c r="F3097" t="s">
        <v>55</v>
      </c>
      <c r="H3097" t="s">
        <v>16</v>
      </c>
      <c r="I3097" s="26" t="s">
        <v>576</v>
      </c>
    </row>
    <row r="3098" spans="1:9" x14ac:dyDescent="0.3">
      <c r="A3098" s="24">
        <v>45370</v>
      </c>
      <c r="B3098" t="s">
        <v>374</v>
      </c>
      <c r="C3098" t="s">
        <v>123</v>
      </c>
      <c r="D3098">
        <v>2</v>
      </c>
      <c r="E3098" t="s">
        <v>54</v>
      </c>
      <c r="F3098" t="s">
        <v>55</v>
      </c>
      <c r="G3098" t="e">
        <f>- draft NTE</f>
        <v>#NAME?</v>
      </c>
      <c r="H3098" t="s">
        <v>16</v>
      </c>
      <c r="I3098" s="26" t="s">
        <v>576</v>
      </c>
    </row>
    <row r="3099" spans="1:9" x14ac:dyDescent="0.3">
      <c r="A3099" s="24">
        <v>45370</v>
      </c>
      <c r="B3099" t="s">
        <v>374</v>
      </c>
      <c r="C3099" t="s">
        <v>123</v>
      </c>
      <c r="D3099">
        <v>2</v>
      </c>
      <c r="E3099" t="s">
        <v>54</v>
      </c>
      <c r="F3099" t="s">
        <v>55</v>
      </c>
      <c r="G3099" t="e">
        <f>- Update HR tasks - Resume browsing</f>
        <v>#NAME?</v>
      </c>
      <c r="H3099" t="s">
        <v>16</v>
      </c>
      <c r="I3099" s="26" t="s">
        <v>576</v>
      </c>
    </row>
    <row r="3100" spans="1:9" x14ac:dyDescent="0.3">
      <c r="A3100" s="24">
        <v>45370</v>
      </c>
      <c r="B3100" t="s">
        <v>374</v>
      </c>
      <c r="C3100" t="s">
        <v>123</v>
      </c>
      <c r="D3100">
        <v>3</v>
      </c>
      <c r="E3100" t="s">
        <v>54</v>
      </c>
      <c r="F3100" t="s">
        <v>55</v>
      </c>
      <c r="G3100" t="e">
        <f>- finalize timesheet - review Induction plan for New Manila Team members - send reminders to AP Specialist for interview - respond to General queries</f>
        <v>#NAME?</v>
      </c>
      <c r="H3100" t="s">
        <v>16</v>
      </c>
      <c r="I3100" s="26" t="s">
        <v>576</v>
      </c>
    </row>
    <row r="3101" spans="1:9" x14ac:dyDescent="0.3">
      <c r="A3101" s="24">
        <v>45370</v>
      </c>
      <c r="B3101" t="s">
        <v>374</v>
      </c>
      <c r="C3101" t="s">
        <v>58</v>
      </c>
      <c r="D3101">
        <v>1</v>
      </c>
      <c r="E3101" t="s">
        <v>54</v>
      </c>
      <c r="F3101" t="s">
        <v>55</v>
      </c>
      <c r="G3101" t="e">
        <f>- catch up with Ann - Meeting with Ali, Carly and Ann</f>
        <v>#NAME?</v>
      </c>
      <c r="H3101" t="s">
        <v>16</v>
      </c>
      <c r="I3101" s="26" t="s">
        <v>576</v>
      </c>
    </row>
    <row r="3102" spans="1:9" x14ac:dyDescent="0.3">
      <c r="A3102" s="24">
        <v>45371</v>
      </c>
      <c r="B3102" t="s">
        <v>28</v>
      </c>
      <c r="C3102" t="s">
        <v>29</v>
      </c>
      <c r="D3102">
        <v>0.05</v>
      </c>
      <c r="E3102" t="s">
        <v>42</v>
      </c>
      <c r="F3102" t="s">
        <v>31</v>
      </c>
      <c r="G3102" t="s">
        <v>243</v>
      </c>
      <c r="H3102" t="s">
        <v>16</v>
      </c>
      <c r="I3102" s="26" t="s">
        <v>747</v>
      </c>
    </row>
    <row r="3103" spans="1:9" x14ac:dyDescent="0.3">
      <c r="A3103" s="24">
        <v>45371</v>
      </c>
      <c r="B3103" t="s">
        <v>28</v>
      </c>
      <c r="C3103" t="s">
        <v>29</v>
      </c>
      <c r="D3103">
        <v>0.12</v>
      </c>
      <c r="E3103" t="s">
        <v>48</v>
      </c>
      <c r="F3103" t="s">
        <v>31</v>
      </c>
      <c r="G3103" t="s">
        <v>2230</v>
      </c>
      <c r="H3103" t="s">
        <v>16</v>
      </c>
      <c r="I3103" s="26" t="s">
        <v>747</v>
      </c>
    </row>
    <row r="3104" spans="1:9" x14ac:dyDescent="0.3">
      <c r="A3104" s="24">
        <v>45371</v>
      </c>
      <c r="B3104" t="s">
        <v>28</v>
      </c>
      <c r="C3104" t="s">
        <v>29</v>
      </c>
      <c r="D3104">
        <v>0.15</v>
      </c>
      <c r="E3104" t="s">
        <v>42</v>
      </c>
      <c r="F3104" t="s">
        <v>31</v>
      </c>
      <c r="G3104" t="s">
        <v>38</v>
      </c>
      <c r="H3104" t="s">
        <v>16</v>
      </c>
      <c r="I3104" s="26" t="s">
        <v>747</v>
      </c>
    </row>
    <row r="3105" spans="1:9" x14ac:dyDescent="0.3">
      <c r="A3105" s="24">
        <v>45371</v>
      </c>
      <c r="B3105" t="s">
        <v>28</v>
      </c>
      <c r="C3105" t="s">
        <v>29</v>
      </c>
      <c r="D3105">
        <v>0.22</v>
      </c>
      <c r="E3105" t="s">
        <v>35</v>
      </c>
      <c r="F3105" t="s">
        <v>31</v>
      </c>
      <c r="G3105" t="s">
        <v>2231</v>
      </c>
      <c r="H3105" t="s">
        <v>16</v>
      </c>
      <c r="I3105" s="26" t="s">
        <v>747</v>
      </c>
    </row>
    <row r="3106" spans="1:9" x14ac:dyDescent="0.3">
      <c r="A3106" s="24">
        <v>45371</v>
      </c>
      <c r="B3106" t="s">
        <v>28</v>
      </c>
      <c r="C3106" t="s">
        <v>29</v>
      </c>
      <c r="D3106">
        <v>0.23</v>
      </c>
      <c r="E3106" t="s">
        <v>30</v>
      </c>
      <c r="F3106" t="s">
        <v>31</v>
      </c>
      <c r="G3106" t="s">
        <v>1675</v>
      </c>
      <c r="H3106" t="s">
        <v>16</v>
      </c>
      <c r="I3106" s="26" t="s">
        <v>747</v>
      </c>
    </row>
    <row r="3107" spans="1:9" x14ac:dyDescent="0.3">
      <c r="A3107" s="24">
        <v>45371</v>
      </c>
      <c r="B3107" t="s">
        <v>28</v>
      </c>
      <c r="C3107" t="s">
        <v>29</v>
      </c>
      <c r="D3107">
        <v>0.33</v>
      </c>
      <c r="E3107" t="s">
        <v>62</v>
      </c>
      <c r="F3107" t="s">
        <v>31</v>
      </c>
      <c r="G3107" t="s">
        <v>38</v>
      </c>
      <c r="H3107" t="s">
        <v>16</v>
      </c>
      <c r="I3107" s="26" t="s">
        <v>747</v>
      </c>
    </row>
    <row r="3108" spans="1:9" x14ac:dyDescent="0.3">
      <c r="A3108" s="24">
        <v>45371</v>
      </c>
      <c r="B3108" t="s">
        <v>28</v>
      </c>
      <c r="C3108" t="s">
        <v>29</v>
      </c>
      <c r="D3108">
        <v>0.35</v>
      </c>
      <c r="E3108" t="s">
        <v>30</v>
      </c>
      <c r="F3108" t="s">
        <v>31</v>
      </c>
      <c r="G3108" t="s">
        <v>38</v>
      </c>
      <c r="H3108" t="s">
        <v>16</v>
      </c>
      <c r="I3108" s="26" t="s">
        <v>747</v>
      </c>
    </row>
    <row r="3109" spans="1:9" x14ac:dyDescent="0.3">
      <c r="A3109" s="24">
        <v>45371</v>
      </c>
      <c r="B3109" t="s">
        <v>28</v>
      </c>
      <c r="C3109" t="s">
        <v>29</v>
      </c>
      <c r="D3109">
        <v>0.53</v>
      </c>
      <c r="E3109" t="s">
        <v>42</v>
      </c>
      <c r="F3109" t="s">
        <v>31</v>
      </c>
      <c r="G3109" t="s">
        <v>43</v>
      </c>
      <c r="H3109" t="s">
        <v>16</v>
      </c>
      <c r="I3109" s="26" t="s">
        <v>747</v>
      </c>
    </row>
    <row r="3110" spans="1:9" x14ac:dyDescent="0.3">
      <c r="A3110" s="24">
        <v>45371</v>
      </c>
      <c r="B3110" t="s">
        <v>28</v>
      </c>
      <c r="C3110" t="s">
        <v>29</v>
      </c>
      <c r="D3110">
        <v>0.65</v>
      </c>
      <c r="E3110" t="s">
        <v>45</v>
      </c>
      <c r="F3110" t="s">
        <v>31</v>
      </c>
      <c r="G3110" t="s">
        <v>38</v>
      </c>
      <c r="H3110" t="s">
        <v>16</v>
      </c>
      <c r="I3110" s="26" t="s">
        <v>747</v>
      </c>
    </row>
    <row r="3111" spans="1:9" x14ac:dyDescent="0.3">
      <c r="A3111" s="24">
        <v>45371</v>
      </c>
      <c r="B3111" t="s">
        <v>28</v>
      </c>
      <c r="C3111" t="s">
        <v>29</v>
      </c>
      <c r="D3111">
        <v>1.23</v>
      </c>
      <c r="E3111" t="s">
        <v>49</v>
      </c>
      <c r="F3111" t="s">
        <v>31</v>
      </c>
      <c r="G3111" t="s">
        <v>579</v>
      </c>
      <c r="H3111" t="s">
        <v>16</v>
      </c>
      <c r="I3111" s="26" t="s">
        <v>747</v>
      </c>
    </row>
    <row r="3112" spans="1:9" x14ac:dyDescent="0.3">
      <c r="A3112" s="24">
        <v>45371</v>
      </c>
      <c r="B3112" t="s">
        <v>28</v>
      </c>
      <c r="C3112" t="s">
        <v>29</v>
      </c>
      <c r="D3112">
        <v>2.0299999999999998</v>
      </c>
      <c r="E3112" t="s">
        <v>48</v>
      </c>
      <c r="F3112" t="s">
        <v>31</v>
      </c>
      <c r="G3112" t="s">
        <v>38</v>
      </c>
      <c r="H3112" t="s">
        <v>16</v>
      </c>
      <c r="I3112" s="26" t="s">
        <v>747</v>
      </c>
    </row>
    <row r="3113" spans="1:9" x14ac:dyDescent="0.3">
      <c r="A3113" s="24">
        <v>45371</v>
      </c>
      <c r="B3113" t="s">
        <v>28</v>
      </c>
      <c r="C3113" t="s">
        <v>53</v>
      </c>
      <c r="D3113">
        <v>0.25</v>
      </c>
      <c r="E3113" t="s">
        <v>54</v>
      </c>
      <c r="F3113" t="s">
        <v>55</v>
      </c>
      <c r="G3113" t="s">
        <v>56</v>
      </c>
      <c r="H3113" t="s">
        <v>16</v>
      </c>
      <c r="I3113" s="26" t="s">
        <v>747</v>
      </c>
    </row>
    <row r="3114" spans="1:9" x14ac:dyDescent="0.3">
      <c r="A3114" s="24">
        <v>45371</v>
      </c>
      <c r="B3114" t="s">
        <v>28</v>
      </c>
      <c r="C3114" t="s">
        <v>53</v>
      </c>
      <c r="D3114">
        <v>0.25</v>
      </c>
      <c r="E3114" t="s">
        <v>54</v>
      </c>
      <c r="F3114" t="s">
        <v>55</v>
      </c>
      <c r="G3114" t="s">
        <v>57</v>
      </c>
      <c r="H3114" t="s">
        <v>16</v>
      </c>
      <c r="I3114" s="26" t="s">
        <v>747</v>
      </c>
    </row>
    <row r="3115" spans="1:9" x14ac:dyDescent="0.3">
      <c r="A3115" s="24">
        <v>45371</v>
      </c>
      <c r="B3115" t="s">
        <v>28</v>
      </c>
      <c r="C3115" t="s">
        <v>148</v>
      </c>
      <c r="D3115">
        <v>1.18</v>
      </c>
      <c r="E3115" t="s">
        <v>54</v>
      </c>
      <c r="F3115" t="s">
        <v>55</v>
      </c>
      <c r="G3115" t="s">
        <v>1681</v>
      </c>
      <c r="H3115" t="s">
        <v>16</v>
      </c>
      <c r="I3115" s="26" t="s">
        <v>747</v>
      </c>
    </row>
    <row r="3116" spans="1:9" x14ac:dyDescent="0.3">
      <c r="A3116" s="24">
        <v>45371</v>
      </c>
      <c r="B3116" t="s">
        <v>28</v>
      </c>
      <c r="C3116" t="s">
        <v>60</v>
      </c>
      <c r="D3116">
        <v>0.42</v>
      </c>
      <c r="E3116" t="s">
        <v>582</v>
      </c>
      <c r="F3116" t="s">
        <v>31</v>
      </c>
      <c r="H3116" t="s">
        <v>16</v>
      </c>
      <c r="I3116" s="26" t="s">
        <v>747</v>
      </c>
    </row>
    <row r="3117" spans="1:9" x14ac:dyDescent="0.3">
      <c r="A3117" s="24">
        <v>45371</v>
      </c>
      <c r="B3117" t="s">
        <v>64</v>
      </c>
      <c r="C3117" t="s">
        <v>173</v>
      </c>
      <c r="D3117">
        <v>2.5</v>
      </c>
      <c r="E3117" t="s">
        <v>162</v>
      </c>
      <c r="F3117" t="s">
        <v>31</v>
      </c>
      <c r="G3117" t="s">
        <v>2232</v>
      </c>
      <c r="H3117" t="s">
        <v>16</v>
      </c>
      <c r="I3117" s="26" t="s">
        <v>747</v>
      </c>
    </row>
    <row r="3118" spans="1:9" x14ac:dyDescent="0.3">
      <c r="A3118" s="24">
        <v>45371</v>
      </c>
      <c r="B3118" t="s">
        <v>64</v>
      </c>
      <c r="C3118" t="s">
        <v>65</v>
      </c>
      <c r="D3118">
        <v>2</v>
      </c>
      <c r="E3118" t="s">
        <v>66</v>
      </c>
      <c r="F3118" t="s">
        <v>31</v>
      </c>
      <c r="G3118" t="s">
        <v>2233</v>
      </c>
      <c r="H3118" t="s">
        <v>16</v>
      </c>
      <c r="I3118" s="26" t="s">
        <v>747</v>
      </c>
    </row>
    <row r="3119" spans="1:9" x14ac:dyDescent="0.3">
      <c r="A3119" s="24">
        <v>45371</v>
      </c>
      <c r="B3119" t="s">
        <v>64</v>
      </c>
      <c r="C3119" t="s">
        <v>379</v>
      </c>
      <c r="D3119">
        <v>1.25</v>
      </c>
      <c r="E3119" t="s">
        <v>66</v>
      </c>
      <c r="F3119" t="s">
        <v>31</v>
      </c>
      <c r="G3119" t="s">
        <v>2234</v>
      </c>
      <c r="H3119" t="s">
        <v>16</v>
      </c>
      <c r="I3119" s="26" t="s">
        <v>747</v>
      </c>
    </row>
    <row r="3120" spans="1:9" x14ac:dyDescent="0.3">
      <c r="A3120" s="24">
        <v>45371</v>
      </c>
      <c r="B3120" t="s">
        <v>64</v>
      </c>
      <c r="C3120" t="s">
        <v>70</v>
      </c>
      <c r="D3120">
        <v>0.92</v>
      </c>
      <c r="E3120" t="s">
        <v>66</v>
      </c>
      <c r="F3120" t="s">
        <v>31</v>
      </c>
      <c r="G3120" t="s">
        <v>2235</v>
      </c>
      <c r="H3120" t="s">
        <v>16</v>
      </c>
      <c r="I3120" s="26" t="s">
        <v>747</v>
      </c>
    </row>
    <row r="3121" spans="1:9" x14ac:dyDescent="0.3">
      <c r="A3121" s="24">
        <v>45371</v>
      </c>
      <c r="B3121" t="s">
        <v>72</v>
      </c>
      <c r="C3121" t="s">
        <v>29</v>
      </c>
      <c r="D3121">
        <v>0.4</v>
      </c>
      <c r="E3121" t="s">
        <v>42</v>
      </c>
      <c r="F3121" t="s">
        <v>31</v>
      </c>
      <c r="H3121" t="s">
        <v>16</v>
      </c>
      <c r="I3121" s="26" t="s">
        <v>747</v>
      </c>
    </row>
    <row r="3122" spans="1:9" x14ac:dyDescent="0.3">
      <c r="A3122" s="24">
        <v>45371</v>
      </c>
      <c r="B3122" t="s">
        <v>72</v>
      </c>
      <c r="C3122" t="s">
        <v>29</v>
      </c>
      <c r="D3122">
        <v>0.48</v>
      </c>
      <c r="E3122" t="s">
        <v>42</v>
      </c>
      <c r="F3122" t="s">
        <v>55</v>
      </c>
      <c r="G3122" t="s">
        <v>2236</v>
      </c>
      <c r="H3122" t="s">
        <v>16</v>
      </c>
      <c r="I3122" s="26" t="s">
        <v>747</v>
      </c>
    </row>
    <row r="3123" spans="1:9" x14ac:dyDescent="0.3">
      <c r="A3123" s="24">
        <v>45371</v>
      </c>
      <c r="B3123" t="s">
        <v>72</v>
      </c>
      <c r="C3123" t="s">
        <v>29</v>
      </c>
      <c r="D3123">
        <v>1.1200000000000001</v>
      </c>
      <c r="E3123" t="s">
        <v>271</v>
      </c>
      <c r="F3123" t="s">
        <v>31</v>
      </c>
      <c r="H3123" t="s">
        <v>16</v>
      </c>
      <c r="I3123" s="26" t="s">
        <v>747</v>
      </c>
    </row>
    <row r="3124" spans="1:9" x14ac:dyDescent="0.3">
      <c r="A3124" s="24">
        <v>45371</v>
      </c>
      <c r="B3124" t="s">
        <v>72</v>
      </c>
      <c r="C3124" t="s">
        <v>53</v>
      </c>
      <c r="D3124">
        <v>0.18</v>
      </c>
      <c r="E3124" t="s">
        <v>54</v>
      </c>
      <c r="F3124" t="s">
        <v>55</v>
      </c>
      <c r="G3124" t="s">
        <v>2237</v>
      </c>
      <c r="H3124" t="s">
        <v>16</v>
      </c>
      <c r="I3124" s="26" t="s">
        <v>747</v>
      </c>
    </row>
    <row r="3125" spans="1:9" x14ac:dyDescent="0.3">
      <c r="A3125" s="24">
        <v>45371</v>
      </c>
      <c r="B3125" t="s">
        <v>72</v>
      </c>
      <c r="C3125" t="s">
        <v>53</v>
      </c>
      <c r="D3125">
        <v>0.37</v>
      </c>
      <c r="E3125" t="s">
        <v>54</v>
      </c>
      <c r="F3125" t="s">
        <v>55</v>
      </c>
      <c r="G3125" t="s">
        <v>2238</v>
      </c>
      <c r="H3125" t="s">
        <v>16</v>
      </c>
      <c r="I3125" s="26" t="s">
        <v>747</v>
      </c>
    </row>
    <row r="3126" spans="1:9" x14ac:dyDescent="0.3">
      <c r="A3126" s="24">
        <v>45371</v>
      </c>
      <c r="B3126" t="s">
        <v>72</v>
      </c>
      <c r="C3126" t="s">
        <v>53</v>
      </c>
      <c r="D3126">
        <v>1.57</v>
      </c>
      <c r="E3126" t="s">
        <v>54</v>
      </c>
      <c r="F3126" t="s">
        <v>55</v>
      </c>
      <c r="H3126" t="s">
        <v>16</v>
      </c>
      <c r="I3126" s="26" t="s">
        <v>747</v>
      </c>
    </row>
    <row r="3127" spans="1:9" x14ac:dyDescent="0.3">
      <c r="A3127" s="24">
        <v>45371</v>
      </c>
      <c r="B3127" t="s">
        <v>72</v>
      </c>
      <c r="C3127" t="s">
        <v>53</v>
      </c>
      <c r="D3127">
        <v>1.6</v>
      </c>
      <c r="E3127" t="s">
        <v>54</v>
      </c>
      <c r="F3127" t="s">
        <v>55</v>
      </c>
      <c r="G3127" t="s">
        <v>2239</v>
      </c>
      <c r="H3127" t="s">
        <v>16</v>
      </c>
      <c r="I3127" s="26" t="s">
        <v>747</v>
      </c>
    </row>
    <row r="3128" spans="1:9" x14ac:dyDescent="0.3">
      <c r="A3128" s="24">
        <v>45371</v>
      </c>
      <c r="B3128" t="s">
        <v>72</v>
      </c>
      <c r="C3128" t="s">
        <v>53</v>
      </c>
      <c r="D3128">
        <v>2.0299999999999998</v>
      </c>
      <c r="E3128" t="s">
        <v>54</v>
      </c>
      <c r="F3128" t="s">
        <v>55</v>
      </c>
      <c r="G3128" t="s">
        <v>2240</v>
      </c>
      <c r="H3128" t="s">
        <v>16</v>
      </c>
      <c r="I3128" s="26" t="s">
        <v>747</v>
      </c>
    </row>
    <row r="3129" spans="1:9" x14ac:dyDescent="0.3">
      <c r="A3129" s="24">
        <v>45371</v>
      </c>
      <c r="B3129" t="s">
        <v>72</v>
      </c>
      <c r="C3129" t="s">
        <v>148</v>
      </c>
      <c r="D3129">
        <v>0.55000000000000004</v>
      </c>
      <c r="E3129" t="s">
        <v>54</v>
      </c>
      <c r="F3129" t="s">
        <v>55</v>
      </c>
      <c r="G3129" t="s">
        <v>2241</v>
      </c>
      <c r="H3129" t="s">
        <v>16</v>
      </c>
      <c r="I3129" s="26" t="s">
        <v>747</v>
      </c>
    </row>
    <row r="3130" spans="1:9" x14ac:dyDescent="0.3">
      <c r="A3130" s="24">
        <v>45371</v>
      </c>
      <c r="B3130" t="s">
        <v>75</v>
      </c>
      <c r="C3130" t="s">
        <v>148</v>
      </c>
      <c r="D3130">
        <v>8</v>
      </c>
      <c r="E3130" t="s">
        <v>54</v>
      </c>
      <c r="F3130" t="s">
        <v>55</v>
      </c>
      <c r="G3130" t="s">
        <v>2242</v>
      </c>
      <c r="H3130" t="s">
        <v>16</v>
      </c>
      <c r="I3130" s="26" t="s">
        <v>747</v>
      </c>
    </row>
    <row r="3131" spans="1:9" x14ac:dyDescent="0.3">
      <c r="A3131" s="24">
        <v>45371</v>
      </c>
      <c r="B3131" t="s">
        <v>79</v>
      </c>
      <c r="C3131" t="s">
        <v>77</v>
      </c>
      <c r="D3131">
        <v>8</v>
      </c>
      <c r="E3131" t="s">
        <v>54</v>
      </c>
      <c r="F3131" t="s">
        <v>55</v>
      </c>
      <c r="H3131" t="s">
        <v>16</v>
      </c>
      <c r="I3131" s="26" t="s">
        <v>747</v>
      </c>
    </row>
    <row r="3132" spans="1:9" x14ac:dyDescent="0.3">
      <c r="A3132" s="24">
        <v>45371</v>
      </c>
      <c r="B3132" t="s">
        <v>80</v>
      </c>
      <c r="C3132" t="s">
        <v>29</v>
      </c>
      <c r="D3132">
        <v>0.5</v>
      </c>
      <c r="E3132" t="s">
        <v>81</v>
      </c>
      <c r="F3132" t="s">
        <v>31</v>
      </c>
      <c r="G3132" t="s">
        <v>2243</v>
      </c>
      <c r="H3132" t="s">
        <v>16</v>
      </c>
      <c r="I3132" s="26" t="s">
        <v>747</v>
      </c>
    </row>
    <row r="3133" spans="1:9" x14ac:dyDescent="0.3">
      <c r="A3133" s="24">
        <v>45371</v>
      </c>
      <c r="B3133" t="s">
        <v>80</v>
      </c>
      <c r="C3133" t="s">
        <v>29</v>
      </c>
      <c r="D3133">
        <v>1</v>
      </c>
      <c r="E3133" t="s">
        <v>81</v>
      </c>
      <c r="F3133" t="s">
        <v>31</v>
      </c>
      <c r="G3133" t="s">
        <v>2244</v>
      </c>
      <c r="H3133" t="s">
        <v>16</v>
      </c>
      <c r="I3133" s="26" t="s">
        <v>747</v>
      </c>
    </row>
    <row r="3134" spans="1:9" x14ac:dyDescent="0.3">
      <c r="A3134" s="24">
        <v>45371</v>
      </c>
      <c r="B3134" t="s">
        <v>80</v>
      </c>
      <c r="C3134" t="s">
        <v>29</v>
      </c>
      <c r="D3134">
        <v>1.25</v>
      </c>
      <c r="E3134" t="s">
        <v>81</v>
      </c>
      <c r="F3134" t="s">
        <v>31</v>
      </c>
      <c r="G3134" t="s">
        <v>1852</v>
      </c>
      <c r="H3134" t="s">
        <v>16</v>
      </c>
      <c r="I3134" s="26" t="s">
        <v>747</v>
      </c>
    </row>
    <row r="3135" spans="1:9" x14ac:dyDescent="0.3">
      <c r="A3135" s="24">
        <v>45371</v>
      </c>
      <c r="B3135" t="s">
        <v>80</v>
      </c>
      <c r="C3135" t="s">
        <v>29</v>
      </c>
      <c r="D3135">
        <v>2.75</v>
      </c>
      <c r="E3135" t="s">
        <v>81</v>
      </c>
      <c r="F3135" t="s">
        <v>31</v>
      </c>
      <c r="G3135" t="s">
        <v>1853</v>
      </c>
      <c r="H3135" t="s">
        <v>16</v>
      </c>
      <c r="I3135" s="26" t="s">
        <v>747</v>
      </c>
    </row>
    <row r="3136" spans="1:9" x14ac:dyDescent="0.3">
      <c r="A3136" s="24">
        <v>45371</v>
      </c>
      <c r="B3136" t="s">
        <v>88</v>
      </c>
      <c r="C3136" t="s">
        <v>89</v>
      </c>
      <c r="D3136">
        <v>5</v>
      </c>
      <c r="E3136" t="s">
        <v>54</v>
      </c>
      <c r="F3136" t="s">
        <v>55</v>
      </c>
      <c r="G3136" t="s">
        <v>2245</v>
      </c>
      <c r="H3136" t="s">
        <v>16</v>
      </c>
      <c r="I3136" s="26" t="s">
        <v>747</v>
      </c>
    </row>
    <row r="3137" spans="1:9" x14ac:dyDescent="0.3">
      <c r="A3137" s="24">
        <v>45371</v>
      </c>
      <c r="B3137" t="s">
        <v>88</v>
      </c>
      <c r="C3137" t="s">
        <v>394</v>
      </c>
      <c r="D3137">
        <v>3</v>
      </c>
      <c r="E3137" t="s">
        <v>54</v>
      </c>
      <c r="F3137" t="s">
        <v>55</v>
      </c>
      <c r="G3137" t="s">
        <v>2246</v>
      </c>
      <c r="H3137" t="s">
        <v>16</v>
      </c>
      <c r="I3137" s="26" t="s">
        <v>747</v>
      </c>
    </row>
    <row r="3138" spans="1:9" x14ac:dyDescent="0.3">
      <c r="A3138" s="24">
        <v>45371</v>
      </c>
      <c r="B3138" t="s">
        <v>97</v>
      </c>
      <c r="C3138" t="s">
        <v>89</v>
      </c>
      <c r="D3138">
        <v>4</v>
      </c>
      <c r="E3138" t="s">
        <v>54</v>
      </c>
      <c r="F3138" t="s">
        <v>55</v>
      </c>
      <c r="G3138" t="s">
        <v>2247</v>
      </c>
      <c r="H3138" t="s">
        <v>16</v>
      </c>
      <c r="I3138" s="26" t="s">
        <v>747</v>
      </c>
    </row>
    <row r="3139" spans="1:9" x14ac:dyDescent="0.3">
      <c r="A3139" s="24">
        <v>45371</v>
      </c>
      <c r="B3139" t="s">
        <v>99</v>
      </c>
      <c r="C3139" t="s">
        <v>89</v>
      </c>
      <c r="D3139">
        <v>9.08</v>
      </c>
      <c r="E3139" t="s">
        <v>54</v>
      </c>
      <c r="F3139" t="s">
        <v>55</v>
      </c>
      <c r="G3139" t="s">
        <v>1983</v>
      </c>
      <c r="H3139" t="s">
        <v>16</v>
      </c>
      <c r="I3139" s="26" t="s">
        <v>747</v>
      </c>
    </row>
    <row r="3140" spans="1:9" x14ac:dyDescent="0.3">
      <c r="A3140" s="24">
        <v>45371</v>
      </c>
      <c r="B3140" t="s">
        <v>101</v>
      </c>
      <c r="C3140" t="s">
        <v>29</v>
      </c>
      <c r="D3140">
        <v>0.08</v>
      </c>
      <c r="E3140" t="s">
        <v>195</v>
      </c>
      <c r="F3140" t="s">
        <v>55</v>
      </c>
      <c r="G3140" t="s">
        <v>1985</v>
      </c>
      <c r="H3140" t="s">
        <v>16</v>
      </c>
      <c r="I3140" s="26" t="s">
        <v>747</v>
      </c>
    </row>
    <row r="3141" spans="1:9" x14ac:dyDescent="0.3">
      <c r="A3141" s="24">
        <v>45371</v>
      </c>
      <c r="B3141" t="s">
        <v>101</v>
      </c>
      <c r="C3141" t="s">
        <v>29</v>
      </c>
      <c r="D3141">
        <v>0.25</v>
      </c>
      <c r="E3141" t="s">
        <v>725</v>
      </c>
      <c r="F3141" t="s">
        <v>31</v>
      </c>
      <c r="G3141" t="s">
        <v>2248</v>
      </c>
      <c r="H3141" t="s">
        <v>16</v>
      </c>
      <c r="I3141" s="26" t="s">
        <v>747</v>
      </c>
    </row>
    <row r="3142" spans="1:9" x14ac:dyDescent="0.3">
      <c r="A3142" s="24">
        <v>45371</v>
      </c>
      <c r="B3142" t="s">
        <v>101</v>
      </c>
      <c r="C3142" t="s">
        <v>29</v>
      </c>
      <c r="D3142">
        <v>0.33</v>
      </c>
      <c r="E3142" t="s">
        <v>195</v>
      </c>
      <c r="F3142" t="s">
        <v>31</v>
      </c>
      <c r="G3142" t="s">
        <v>2249</v>
      </c>
      <c r="H3142" t="s">
        <v>16</v>
      </c>
      <c r="I3142" s="26" t="s">
        <v>747</v>
      </c>
    </row>
    <row r="3143" spans="1:9" x14ac:dyDescent="0.3">
      <c r="A3143" s="24">
        <v>45371</v>
      </c>
      <c r="B3143" t="s">
        <v>101</v>
      </c>
      <c r="C3143" t="s">
        <v>29</v>
      </c>
      <c r="D3143">
        <v>4.25</v>
      </c>
      <c r="E3143" t="s">
        <v>108</v>
      </c>
      <c r="F3143" t="s">
        <v>31</v>
      </c>
      <c r="G3143" t="s">
        <v>2250</v>
      </c>
      <c r="H3143" t="s">
        <v>16</v>
      </c>
      <c r="I3143" s="26" t="s">
        <v>747</v>
      </c>
    </row>
    <row r="3144" spans="1:9" x14ac:dyDescent="0.3">
      <c r="A3144" s="24">
        <v>45371</v>
      </c>
      <c r="B3144" t="s">
        <v>101</v>
      </c>
      <c r="C3144" t="s">
        <v>53</v>
      </c>
      <c r="D3144">
        <v>0.5</v>
      </c>
      <c r="E3144" t="s">
        <v>54</v>
      </c>
      <c r="F3144" t="s">
        <v>55</v>
      </c>
      <c r="G3144" t="s">
        <v>110</v>
      </c>
      <c r="H3144" t="s">
        <v>16</v>
      </c>
      <c r="I3144" s="26" t="s">
        <v>747</v>
      </c>
    </row>
    <row r="3145" spans="1:9" x14ac:dyDescent="0.3">
      <c r="A3145" s="24">
        <v>45371</v>
      </c>
      <c r="B3145" t="s">
        <v>101</v>
      </c>
      <c r="C3145" t="s">
        <v>90</v>
      </c>
      <c r="D3145">
        <v>0.08</v>
      </c>
      <c r="E3145" t="s">
        <v>1865</v>
      </c>
      <c r="F3145" t="s">
        <v>55</v>
      </c>
      <c r="G3145" t="s">
        <v>1985</v>
      </c>
      <c r="H3145" t="s">
        <v>16</v>
      </c>
      <c r="I3145" s="26" t="s">
        <v>747</v>
      </c>
    </row>
    <row r="3146" spans="1:9" x14ac:dyDescent="0.3">
      <c r="A3146" s="24">
        <v>45371</v>
      </c>
      <c r="B3146" t="s">
        <v>101</v>
      </c>
      <c r="C3146" t="s">
        <v>90</v>
      </c>
      <c r="D3146">
        <v>1</v>
      </c>
      <c r="E3146" t="s">
        <v>1865</v>
      </c>
      <c r="F3146" t="s">
        <v>31</v>
      </c>
      <c r="G3146" t="s">
        <v>2251</v>
      </c>
      <c r="H3146" t="s">
        <v>16</v>
      </c>
      <c r="I3146" s="26" t="s">
        <v>747</v>
      </c>
    </row>
    <row r="3147" spans="1:9" x14ac:dyDescent="0.3">
      <c r="A3147" s="24">
        <v>45371</v>
      </c>
      <c r="B3147" t="s">
        <v>101</v>
      </c>
      <c r="C3147" t="s">
        <v>60</v>
      </c>
      <c r="D3147">
        <v>0.67</v>
      </c>
      <c r="E3147" t="s">
        <v>229</v>
      </c>
      <c r="F3147" t="s">
        <v>55</v>
      </c>
      <c r="G3147" t="s">
        <v>2252</v>
      </c>
      <c r="H3147" t="s">
        <v>16</v>
      </c>
      <c r="I3147" s="26" t="s">
        <v>747</v>
      </c>
    </row>
    <row r="3148" spans="1:9" x14ac:dyDescent="0.3">
      <c r="A3148" s="24">
        <v>45371</v>
      </c>
      <c r="B3148" t="s">
        <v>101</v>
      </c>
      <c r="C3148" t="s">
        <v>60</v>
      </c>
      <c r="D3148">
        <v>0.83</v>
      </c>
      <c r="E3148" t="s">
        <v>195</v>
      </c>
      <c r="F3148" t="s">
        <v>31</v>
      </c>
      <c r="G3148" t="s">
        <v>2253</v>
      </c>
      <c r="H3148" t="s">
        <v>16</v>
      </c>
      <c r="I3148" s="26" t="s">
        <v>747</v>
      </c>
    </row>
    <row r="3149" spans="1:9" x14ac:dyDescent="0.3">
      <c r="A3149" s="24">
        <v>45371</v>
      </c>
      <c r="B3149" t="s">
        <v>402</v>
      </c>
      <c r="C3149" t="s">
        <v>405</v>
      </c>
      <c r="D3149">
        <v>1</v>
      </c>
      <c r="E3149" t="s">
        <v>42</v>
      </c>
      <c r="F3149" t="s">
        <v>31</v>
      </c>
      <c r="G3149" t="s">
        <v>2254</v>
      </c>
      <c r="H3149" t="s">
        <v>16</v>
      </c>
      <c r="I3149" s="26" t="s">
        <v>747</v>
      </c>
    </row>
    <row r="3150" spans="1:9" x14ac:dyDescent="0.3">
      <c r="A3150" s="24">
        <v>45371</v>
      </c>
      <c r="B3150" t="s">
        <v>113</v>
      </c>
      <c r="C3150" t="s">
        <v>29</v>
      </c>
      <c r="D3150">
        <v>0.13</v>
      </c>
      <c r="E3150" t="s">
        <v>437</v>
      </c>
      <c r="F3150" t="s">
        <v>31</v>
      </c>
      <c r="G3150" t="s">
        <v>115</v>
      </c>
      <c r="H3150" t="s">
        <v>16</v>
      </c>
      <c r="I3150" s="26" t="s">
        <v>747</v>
      </c>
    </row>
    <row r="3151" spans="1:9" x14ac:dyDescent="0.3">
      <c r="A3151" s="24">
        <v>45371</v>
      </c>
      <c r="B3151" t="s">
        <v>113</v>
      </c>
      <c r="C3151" t="s">
        <v>29</v>
      </c>
      <c r="D3151">
        <v>0.3</v>
      </c>
      <c r="E3151" t="s">
        <v>61</v>
      </c>
      <c r="F3151" t="s">
        <v>31</v>
      </c>
      <c r="G3151" t="s">
        <v>2255</v>
      </c>
      <c r="H3151" t="s">
        <v>16</v>
      </c>
      <c r="I3151" s="26" t="s">
        <v>747</v>
      </c>
    </row>
    <row r="3152" spans="1:9" x14ac:dyDescent="0.3">
      <c r="A3152" s="24">
        <v>45371</v>
      </c>
      <c r="B3152" t="s">
        <v>113</v>
      </c>
      <c r="C3152" t="s">
        <v>29</v>
      </c>
      <c r="D3152">
        <v>0.78</v>
      </c>
      <c r="E3152" t="s">
        <v>437</v>
      </c>
      <c r="F3152" t="s">
        <v>31</v>
      </c>
      <c r="G3152" t="s">
        <v>2256</v>
      </c>
      <c r="H3152" t="s">
        <v>16</v>
      </c>
      <c r="I3152" s="26" t="s">
        <v>747</v>
      </c>
    </row>
    <row r="3153" spans="1:9" x14ac:dyDescent="0.3">
      <c r="A3153" s="24">
        <v>45371</v>
      </c>
      <c r="B3153" t="s">
        <v>113</v>
      </c>
      <c r="C3153" t="s">
        <v>29</v>
      </c>
      <c r="D3153">
        <v>1.2</v>
      </c>
      <c r="E3153" t="s">
        <v>437</v>
      </c>
      <c r="F3153" t="s">
        <v>31</v>
      </c>
      <c r="G3153" t="s">
        <v>2257</v>
      </c>
      <c r="H3153" t="s">
        <v>16</v>
      </c>
      <c r="I3153" s="26" t="s">
        <v>747</v>
      </c>
    </row>
    <row r="3154" spans="1:9" x14ac:dyDescent="0.3">
      <c r="A3154" s="24">
        <v>45371</v>
      </c>
      <c r="B3154" t="s">
        <v>113</v>
      </c>
      <c r="C3154" t="s">
        <v>53</v>
      </c>
      <c r="D3154">
        <v>0.17</v>
      </c>
      <c r="E3154" t="s">
        <v>54</v>
      </c>
      <c r="F3154" t="s">
        <v>55</v>
      </c>
      <c r="G3154" t="s">
        <v>2258</v>
      </c>
      <c r="H3154" t="s">
        <v>16</v>
      </c>
      <c r="I3154" s="26" t="s">
        <v>747</v>
      </c>
    </row>
    <row r="3155" spans="1:9" x14ac:dyDescent="0.3">
      <c r="A3155" s="24">
        <v>45371</v>
      </c>
      <c r="B3155" t="s">
        <v>113</v>
      </c>
      <c r="C3155" t="s">
        <v>53</v>
      </c>
      <c r="D3155">
        <v>0.43</v>
      </c>
      <c r="E3155" t="s">
        <v>54</v>
      </c>
      <c r="F3155" t="s">
        <v>55</v>
      </c>
      <c r="G3155" t="s">
        <v>2259</v>
      </c>
      <c r="H3155" t="s">
        <v>16</v>
      </c>
      <c r="I3155" s="26" t="s">
        <v>747</v>
      </c>
    </row>
    <row r="3156" spans="1:9" x14ac:dyDescent="0.3">
      <c r="A3156" s="24">
        <v>45371</v>
      </c>
      <c r="B3156" t="s">
        <v>113</v>
      </c>
      <c r="C3156" t="s">
        <v>53</v>
      </c>
      <c r="D3156">
        <v>0.55000000000000004</v>
      </c>
      <c r="E3156" t="s">
        <v>54</v>
      </c>
      <c r="F3156" t="s">
        <v>55</v>
      </c>
      <c r="G3156" t="s">
        <v>2260</v>
      </c>
      <c r="H3156" t="s">
        <v>16</v>
      </c>
      <c r="I3156" s="26" t="s">
        <v>747</v>
      </c>
    </row>
    <row r="3157" spans="1:9" x14ac:dyDescent="0.3">
      <c r="A3157" s="24">
        <v>45371</v>
      </c>
      <c r="B3157" t="s">
        <v>113</v>
      </c>
      <c r="C3157" t="s">
        <v>53</v>
      </c>
      <c r="D3157">
        <v>0.55000000000000004</v>
      </c>
      <c r="E3157" t="s">
        <v>54</v>
      </c>
      <c r="F3157" t="s">
        <v>55</v>
      </c>
      <c r="G3157" t="s">
        <v>2261</v>
      </c>
      <c r="H3157" t="s">
        <v>16</v>
      </c>
      <c r="I3157" s="26" t="s">
        <v>747</v>
      </c>
    </row>
    <row r="3158" spans="1:9" x14ac:dyDescent="0.3">
      <c r="A3158" s="24">
        <v>45371</v>
      </c>
      <c r="B3158" t="s">
        <v>113</v>
      </c>
      <c r="C3158" t="s">
        <v>58</v>
      </c>
      <c r="D3158">
        <v>0.35</v>
      </c>
      <c r="E3158" t="s">
        <v>54</v>
      </c>
      <c r="F3158" t="s">
        <v>55</v>
      </c>
      <c r="G3158" t="s">
        <v>2262</v>
      </c>
      <c r="H3158" t="s">
        <v>16</v>
      </c>
      <c r="I3158" s="26" t="s">
        <v>747</v>
      </c>
    </row>
    <row r="3159" spans="1:9" x14ac:dyDescent="0.3">
      <c r="A3159" s="24">
        <v>45371</v>
      </c>
      <c r="B3159" t="s">
        <v>113</v>
      </c>
      <c r="C3159" t="s">
        <v>60</v>
      </c>
      <c r="D3159">
        <v>0.13</v>
      </c>
      <c r="E3159" t="s">
        <v>81</v>
      </c>
      <c r="F3159" t="s">
        <v>55</v>
      </c>
      <c r="G3159" t="s">
        <v>2263</v>
      </c>
      <c r="H3159" t="s">
        <v>16</v>
      </c>
      <c r="I3159" s="26" t="s">
        <v>747</v>
      </c>
    </row>
    <row r="3160" spans="1:9" x14ac:dyDescent="0.3">
      <c r="A3160" s="24">
        <v>45371</v>
      </c>
      <c r="B3160" t="s">
        <v>113</v>
      </c>
      <c r="C3160" t="s">
        <v>60</v>
      </c>
      <c r="D3160">
        <v>0.43</v>
      </c>
      <c r="E3160" t="s">
        <v>81</v>
      </c>
      <c r="F3160" t="s">
        <v>55</v>
      </c>
      <c r="G3160" t="s">
        <v>115</v>
      </c>
      <c r="H3160" t="s">
        <v>16</v>
      </c>
      <c r="I3160" s="26" t="s">
        <v>747</v>
      </c>
    </row>
    <row r="3161" spans="1:9" x14ac:dyDescent="0.3">
      <c r="A3161" s="24">
        <v>45371</v>
      </c>
      <c r="B3161" t="s">
        <v>113</v>
      </c>
      <c r="C3161" t="s">
        <v>60</v>
      </c>
      <c r="D3161">
        <v>0.43</v>
      </c>
      <c r="E3161" t="s">
        <v>81</v>
      </c>
      <c r="F3161" t="s">
        <v>31</v>
      </c>
      <c r="G3161" t="s">
        <v>2264</v>
      </c>
      <c r="H3161" t="s">
        <v>16</v>
      </c>
      <c r="I3161" s="26" t="s">
        <v>747</v>
      </c>
    </row>
    <row r="3162" spans="1:9" x14ac:dyDescent="0.3">
      <c r="A3162" s="24">
        <v>45371</v>
      </c>
      <c r="B3162" t="s">
        <v>113</v>
      </c>
      <c r="C3162" t="s">
        <v>60</v>
      </c>
      <c r="D3162">
        <v>0.47</v>
      </c>
      <c r="E3162" t="s">
        <v>195</v>
      </c>
      <c r="F3162" t="s">
        <v>31</v>
      </c>
      <c r="G3162" t="s">
        <v>126</v>
      </c>
      <c r="H3162" t="s">
        <v>16</v>
      </c>
      <c r="I3162" s="26" t="s">
        <v>747</v>
      </c>
    </row>
    <row r="3163" spans="1:9" x14ac:dyDescent="0.3">
      <c r="A3163" s="24">
        <v>45371</v>
      </c>
      <c r="B3163" t="s">
        <v>113</v>
      </c>
      <c r="C3163" t="s">
        <v>60</v>
      </c>
      <c r="D3163">
        <v>2.0699999999999998</v>
      </c>
      <c r="E3163" t="s">
        <v>81</v>
      </c>
      <c r="F3163" t="s">
        <v>31</v>
      </c>
      <c r="H3163" t="s">
        <v>16</v>
      </c>
      <c r="I3163" s="26" t="s">
        <v>747</v>
      </c>
    </row>
    <row r="3164" spans="1:9" x14ac:dyDescent="0.3">
      <c r="A3164" s="24">
        <v>45371</v>
      </c>
      <c r="B3164" t="s">
        <v>132</v>
      </c>
      <c r="C3164" t="s">
        <v>73</v>
      </c>
      <c r="D3164">
        <v>8</v>
      </c>
      <c r="E3164" t="s">
        <v>54</v>
      </c>
      <c r="F3164" t="s">
        <v>55</v>
      </c>
      <c r="H3164" t="s">
        <v>16</v>
      </c>
      <c r="I3164" s="26" t="s">
        <v>747</v>
      </c>
    </row>
    <row r="3165" spans="1:9" x14ac:dyDescent="0.3">
      <c r="A3165" s="24">
        <v>45371</v>
      </c>
      <c r="B3165" t="s">
        <v>134</v>
      </c>
      <c r="C3165" t="s">
        <v>29</v>
      </c>
      <c r="D3165">
        <v>0.27</v>
      </c>
      <c r="E3165" t="s">
        <v>423</v>
      </c>
      <c r="F3165" t="s">
        <v>55</v>
      </c>
      <c r="G3165" t="s">
        <v>2265</v>
      </c>
      <c r="H3165" t="s">
        <v>16</v>
      </c>
      <c r="I3165" s="26" t="s">
        <v>747</v>
      </c>
    </row>
    <row r="3166" spans="1:9" x14ac:dyDescent="0.3">
      <c r="A3166" s="24">
        <v>45371</v>
      </c>
      <c r="B3166" t="s">
        <v>134</v>
      </c>
      <c r="C3166" t="s">
        <v>29</v>
      </c>
      <c r="D3166">
        <v>0.43</v>
      </c>
      <c r="E3166" t="s">
        <v>137</v>
      </c>
      <c r="F3166" t="s">
        <v>31</v>
      </c>
      <c r="G3166" t="s">
        <v>2266</v>
      </c>
      <c r="H3166" t="s">
        <v>16</v>
      </c>
      <c r="I3166" s="26" t="s">
        <v>747</v>
      </c>
    </row>
    <row r="3167" spans="1:9" x14ac:dyDescent="0.3">
      <c r="A3167" s="24">
        <v>45371</v>
      </c>
      <c r="B3167" t="s">
        <v>134</v>
      </c>
      <c r="C3167" t="s">
        <v>29</v>
      </c>
      <c r="D3167">
        <v>0.6</v>
      </c>
      <c r="E3167" t="s">
        <v>137</v>
      </c>
      <c r="F3167" t="s">
        <v>31</v>
      </c>
      <c r="G3167" t="s">
        <v>2267</v>
      </c>
      <c r="H3167" t="s">
        <v>16</v>
      </c>
      <c r="I3167" s="26" t="s">
        <v>747</v>
      </c>
    </row>
    <row r="3168" spans="1:9" x14ac:dyDescent="0.3">
      <c r="A3168" s="24">
        <v>45371</v>
      </c>
      <c r="B3168" t="s">
        <v>134</v>
      </c>
      <c r="C3168" t="s">
        <v>29</v>
      </c>
      <c r="D3168">
        <v>0.73</v>
      </c>
      <c r="E3168" t="s">
        <v>137</v>
      </c>
      <c r="F3168" t="s">
        <v>31</v>
      </c>
      <c r="G3168" t="s">
        <v>2268</v>
      </c>
      <c r="H3168" t="s">
        <v>16</v>
      </c>
      <c r="I3168" s="26" t="s">
        <v>747</v>
      </c>
    </row>
    <row r="3169" spans="1:9" x14ac:dyDescent="0.3">
      <c r="A3169" s="24">
        <v>45371</v>
      </c>
      <c r="B3169" t="s">
        <v>134</v>
      </c>
      <c r="C3169" t="s">
        <v>29</v>
      </c>
      <c r="D3169">
        <v>2</v>
      </c>
      <c r="E3169" t="s">
        <v>139</v>
      </c>
      <c r="F3169" t="s">
        <v>31</v>
      </c>
      <c r="G3169" t="s">
        <v>2269</v>
      </c>
      <c r="H3169" t="s">
        <v>16</v>
      </c>
      <c r="I3169" s="26" t="s">
        <v>747</v>
      </c>
    </row>
    <row r="3170" spans="1:9" x14ac:dyDescent="0.3">
      <c r="A3170" s="24">
        <v>45371</v>
      </c>
      <c r="B3170" t="s">
        <v>134</v>
      </c>
      <c r="C3170" t="s">
        <v>142</v>
      </c>
      <c r="D3170">
        <v>3.1</v>
      </c>
      <c r="E3170" t="s">
        <v>143</v>
      </c>
      <c r="F3170" t="s">
        <v>31</v>
      </c>
      <c r="G3170" t="s">
        <v>2270</v>
      </c>
      <c r="H3170" t="s">
        <v>16</v>
      </c>
      <c r="I3170" s="26" t="s">
        <v>747</v>
      </c>
    </row>
    <row r="3171" spans="1:9" x14ac:dyDescent="0.3">
      <c r="A3171" s="24">
        <v>45371</v>
      </c>
      <c r="B3171" t="s">
        <v>134</v>
      </c>
      <c r="C3171" t="s">
        <v>53</v>
      </c>
      <c r="D3171">
        <v>0.37</v>
      </c>
      <c r="E3171" t="s">
        <v>54</v>
      </c>
      <c r="F3171" t="s">
        <v>55</v>
      </c>
      <c r="G3171" t="s">
        <v>2271</v>
      </c>
      <c r="H3171" t="s">
        <v>16</v>
      </c>
      <c r="I3171" s="26" t="s">
        <v>747</v>
      </c>
    </row>
    <row r="3172" spans="1:9" x14ac:dyDescent="0.3">
      <c r="A3172" s="24">
        <v>45371</v>
      </c>
      <c r="B3172" t="s">
        <v>134</v>
      </c>
      <c r="C3172" t="s">
        <v>53</v>
      </c>
      <c r="D3172">
        <v>0.5</v>
      </c>
      <c r="E3172" t="s">
        <v>54</v>
      </c>
      <c r="F3172" t="s">
        <v>55</v>
      </c>
      <c r="G3172" t="s">
        <v>110</v>
      </c>
      <c r="H3172" t="s">
        <v>16</v>
      </c>
      <c r="I3172" s="26" t="s">
        <v>747</v>
      </c>
    </row>
    <row r="3173" spans="1:9" x14ac:dyDescent="0.3">
      <c r="A3173" s="24">
        <v>45371</v>
      </c>
      <c r="B3173" t="s">
        <v>150</v>
      </c>
      <c r="C3173" t="s">
        <v>29</v>
      </c>
      <c r="D3173">
        <v>0.13</v>
      </c>
      <c r="E3173" t="s">
        <v>114</v>
      </c>
      <c r="F3173" t="s">
        <v>31</v>
      </c>
      <c r="G3173" t="s">
        <v>2272</v>
      </c>
      <c r="H3173" t="s">
        <v>16</v>
      </c>
      <c r="I3173" s="26" t="s">
        <v>747</v>
      </c>
    </row>
    <row r="3174" spans="1:9" x14ac:dyDescent="0.3">
      <c r="A3174" s="24">
        <v>45371</v>
      </c>
      <c r="B3174" t="s">
        <v>150</v>
      </c>
      <c r="C3174" t="s">
        <v>29</v>
      </c>
      <c r="D3174">
        <v>0.57999999999999996</v>
      </c>
      <c r="E3174" t="s">
        <v>151</v>
      </c>
      <c r="F3174" t="s">
        <v>31</v>
      </c>
      <c r="G3174" t="s">
        <v>2273</v>
      </c>
      <c r="H3174" t="s">
        <v>16</v>
      </c>
      <c r="I3174" s="26" t="s">
        <v>747</v>
      </c>
    </row>
    <row r="3175" spans="1:9" x14ac:dyDescent="0.3">
      <c r="A3175" s="24">
        <v>45371</v>
      </c>
      <c r="B3175" t="s">
        <v>150</v>
      </c>
      <c r="C3175" t="s">
        <v>29</v>
      </c>
      <c r="D3175">
        <v>0.98</v>
      </c>
      <c r="E3175" t="s">
        <v>437</v>
      </c>
      <c r="F3175" t="s">
        <v>31</v>
      </c>
      <c r="G3175" t="s">
        <v>617</v>
      </c>
      <c r="H3175" t="s">
        <v>16</v>
      </c>
      <c r="I3175" s="26" t="s">
        <v>747</v>
      </c>
    </row>
    <row r="3176" spans="1:9" x14ac:dyDescent="0.3">
      <c r="A3176" s="24">
        <v>45371</v>
      </c>
      <c r="B3176" t="s">
        <v>150</v>
      </c>
      <c r="C3176" t="s">
        <v>29</v>
      </c>
      <c r="D3176">
        <v>1.75</v>
      </c>
      <c r="E3176" t="s">
        <v>437</v>
      </c>
      <c r="F3176" t="s">
        <v>31</v>
      </c>
      <c r="G3176" t="s">
        <v>2001</v>
      </c>
      <c r="H3176" t="s">
        <v>16</v>
      </c>
      <c r="I3176" s="26" t="s">
        <v>747</v>
      </c>
    </row>
    <row r="3177" spans="1:9" x14ac:dyDescent="0.3">
      <c r="A3177" s="24">
        <v>45371</v>
      </c>
      <c r="B3177" t="s">
        <v>150</v>
      </c>
      <c r="C3177" t="s">
        <v>29</v>
      </c>
      <c r="D3177">
        <v>2.88</v>
      </c>
      <c r="E3177" t="s">
        <v>437</v>
      </c>
      <c r="F3177" t="s">
        <v>31</v>
      </c>
      <c r="G3177" t="s">
        <v>152</v>
      </c>
      <c r="H3177" t="s">
        <v>16</v>
      </c>
      <c r="I3177" s="26" t="s">
        <v>747</v>
      </c>
    </row>
    <row r="3178" spans="1:9" x14ac:dyDescent="0.3">
      <c r="A3178" s="24">
        <v>45371</v>
      </c>
      <c r="B3178" t="s">
        <v>150</v>
      </c>
      <c r="C3178" t="s">
        <v>60</v>
      </c>
      <c r="D3178">
        <v>0.22</v>
      </c>
      <c r="E3178" t="s">
        <v>162</v>
      </c>
      <c r="F3178" t="s">
        <v>31</v>
      </c>
      <c r="G3178" t="s">
        <v>2274</v>
      </c>
      <c r="H3178" t="s">
        <v>16</v>
      </c>
      <c r="I3178" s="26" t="s">
        <v>747</v>
      </c>
    </row>
    <row r="3179" spans="1:9" x14ac:dyDescent="0.3">
      <c r="A3179" s="24">
        <v>45371</v>
      </c>
      <c r="B3179" t="s">
        <v>150</v>
      </c>
      <c r="C3179" t="s">
        <v>60</v>
      </c>
      <c r="D3179">
        <v>1.45</v>
      </c>
      <c r="E3179" t="s">
        <v>162</v>
      </c>
      <c r="F3179" t="s">
        <v>31</v>
      </c>
      <c r="G3179" t="s">
        <v>624</v>
      </c>
      <c r="H3179" t="s">
        <v>16</v>
      </c>
      <c r="I3179" s="26" t="s">
        <v>747</v>
      </c>
    </row>
    <row r="3180" spans="1:9" x14ac:dyDescent="0.3">
      <c r="A3180" s="24">
        <v>45371</v>
      </c>
      <c r="B3180" t="s">
        <v>164</v>
      </c>
      <c r="C3180" t="s">
        <v>29</v>
      </c>
      <c r="D3180">
        <v>0.33</v>
      </c>
      <c r="E3180" t="s">
        <v>218</v>
      </c>
      <c r="F3180" t="s">
        <v>55</v>
      </c>
      <c r="G3180" t="s">
        <v>2275</v>
      </c>
      <c r="H3180" t="s">
        <v>16</v>
      </c>
      <c r="I3180" s="26" t="s">
        <v>747</v>
      </c>
    </row>
    <row r="3181" spans="1:9" x14ac:dyDescent="0.3">
      <c r="A3181" s="24">
        <v>45371</v>
      </c>
      <c r="B3181" t="s">
        <v>164</v>
      </c>
      <c r="C3181" t="s">
        <v>29</v>
      </c>
      <c r="D3181">
        <v>0.33</v>
      </c>
      <c r="E3181" t="s">
        <v>96</v>
      </c>
      <c r="F3181" t="s">
        <v>31</v>
      </c>
      <c r="G3181" t="s">
        <v>1421</v>
      </c>
      <c r="H3181" t="s">
        <v>16</v>
      </c>
      <c r="I3181" s="26" t="s">
        <v>747</v>
      </c>
    </row>
    <row r="3182" spans="1:9" x14ac:dyDescent="0.3">
      <c r="A3182" s="24">
        <v>45371</v>
      </c>
      <c r="B3182" t="s">
        <v>164</v>
      </c>
      <c r="C3182" t="s">
        <v>29</v>
      </c>
      <c r="D3182">
        <v>0.73</v>
      </c>
      <c r="E3182" t="s">
        <v>96</v>
      </c>
      <c r="F3182" t="s">
        <v>31</v>
      </c>
      <c r="G3182" t="s">
        <v>2276</v>
      </c>
      <c r="H3182" t="s">
        <v>16</v>
      </c>
      <c r="I3182" s="26" t="s">
        <v>747</v>
      </c>
    </row>
    <row r="3183" spans="1:9" x14ac:dyDescent="0.3">
      <c r="A3183" s="24">
        <v>45371</v>
      </c>
      <c r="B3183" t="s">
        <v>164</v>
      </c>
      <c r="C3183" t="s">
        <v>29</v>
      </c>
      <c r="D3183">
        <v>3.15</v>
      </c>
      <c r="E3183" t="s">
        <v>96</v>
      </c>
      <c r="F3183" t="s">
        <v>31</v>
      </c>
      <c r="H3183" t="s">
        <v>16</v>
      </c>
      <c r="I3183" s="26" t="s">
        <v>747</v>
      </c>
    </row>
    <row r="3184" spans="1:9" x14ac:dyDescent="0.3">
      <c r="A3184" s="24">
        <v>45371</v>
      </c>
      <c r="B3184" t="s">
        <v>164</v>
      </c>
      <c r="C3184" t="s">
        <v>53</v>
      </c>
      <c r="D3184">
        <v>0.5</v>
      </c>
      <c r="E3184" t="s">
        <v>54</v>
      </c>
      <c r="F3184" t="s">
        <v>55</v>
      </c>
      <c r="G3184" t="s">
        <v>2277</v>
      </c>
      <c r="H3184" t="s">
        <v>16</v>
      </c>
      <c r="I3184" s="26" t="s">
        <v>747</v>
      </c>
    </row>
    <row r="3185" spans="1:9" x14ac:dyDescent="0.3">
      <c r="A3185" s="24">
        <v>45371</v>
      </c>
      <c r="B3185" t="s">
        <v>164</v>
      </c>
      <c r="C3185" t="s">
        <v>53</v>
      </c>
      <c r="D3185">
        <v>0.53</v>
      </c>
      <c r="E3185" t="s">
        <v>54</v>
      </c>
      <c r="F3185" t="s">
        <v>55</v>
      </c>
      <c r="G3185" t="s">
        <v>2278</v>
      </c>
      <c r="H3185" t="s">
        <v>16</v>
      </c>
      <c r="I3185" s="26" t="s">
        <v>747</v>
      </c>
    </row>
    <row r="3186" spans="1:9" x14ac:dyDescent="0.3">
      <c r="A3186" s="24">
        <v>45371</v>
      </c>
      <c r="B3186" t="s">
        <v>164</v>
      </c>
      <c r="C3186" t="s">
        <v>53</v>
      </c>
      <c r="D3186">
        <v>1.1499999999999999</v>
      </c>
      <c r="E3186" t="s">
        <v>54</v>
      </c>
      <c r="F3186" t="s">
        <v>55</v>
      </c>
      <c r="G3186" t="s">
        <v>2279</v>
      </c>
      <c r="H3186" t="s">
        <v>16</v>
      </c>
      <c r="I3186" s="26" t="s">
        <v>747</v>
      </c>
    </row>
    <row r="3187" spans="1:9" x14ac:dyDescent="0.3">
      <c r="A3187" s="24">
        <v>45371</v>
      </c>
      <c r="B3187" t="s">
        <v>164</v>
      </c>
      <c r="C3187" t="s">
        <v>225</v>
      </c>
      <c r="D3187">
        <v>0.05</v>
      </c>
      <c r="E3187" t="s">
        <v>1074</v>
      </c>
      <c r="F3187" t="s">
        <v>31</v>
      </c>
      <c r="G3187" t="s">
        <v>2280</v>
      </c>
      <c r="H3187" t="s">
        <v>16</v>
      </c>
      <c r="I3187" s="26" t="s">
        <v>747</v>
      </c>
    </row>
    <row r="3188" spans="1:9" x14ac:dyDescent="0.3">
      <c r="A3188" s="24">
        <v>45371</v>
      </c>
      <c r="B3188" t="s">
        <v>164</v>
      </c>
      <c r="C3188" t="s">
        <v>60</v>
      </c>
      <c r="D3188">
        <v>1.1200000000000001</v>
      </c>
      <c r="E3188" t="s">
        <v>170</v>
      </c>
      <c r="F3188" t="s">
        <v>55</v>
      </c>
      <c r="G3188" t="s">
        <v>2281</v>
      </c>
      <c r="H3188" t="s">
        <v>16</v>
      </c>
      <c r="I3188" s="26" t="s">
        <v>747</v>
      </c>
    </row>
    <row r="3189" spans="1:9" x14ac:dyDescent="0.3">
      <c r="A3189" s="24">
        <v>45371</v>
      </c>
      <c r="B3189" t="s">
        <v>169</v>
      </c>
      <c r="C3189" t="s">
        <v>29</v>
      </c>
      <c r="D3189">
        <v>0.25</v>
      </c>
      <c r="E3189" t="s">
        <v>35</v>
      </c>
      <c r="F3189" t="s">
        <v>31</v>
      </c>
      <c r="G3189" t="s">
        <v>2282</v>
      </c>
      <c r="H3189" t="s">
        <v>16</v>
      </c>
      <c r="I3189" s="26" t="s">
        <v>747</v>
      </c>
    </row>
    <row r="3190" spans="1:9" x14ac:dyDescent="0.3">
      <c r="A3190" s="24">
        <v>45371</v>
      </c>
      <c r="B3190" t="s">
        <v>169</v>
      </c>
      <c r="C3190" t="s">
        <v>29</v>
      </c>
      <c r="D3190">
        <v>0.65</v>
      </c>
      <c r="E3190" t="s">
        <v>170</v>
      </c>
      <c r="F3190" t="s">
        <v>31</v>
      </c>
      <c r="H3190" t="s">
        <v>16</v>
      </c>
      <c r="I3190" s="26" t="s">
        <v>747</v>
      </c>
    </row>
    <row r="3191" spans="1:9" x14ac:dyDescent="0.3">
      <c r="A3191" s="24">
        <v>45371</v>
      </c>
      <c r="B3191" t="s">
        <v>169</v>
      </c>
      <c r="C3191" t="s">
        <v>60</v>
      </c>
      <c r="D3191">
        <v>0.9</v>
      </c>
      <c r="E3191" t="s">
        <v>445</v>
      </c>
      <c r="F3191" t="s">
        <v>31</v>
      </c>
      <c r="H3191" t="s">
        <v>16</v>
      </c>
      <c r="I3191" s="26" t="s">
        <v>747</v>
      </c>
    </row>
    <row r="3192" spans="1:9" x14ac:dyDescent="0.3">
      <c r="A3192" s="24">
        <v>45371</v>
      </c>
      <c r="B3192" t="s">
        <v>169</v>
      </c>
      <c r="C3192" t="s">
        <v>60</v>
      </c>
      <c r="D3192">
        <v>6.27</v>
      </c>
      <c r="E3192" t="s">
        <v>35</v>
      </c>
      <c r="F3192" t="s">
        <v>31</v>
      </c>
      <c r="H3192" t="s">
        <v>16</v>
      </c>
      <c r="I3192" s="26" t="s">
        <v>747</v>
      </c>
    </row>
    <row r="3193" spans="1:9" x14ac:dyDescent="0.3">
      <c r="A3193" s="24">
        <v>45371</v>
      </c>
      <c r="B3193" t="s">
        <v>175</v>
      </c>
      <c r="C3193" t="s">
        <v>29</v>
      </c>
      <c r="D3193">
        <v>0.17</v>
      </c>
      <c r="E3193" t="s">
        <v>179</v>
      </c>
      <c r="F3193" t="s">
        <v>31</v>
      </c>
      <c r="H3193" t="s">
        <v>16</v>
      </c>
      <c r="I3193" s="26" t="s">
        <v>747</v>
      </c>
    </row>
    <row r="3194" spans="1:9" x14ac:dyDescent="0.3">
      <c r="A3194" s="24">
        <v>45371</v>
      </c>
      <c r="B3194" t="s">
        <v>175</v>
      </c>
      <c r="C3194" t="s">
        <v>29</v>
      </c>
      <c r="D3194">
        <v>0.25</v>
      </c>
      <c r="E3194" t="s">
        <v>170</v>
      </c>
      <c r="F3194" t="s">
        <v>31</v>
      </c>
      <c r="H3194" t="s">
        <v>16</v>
      </c>
      <c r="I3194" s="26" t="s">
        <v>747</v>
      </c>
    </row>
    <row r="3195" spans="1:9" x14ac:dyDescent="0.3">
      <c r="A3195" s="24">
        <v>45371</v>
      </c>
      <c r="B3195" t="s">
        <v>175</v>
      </c>
      <c r="C3195" t="s">
        <v>29</v>
      </c>
      <c r="D3195">
        <v>0.25</v>
      </c>
      <c r="E3195" t="s">
        <v>218</v>
      </c>
      <c r="F3195" t="s">
        <v>55</v>
      </c>
      <c r="G3195" t="s">
        <v>2283</v>
      </c>
      <c r="H3195" t="s">
        <v>16</v>
      </c>
      <c r="I3195" s="26" t="s">
        <v>747</v>
      </c>
    </row>
    <row r="3196" spans="1:9" x14ac:dyDescent="0.3">
      <c r="A3196" s="24">
        <v>45371</v>
      </c>
      <c r="B3196" t="s">
        <v>175</v>
      </c>
      <c r="C3196" t="s">
        <v>29</v>
      </c>
      <c r="D3196">
        <v>0.33</v>
      </c>
      <c r="E3196" t="s">
        <v>177</v>
      </c>
      <c r="F3196" t="s">
        <v>31</v>
      </c>
      <c r="H3196" t="s">
        <v>16</v>
      </c>
      <c r="I3196" s="26" t="s">
        <v>747</v>
      </c>
    </row>
    <row r="3197" spans="1:9" x14ac:dyDescent="0.3">
      <c r="A3197" s="24">
        <v>45371</v>
      </c>
      <c r="B3197" t="s">
        <v>175</v>
      </c>
      <c r="C3197" t="s">
        <v>29</v>
      </c>
      <c r="D3197">
        <v>0.5</v>
      </c>
      <c r="E3197" t="s">
        <v>182</v>
      </c>
      <c r="F3197" t="s">
        <v>55</v>
      </c>
      <c r="G3197" t="s">
        <v>2284</v>
      </c>
      <c r="H3197" t="s">
        <v>16</v>
      </c>
      <c r="I3197" s="26" t="s">
        <v>747</v>
      </c>
    </row>
    <row r="3198" spans="1:9" x14ac:dyDescent="0.3">
      <c r="A3198" s="24">
        <v>45371</v>
      </c>
      <c r="B3198" t="s">
        <v>175</v>
      </c>
      <c r="C3198" t="s">
        <v>29</v>
      </c>
      <c r="D3198">
        <v>0.88</v>
      </c>
      <c r="E3198" t="s">
        <v>127</v>
      </c>
      <c r="F3198" t="s">
        <v>31</v>
      </c>
      <c r="H3198" t="s">
        <v>16</v>
      </c>
      <c r="I3198" s="26" t="s">
        <v>747</v>
      </c>
    </row>
    <row r="3199" spans="1:9" x14ac:dyDescent="0.3">
      <c r="A3199" s="24">
        <v>45371</v>
      </c>
      <c r="B3199" t="s">
        <v>175</v>
      </c>
      <c r="C3199" t="s">
        <v>29</v>
      </c>
      <c r="D3199">
        <v>1</v>
      </c>
      <c r="E3199" t="s">
        <v>182</v>
      </c>
      <c r="F3199" t="s">
        <v>31</v>
      </c>
      <c r="H3199" t="s">
        <v>16</v>
      </c>
      <c r="I3199" s="26" t="s">
        <v>747</v>
      </c>
    </row>
    <row r="3200" spans="1:9" x14ac:dyDescent="0.3">
      <c r="A3200" s="24">
        <v>45371</v>
      </c>
      <c r="B3200" t="s">
        <v>175</v>
      </c>
      <c r="C3200" t="s">
        <v>29</v>
      </c>
      <c r="D3200">
        <v>1.23</v>
      </c>
      <c r="E3200" t="s">
        <v>218</v>
      </c>
      <c r="F3200" t="s">
        <v>31</v>
      </c>
      <c r="H3200" t="s">
        <v>16</v>
      </c>
      <c r="I3200" s="26" t="s">
        <v>747</v>
      </c>
    </row>
    <row r="3201" spans="1:9" x14ac:dyDescent="0.3">
      <c r="A3201" s="24">
        <v>45371</v>
      </c>
      <c r="B3201" t="s">
        <v>175</v>
      </c>
      <c r="C3201" t="s">
        <v>29</v>
      </c>
      <c r="D3201">
        <v>1.45</v>
      </c>
      <c r="E3201" t="s">
        <v>127</v>
      </c>
      <c r="F3201" t="s">
        <v>31</v>
      </c>
      <c r="G3201" t="s">
        <v>2285</v>
      </c>
      <c r="H3201" t="s">
        <v>16</v>
      </c>
      <c r="I3201" s="26" t="s">
        <v>747</v>
      </c>
    </row>
    <row r="3202" spans="1:9" x14ac:dyDescent="0.3">
      <c r="A3202" s="24">
        <v>45371</v>
      </c>
      <c r="B3202" t="s">
        <v>175</v>
      </c>
      <c r="C3202" t="s">
        <v>29</v>
      </c>
      <c r="D3202">
        <v>1.57</v>
      </c>
      <c r="E3202" t="s">
        <v>182</v>
      </c>
      <c r="F3202" t="s">
        <v>31</v>
      </c>
      <c r="G3202" t="s">
        <v>2286</v>
      </c>
      <c r="H3202" t="s">
        <v>16</v>
      </c>
      <c r="I3202" s="26" t="s">
        <v>747</v>
      </c>
    </row>
    <row r="3203" spans="1:9" x14ac:dyDescent="0.3">
      <c r="A3203" s="24">
        <v>45371</v>
      </c>
      <c r="B3203" t="s">
        <v>175</v>
      </c>
      <c r="C3203" t="s">
        <v>60</v>
      </c>
      <c r="D3203">
        <v>0.37</v>
      </c>
      <c r="E3203" t="s">
        <v>182</v>
      </c>
      <c r="F3203" t="s">
        <v>31</v>
      </c>
      <c r="H3203" t="s">
        <v>16</v>
      </c>
      <c r="I3203" s="26" t="s">
        <v>747</v>
      </c>
    </row>
    <row r="3204" spans="1:9" x14ac:dyDescent="0.3">
      <c r="A3204" s="24">
        <v>45371</v>
      </c>
      <c r="B3204" t="s">
        <v>188</v>
      </c>
      <c r="C3204" t="s">
        <v>454</v>
      </c>
      <c r="D3204">
        <v>8</v>
      </c>
      <c r="E3204" t="s">
        <v>54</v>
      </c>
      <c r="F3204" t="s">
        <v>55</v>
      </c>
      <c r="G3204" t="s">
        <v>2015</v>
      </c>
      <c r="H3204" t="s">
        <v>16</v>
      </c>
      <c r="I3204" s="26" t="s">
        <v>747</v>
      </c>
    </row>
    <row r="3205" spans="1:9" x14ac:dyDescent="0.3">
      <c r="A3205" s="24">
        <v>45371</v>
      </c>
      <c r="B3205" t="s">
        <v>190</v>
      </c>
      <c r="C3205" t="s">
        <v>89</v>
      </c>
      <c r="D3205">
        <v>8</v>
      </c>
      <c r="E3205" t="s">
        <v>54</v>
      </c>
      <c r="F3205" t="s">
        <v>55</v>
      </c>
      <c r="H3205" t="s">
        <v>16</v>
      </c>
      <c r="I3205" s="26" t="s">
        <v>747</v>
      </c>
    </row>
    <row r="3206" spans="1:9" x14ac:dyDescent="0.3">
      <c r="A3206" s="24">
        <v>45371</v>
      </c>
      <c r="B3206" t="s">
        <v>191</v>
      </c>
      <c r="C3206" t="s">
        <v>89</v>
      </c>
      <c r="D3206">
        <v>8</v>
      </c>
      <c r="E3206" t="s">
        <v>54</v>
      </c>
      <c r="F3206" t="s">
        <v>55</v>
      </c>
      <c r="G3206" t="s">
        <v>2287</v>
      </c>
      <c r="H3206" t="s">
        <v>16</v>
      </c>
      <c r="I3206" s="26" t="s">
        <v>747</v>
      </c>
    </row>
    <row r="3207" spans="1:9" x14ac:dyDescent="0.3">
      <c r="A3207" s="24">
        <v>45371</v>
      </c>
      <c r="B3207" t="s">
        <v>193</v>
      </c>
      <c r="C3207" t="s">
        <v>197</v>
      </c>
      <c r="D3207">
        <v>0.38</v>
      </c>
      <c r="E3207" t="s">
        <v>54</v>
      </c>
      <c r="F3207" t="s">
        <v>55</v>
      </c>
      <c r="G3207" t="s">
        <v>2288</v>
      </c>
      <c r="H3207" t="s">
        <v>16</v>
      </c>
      <c r="I3207" s="26" t="s">
        <v>747</v>
      </c>
    </row>
    <row r="3208" spans="1:9" x14ac:dyDescent="0.3">
      <c r="A3208" s="24">
        <v>45371</v>
      </c>
      <c r="B3208" t="s">
        <v>193</v>
      </c>
      <c r="C3208" t="s">
        <v>85</v>
      </c>
      <c r="D3208">
        <v>1</v>
      </c>
      <c r="E3208" t="s">
        <v>205</v>
      </c>
      <c r="F3208" t="s">
        <v>31</v>
      </c>
      <c r="G3208" t="s">
        <v>2289</v>
      </c>
      <c r="H3208" t="s">
        <v>16</v>
      </c>
      <c r="I3208" s="26" t="s">
        <v>747</v>
      </c>
    </row>
    <row r="3209" spans="1:9" x14ac:dyDescent="0.3">
      <c r="A3209" s="24">
        <v>45371</v>
      </c>
      <c r="B3209" t="s">
        <v>193</v>
      </c>
      <c r="C3209" t="s">
        <v>53</v>
      </c>
      <c r="D3209">
        <v>0.17</v>
      </c>
      <c r="E3209" t="s">
        <v>54</v>
      </c>
      <c r="F3209" t="s">
        <v>55</v>
      </c>
      <c r="G3209" t="s">
        <v>2290</v>
      </c>
      <c r="H3209" t="s">
        <v>16</v>
      </c>
      <c r="I3209" s="26" t="s">
        <v>747</v>
      </c>
    </row>
    <row r="3210" spans="1:9" x14ac:dyDescent="0.3">
      <c r="A3210" s="24">
        <v>45371</v>
      </c>
      <c r="B3210" t="s">
        <v>193</v>
      </c>
      <c r="C3210" t="s">
        <v>53</v>
      </c>
      <c r="D3210">
        <v>0.5</v>
      </c>
      <c r="E3210" t="s">
        <v>54</v>
      </c>
      <c r="F3210" t="s">
        <v>55</v>
      </c>
      <c r="G3210" t="s">
        <v>2291</v>
      </c>
      <c r="H3210" t="s">
        <v>16</v>
      </c>
      <c r="I3210" s="26" t="s">
        <v>747</v>
      </c>
    </row>
    <row r="3211" spans="1:9" x14ac:dyDescent="0.3">
      <c r="A3211" s="24">
        <v>45371</v>
      </c>
      <c r="B3211" t="s">
        <v>193</v>
      </c>
      <c r="C3211" t="s">
        <v>60</v>
      </c>
      <c r="D3211">
        <v>0.25</v>
      </c>
      <c r="E3211" t="s">
        <v>195</v>
      </c>
      <c r="F3211" t="s">
        <v>31</v>
      </c>
      <c r="G3211" t="s">
        <v>2292</v>
      </c>
      <c r="H3211" t="s">
        <v>16</v>
      </c>
      <c r="I3211" s="26" t="s">
        <v>747</v>
      </c>
    </row>
    <row r="3212" spans="1:9" x14ac:dyDescent="0.3">
      <c r="A3212" s="24">
        <v>45371</v>
      </c>
      <c r="B3212" t="s">
        <v>193</v>
      </c>
      <c r="C3212" t="s">
        <v>60</v>
      </c>
      <c r="D3212">
        <v>0.3</v>
      </c>
      <c r="E3212" t="s">
        <v>162</v>
      </c>
      <c r="F3212" t="s">
        <v>31</v>
      </c>
      <c r="G3212" t="s">
        <v>2293</v>
      </c>
      <c r="H3212" t="s">
        <v>16</v>
      </c>
      <c r="I3212" s="26" t="s">
        <v>747</v>
      </c>
    </row>
    <row r="3213" spans="1:9" x14ac:dyDescent="0.3">
      <c r="A3213" s="24">
        <v>45371</v>
      </c>
      <c r="B3213" t="s">
        <v>193</v>
      </c>
      <c r="C3213" t="s">
        <v>60</v>
      </c>
      <c r="D3213">
        <v>0.37</v>
      </c>
      <c r="E3213" t="s">
        <v>162</v>
      </c>
      <c r="F3213" t="s">
        <v>31</v>
      </c>
      <c r="G3213" t="s">
        <v>2294</v>
      </c>
      <c r="H3213" t="s">
        <v>16</v>
      </c>
      <c r="I3213" s="26" t="s">
        <v>747</v>
      </c>
    </row>
    <row r="3214" spans="1:9" x14ac:dyDescent="0.3">
      <c r="A3214" s="24">
        <v>45371</v>
      </c>
      <c r="B3214" t="s">
        <v>193</v>
      </c>
      <c r="C3214" t="s">
        <v>60</v>
      </c>
      <c r="D3214">
        <v>0.87</v>
      </c>
      <c r="E3214" t="s">
        <v>162</v>
      </c>
      <c r="F3214" t="s">
        <v>31</v>
      </c>
      <c r="G3214" t="s">
        <v>2295</v>
      </c>
      <c r="H3214" t="s">
        <v>16</v>
      </c>
      <c r="I3214" s="26" t="s">
        <v>747</v>
      </c>
    </row>
    <row r="3215" spans="1:9" x14ac:dyDescent="0.3">
      <c r="A3215" s="24">
        <v>45371</v>
      </c>
      <c r="B3215" t="s">
        <v>193</v>
      </c>
      <c r="C3215" t="s">
        <v>60</v>
      </c>
      <c r="D3215">
        <v>1</v>
      </c>
      <c r="E3215" t="s">
        <v>162</v>
      </c>
      <c r="F3215" t="s">
        <v>31</v>
      </c>
      <c r="G3215" t="s">
        <v>547</v>
      </c>
      <c r="H3215" t="s">
        <v>16</v>
      </c>
      <c r="I3215" s="26" t="s">
        <v>747</v>
      </c>
    </row>
    <row r="3216" spans="1:9" x14ac:dyDescent="0.3">
      <c r="A3216" s="24">
        <v>45371</v>
      </c>
      <c r="B3216" t="s">
        <v>193</v>
      </c>
      <c r="C3216" t="s">
        <v>60</v>
      </c>
      <c r="D3216">
        <v>2.23</v>
      </c>
      <c r="E3216" t="s">
        <v>162</v>
      </c>
      <c r="F3216" t="s">
        <v>31</v>
      </c>
      <c r="G3216" t="s">
        <v>2296</v>
      </c>
      <c r="H3216" t="s">
        <v>16</v>
      </c>
      <c r="I3216" s="26" t="s">
        <v>747</v>
      </c>
    </row>
    <row r="3217" spans="1:9" x14ac:dyDescent="0.3">
      <c r="A3217" s="24">
        <v>45371</v>
      </c>
      <c r="B3217" t="s">
        <v>212</v>
      </c>
      <c r="C3217" t="s">
        <v>85</v>
      </c>
      <c r="D3217">
        <v>0.05</v>
      </c>
      <c r="E3217" t="s">
        <v>81</v>
      </c>
      <c r="F3217" t="s">
        <v>55</v>
      </c>
      <c r="G3217" t="s">
        <v>2297</v>
      </c>
      <c r="H3217" t="s">
        <v>16</v>
      </c>
      <c r="I3217" s="26" t="s">
        <v>747</v>
      </c>
    </row>
    <row r="3218" spans="1:9" x14ac:dyDescent="0.3">
      <c r="A3218" s="24">
        <v>45371</v>
      </c>
      <c r="B3218" t="s">
        <v>212</v>
      </c>
      <c r="C3218" t="s">
        <v>85</v>
      </c>
      <c r="D3218">
        <v>0.05</v>
      </c>
      <c r="E3218" t="s">
        <v>139</v>
      </c>
      <c r="F3218" t="s">
        <v>31</v>
      </c>
      <c r="G3218" t="s">
        <v>489</v>
      </c>
      <c r="H3218" t="s">
        <v>16</v>
      </c>
      <c r="I3218" s="26" t="s">
        <v>747</v>
      </c>
    </row>
    <row r="3219" spans="1:9" x14ac:dyDescent="0.3">
      <c r="A3219" s="24">
        <v>45371</v>
      </c>
      <c r="B3219" t="s">
        <v>212</v>
      </c>
      <c r="C3219" t="s">
        <v>85</v>
      </c>
      <c r="D3219">
        <v>0.05</v>
      </c>
      <c r="E3219" t="s">
        <v>179</v>
      </c>
      <c r="F3219" t="s">
        <v>55</v>
      </c>
      <c r="G3219" t="s">
        <v>973</v>
      </c>
      <c r="H3219" t="s">
        <v>16</v>
      </c>
      <c r="I3219" s="26" t="s">
        <v>747</v>
      </c>
    </row>
    <row r="3220" spans="1:9" x14ac:dyDescent="0.3">
      <c r="A3220" s="24">
        <v>45371</v>
      </c>
      <c r="B3220" t="s">
        <v>212</v>
      </c>
      <c r="C3220" t="s">
        <v>85</v>
      </c>
      <c r="D3220">
        <v>0.08</v>
      </c>
      <c r="E3220" t="s">
        <v>139</v>
      </c>
      <c r="F3220" t="s">
        <v>55</v>
      </c>
      <c r="G3220" t="s">
        <v>2298</v>
      </c>
      <c r="H3220" t="s">
        <v>16</v>
      </c>
      <c r="I3220" s="26" t="s">
        <v>747</v>
      </c>
    </row>
    <row r="3221" spans="1:9" x14ac:dyDescent="0.3">
      <c r="A3221" s="24">
        <v>45371</v>
      </c>
      <c r="B3221" t="s">
        <v>212</v>
      </c>
      <c r="C3221" t="s">
        <v>85</v>
      </c>
      <c r="D3221">
        <v>0.08</v>
      </c>
      <c r="E3221" t="s">
        <v>61</v>
      </c>
      <c r="F3221" t="s">
        <v>31</v>
      </c>
      <c r="G3221" t="s">
        <v>973</v>
      </c>
      <c r="H3221" t="s">
        <v>16</v>
      </c>
      <c r="I3221" s="26" t="s">
        <v>747</v>
      </c>
    </row>
    <row r="3222" spans="1:9" x14ac:dyDescent="0.3">
      <c r="A3222" s="24">
        <v>45371</v>
      </c>
      <c r="B3222" t="s">
        <v>212</v>
      </c>
      <c r="C3222" t="s">
        <v>85</v>
      </c>
      <c r="D3222">
        <v>0.13</v>
      </c>
      <c r="E3222" t="s">
        <v>139</v>
      </c>
      <c r="F3222" t="s">
        <v>31</v>
      </c>
      <c r="G3222" t="s">
        <v>973</v>
      </c>
      <c r="H3222" t="s">
        <v>16</v>
      </c>
      <c r="I3222" s="26" t="s">
        <v>747</v>
      </c>
    </row>
    <row r="3223" spans="1:9" x14ac:dyDescent="0.3">
      <c r="A3223" s="24">
        <v>45371</v>
      </c>
      <c r="B3223" t="s">
        <v>212</v>
      </c>
      <c r="C3223" t="s">
        <v>85</v>
      </c>
      <c r="D3223">
        <v>0.2</v>
      </c>
      <c r="E3223" t="s">
        <v>179</v>
      </c>
      <c r="F3223" t="s">
        <v>31</v>
      </c>
      <c r="G3223" t="s">
        <v>973</v>
      </c>
      <c r="H3223" t="s">
        <v>16</v>
      </c>
      <c r="I3223" s="26" t="s">
        <v>747</v>
      </c>
    </row>
    <row r="3224" spans="1:9" x14ac:dyDescent="0.3">
      <c r="A3224" s="24">
        <v>45371</v>
      </c>
      <c r="B3224" t="s">
        <v>212</v>
      </c>
      <c r="C3224" t="s">
        <v>85</v>
      </c>
      <c r="D3224">
        <v>0.2</v>
      </c>
      <c r="E3224" t="s">
        <v>1865</v>
      </c>
      <c r="F3224" t="s">
        <v>31</v>
      </c>
      <c r="G3224" t="s">
        <v>2299</v>
      </c>
      <c r="H3224" t="s">
        <v>16</v>
      </c>
      <c r="I3224" s="26" t="s">
        <v>747</v>
      </c>
    </row>
    <row r="3225" spans="1:9" x14ac:dyDescent="0.3">
      <c r="A3225" s="24">
        <v>45371</v>
      </c>
      <c r="B3225" t="s">
        <v>212</v>
      </c>
      <c r="C3225" t="s">
        <v>85</v>
      </c>
      <c r="D3225">
        <v>0.33</v>
      </c>
      <c r="E3225" t="s">
        <v>127</v>
      </c>
      <c r="F3225" t="s">
        <v>31</v>
      </c>
      <c r="G3225" t="s">
        <v>2300</v>
      </c>
      <c r="H3225" t="s">
        <v>16</v>
      </c>
      <c r="I3225" s="26" t="s">
        <v>747</v>
      </c>
    </row>
    <row r="3226" spans="1:9" x14ac:dyDescent="0.3">
      <c r="A3226" s="24">
        <v>45371</v>
      </c>
      <c r="B3226" t="s">
        <v>212</v>
      </c>
      <c r="C3226" t="s">
        <v>53</v>
      </c>
      <c r="D3226">
        <v>0.15</v>
      </c>
      <c r="E3226" t="s">
        <v>54</v>
      </c>
      <c r="F3226" t="s">
        <v>55</v>
      </c>
      <c r="G3226" t="s">
        <v>2301</v>
      </c>
      <c r="H3226" t="s">
        <v>16</v>
      </c>
      <c r="I3226" s="26" t="s">
        <v>747</v>
      </c>
    </row>
    <row r="3227" spans="1:9" x14ac:dyDescent="0.3">
      <c r="A3227" s="24">
        <v>45371</v>
      </c>
      <c r="B3227" t="s">
        <v>212</v>
      </c>
      <c r="C3227" t="s">
        <v>53</v>
      </c>
      <c r="D3227">
        <v>0.28000000000000003</v>
      </c>
      <c r="E3227" t="s">
        <v>54</v>
      </c>
      <c r="F3227" t="s">
        <v>55</v>
      </c>
      <c r="H3227" t="s">
        <v>16</v>
      </c>
      <c r="I3227" s="26" t="s">
        <v>747</v>
      </c>
    </row>
    <row r="3228" spans="1:9" x14ac:dyDescent="0.3">
      <c r="A3228" s="24">
        <v>45371</v>
      </c>
      <c r="B3228" t="s">
        <v>212</v>
      </c>
      <c r="C3228" t="s">
        <v>53</v>
      </c>
      <c r="D3228">
        <v>0.5</v>
      </c>
      <c r="E3228" t="s">
        <v>54</v>
      </c>
      <c r="F3228" t="s">
        <v>55</v>
      </c>
      <c r="G3228" t="s">
        <v>222</v>
      </c>
      <c r="H3228" t="s">
        <v>16</v>
      </c>
      <c r="I3228" s="26" t="s">
        <v>747</v>
      </c>
    </row>
    <row r="3229" spans="1:9" x14ac:dyDescent="0.3">
      <c r="A3229" s="24">
        <v>45371</v>
      </c>
      <c r="B3229" t="s">
        <v>212</v>
      </c>
      <c r="C3229" t="s">
        <v>123</v>
      </c>
      <c r="D3229">
        <v>0.17</v>
      </c>
      <c r="E3229" t="s">
        <v>54</v>
      </c>
      <c r="F3229" t="s">
        <v>55</v>
      </c>
      <c r="G3229" t="s">
        <v>2302</v>
      </c>
      <c r="H3229" t="s">
        <v>16</v>
      </c>
      <c r="I3229" s="26" t="s">
        <v>747</v>
      </c>
    </row>
    <row r="3230" spans="1:9" x14ac:dyDescent="0.3">
      <c r="A3230" s="24">
        <v>45371</v>
      </c>
      <c r="B3230" t="s">
        <v>212</v>
      </c>
      <c r="C3230" t="s">
        <v>123</v>
      </c>
      <c r="D3230">
        <v>0.56999999999999995</v>
      </c>
      <c r="E3230" t="s">
        <v>54</v>
      </c>
      <c r="F3230" t="s">
        <v>55</v>
      </c>
      <c r="G3230" t="s">
        <v>2303</v>
      </c>
      <c r="H3230" t="s">
        <v>16</v>
      </c>
      <c r="I3230" s="26" t="s">
        <v>747</v>
      </c>
    </row>
    <row r="3231" spans="1:9" x14ac:dyDescent="0.3">
      <c r="A3231" s="24">
        <v>45371</v>
      </c>
      <c r="B3231" t="s">
        <v>212</v>
      </c>
      <c r="C3231" t="s">
        <v>491</v>
      </c>
      <c r="D3231">
        <v>0.1</v>
      </c>
      <c r="E3231" t="s">
        <v>1754</v>
      </c>
      <c r="F3231" t="s">
        <v>55</v>
      </c>
      <c r="G3231" t="s">
        <v>2304</v>
      </c>
      <c r="H3231" t="s">
        <v>16</v>
      </c>
      <c r="I3231" s="26" t="s">
        <v>747</v>
      </c>
    </row>
    <row r="3232" spans="1:9" x14ac:dyDescent="0.3">
      <c r="A3232" s="24">
        <v>45371</v>
      </c>
      <c r="B3232" t="s">
        <v>212</v>
      </c>
      <c r="C3232" t="s">
        <v>491</v>
      </c>
      <c r="D3232">
        <v>0.15</v>
      </c>
      <c r="E3232" t="s">
        <v>1754</v>
      </c>
      <c r="F3232" t="s">
        <v>55</v>
      </c>
      <c r="G3232" t="s">
        <v>2305</v>
      </c>
      <c r="H3232" t="s">
        <v>16</v>
      </c>
      <c r="I3232" s="26" t="s">
        <v>747</v>
      </c>
    </row>
    <row r="3233" spans="1:9" x14ac:dyDescent="0.3">
      <c r="A3233" s="24">
        <v>45371</v>
      </c>
      <c r="B3233" t="s">
        <v>212</v>
      </c>
      <c r="C3233" t="s">
        <v>491</v>
      </c>
      <c r="D3233">
        <v>0.3</v>
      </c>
      <c r="E3233" t="s">
        <v>127</v>
      </c>
      <c r="F3233" t="s">
        <v>31</v>
      </c>
      <c r="G3233" t="s">
        <v>2306</v>
      </c>
      <c r="H3233" t="s">
        <v>16</v>
      </c>
      <c r="I3233" s="26" t="s">
        <v>747</v>
      </c>
    </row>
    <row r="3234" spans="1:9" x14ac:dyDescent="0.3">
      <c r="A3234" s="24">
        <v>45371</v>
      </c>
      <c r="B3234" t="s">
        <v>212</v>
      </c>
      <c r="C3234" t="s">
        <v>491</v>
      </c>
      <c r="D3234">
        <v>0.56999999999999995</v>
      </c>
      <c r="E3234" t="s">
        <v>127</v>
      </c>
      <c r="F3234" t="s">
        <v>55</v>
      </c>
      <c r="G3234" t="s">
        <v>2307</v>
      </c>
      <c r="H3234" t="s">
        <v>16</v>
      </c>
      <c r="I3234" s="26" t="s">
        <v>747</v>
      </c>
    </row>
    <row r="3235" spans="1:9" x14ac:dyDescent="0.3">
      <c r="A3235" s="24">
        <v>45371</v>
      </c>
      <c r="B3235" t="s">
        <v>212</v>
      </c>
      <c r="C3235" t="s">
        <v>491</v>
      </c>
      <c r="D3235">
        <v>0.6</v>
      </c>
      <c r="E3235" t="s">
        <v>1754</v>
      </c>
      <c r="F3235" t="s">
        <v>55</v>
      </c>
      <c r="G3235" t="s">
        <v>2308</v>
      </c>
      <c r="H3235" t="s">
        <v>16</v>
      </c>
      <c r="I3235" s="26" t="s">
        <v>747</v>
      </c>
    </row>
    <row r="3236" spans="1:9" x14ac:dyDescent="0.3">
      <c r="A3236" s="24">
        <v>45371</v>
      </c>
      <c r="B3236" t="s">
        <v>212</v>
      </c>
      <c r="C3236" t="s">
        <v>225</v>
      </c>
      <c r="D3236">
        <v>0.35</v>
      </c>
      <c r="E3236" t="s">
        <v>61</v>
      </c>
      <c r="F3236" t="s">
        <v>55</v>
      </c>
      <c r="G3236" t="s">
        <v>2309</v>
      </c>
      <c r="H3236" t="s">
        <v>16</v>
      </c>
      <c r="I3236" s="26" t="s">
        <v>747</v>
      </c>
    </row>
    <row r="3237" spans="1:9" x14ac:dyDescent="0.3">
      <c r="A3237" s="24">
        <v>45371</v>
      </c>
      <c r="B3237" t="s">
        <v>212</v>
      </c>
      <c r="C3237" t="s">
        <v>225</v>
      </c>
      <c r="D3237">
        <v>1.1000000000000001</v>
      </c>
      <c r="E3237" t="s">
        <v>61</v>
      </c>
      <c r="F3237" t="s">
        <v>31</v>
      </c>
      <c r="G3237" t="s">
        <v>494</v>
      </c>
      <c r="H3237" t="s">
        <v>16</v>
      </c>
      <c r="I3237" s="26" t="s">
        <v>747</v>
      </c>
    </row>
    <row r="3238" spans="1:9" x14ac:dyDescent="0.3">
      <c r="A3238" s="24">
        <v>45371</v>
      </c>
      <c r="B3238" t="s">
        <v>212</v>
      </c>
      <c r="C3238" t="s">
        <v>2310</v>
      </c>
      <c r="D3238">
        <v>0.17</v>
      </c>
      <c r="E3238" t="s">
        <v>1754</v>
      </c>
      <c r="F3238" t="s">
        <v>31</v>
      </c>
      <c r="G3238" t="s">
        <v>2311</v>
      </c>
      <c r="H3238" t="s">
        <v>16</v>
      </c>
      <c r="I3238" s="26" t="s">
        <v>747</v>
      </c>
    </row>
    <row r="3239" spans="1:9" x14ac:dyDescent="0.3">
      <c r="A3239" s="24">
        <v>45371</v>
      </c>
      <c r="B3239" t="s">
        <v>212</v>
      </c>
      <c r="C3239" t="s">
        <v>232</v>
      </c>
      <c r="D3239">
        <v>0.08</v>
      </c>
      <c r="E3239" t="s">
        <v>139</v>
      </c>
      <c r="F3239" t="s">
        <v>55</v>
      </c>
      <c r="G3239" t="s">
        <v>2312</v>
      </c>
      <c r="H3239" t="s">
        <v>16</v>
      </c>
      <c r="I3239" s="26" t="s">
        <v>747</v>
      </c>
    </row>
    <row r="3240" spans="1:9" x14ac:dyDescent="0.3">
      <c r="A3240" s="24">
        <v>45371</v>
      </c>
      <c r="B3240" t="s">
        <v>212</v>
      </c>
      <c r="C3240" t="s">
        <v>232</v>
      </c>
      <c r="D3240">
        <v>0.22</v>
      </c>
      <c r="E3240" t="s">
        <v>139</v>
      </c>
      <c r="F3240" t="s">
        <v>31</v>
      </c>
      <c r="G3240" t="s">
        <v>2313</v>
      </c>
      <c r="H3240" t="s">
        <v>16</v>
      </c>
      <c r="I3240" s="26" t="s">
        <v>747</v>
      </c>
    </row>
    <row r="3241" spans="1:9" x14ac:dyDescent="0.3">
      <c r="A3241" s="24">
        <v>45371</v>
      </c>
      <c r="B3241" t="s">
        <v>212</v>
      </c>
      <c r="C3241" t="s">
        <v>232</v>
      </c>
      <c r="D3241">
        <v>1.02</v>
      </c>
      <c r="E3241" t="s">
        <v>106</v>
      </c>
      <c r="F3241" t="s">
        <v>31</v>
      </c>
      <c r="H3241" t="s">
        <v>16</v>
      </c>
      <c r="I3241" s="26" t="s">
        <v>747</v>
      </c>
    </row>
    <row r="3242" spans="1:9" x14ac:dyDescent="0.3">
      <c r="A3242" s="24">
        <v>45371</v>
      </c>
      <c r="B3242" t="s">
        <v>212</v>
      </c>
      <c r="C3242" t="s">
        <v>148</v>
      </c>
      <c r="D3242">
        <v>0.43</v>
      </c>
      <c r="E3242" t="s">
        <v>54</v>
      </c>
      <c r="F3242" t="s">
        <v>55</v>
      </c>
      <c r="G3242" t="s">
        <v>2314</v>
      </c>
      <c r="H3242" t="s">
        <v>16</v>
      </c>
      <c r="I3242" s="26" t="s">
        <v>747</v>
      </c>
    </row>
    <row r="3243" spans="1:9" x14ac:dyDescent="0.3">
      <c r="A3243" s="24">
        <v>45371</v>
      </c>
      <c r="B3243" t="s">
        <v>212</v>
      </c>
      <c r="C3243" t="s">
        <v>58</v>
      </c>
      <c r="D3243">
        <v>0.08</v>
      </c>
      <c r="E3243" t="s">
        <v>54</v>
      </c>
      <c r="F3243" t="s">
        <v>55</v>
      </c>
      <c r="G3243" t="s">
        <v>2315</v>
      </c>
      <c r="H3243" t="s">
        <v>16</v>
      </c>
      <c r="I3243" s="26" t="s">
        <v>747</v>
      </c>
    </row>
    <row r="3244" spans="1:9" x14ac:dyDescent="0.3">
      <c r="A3244" s="24">
        <v>45371</v>
      </c>
      <c r="B3244" t="s">
        <v>498</v>
      </c>
      <c r="C3244" t="s">
        <v>123</v>
      </c>
      <c r="D3244">
        <v>1</v>
      </c>
      <c r="E3244" t="s">
        <v>54</v>
      </c>
      <c r="F3244" t="s">
        <v>55</v>
      </c>
      <c r="G3244" t="s">
        <v>2316</v>
      </c>
      <c r="H3244" t="s">
        <v>16</v>
      </c>
      <c r="I3244" s="26" t="s">
        <v>747</v>
      </c>
    </row>
    <row r="3245" spans="1:9" x14ac:dyDescent="0.3">
      <c r="A3245" s="24">
        <v>45371</v>
      </c>
      <c r="B3245" t="s">
        <v>498</v>
      </c>
      <c r="C3245" t="s">
        <v>173</v>
      </c>
      <c r="D3245">
        <v>7</v>
      </c>
      <c r="E3245" t="s">
        <v>49</v>
      </c>
      <c r="F3245" t="s">
        <v>31</v>
      </c>
      <c r="G3245" t="s">
        <v>2317</v>
      </c>
      <c r="H3245" t="s">
        <v>16</v>
      </c>
      <c r="I3245" s="26" t="s">
        <v>747</v>
      </c>
    </row>
    <row r="3246" spans="1:9" x14ac:dyDescent="0.3">
      <c r="A3246" s="24">
        <v>45371</v>
      </c>
      <c r="B3246" t="s">
        <v>240</v>
      </c>
      <c r="C3246" t="s">
        <v>29</v>
      </c>
      <c r="D3246">
        <v>0.27</v>
      </c>
      <c r="E3246" t="s">
        <v>179</v>
      </c>
      <c r="F3246" t="s">
        <v>31</v>
      </c>
      <c r="G3246" t="s">
        <v>2318</v>
      </c>
      <c r="H3246" t="s">
        <v>16</v>
      </c>
      <c r="I3246" s="26" t="s">
        <v>747</v>
      </c>
    </row>
    <row r="3247" spans="1:9" x14ac:dyDescent="0.3">
      <c r="A3247" s="24">
        <v>45371</v>
      </c>
      <c r="B3247" t="s">
        <v>240</v>
      </c>
      <c r="C3247" t="s">
        <v>29</v>
      </c>
      <c r="D3247">
        <v>0.3</v>
      </c>
      <c r="E3247" t="s">
        <v>179</v>
      </c>
      <c r="F3247" t="s">
        <v>31</v>
      </c>
      <c r="G3247" t="s">
        <v>2319</v>
      </c>
      <c r="H3247" t="s">
        <v>16</v>
      </c>
      <c r="I3247" s="26" t="s">
        <v>747</v>
      </c>
    </row>
    <row r="3248" spans="1:9" x14ac:dyDescent="0.3">
      <c r="A3248" s="24">
        <v>45371</v>
      </c>
      <c r="B3248" t="s">
        <v>240</v>
      </c>
      <c r="C3248" t="s">
        <v>29</v>
      </c>
      <c r="D3248">
        <v>0.38</v>
      </c>
      <c r="E3248" t="s">
        <v>81</v>
      </c>
      <c r="F3248" t="s">
        <v>31</v>
      </c>
      <c r="G3248" t="s">
        <v>2320</v>
      </c>
      <c r="H3248" t="s">
        <v>16</v>
      </c>
      <c r="I3248" s="26" t="s">
        <v>747</v>
      </c>
    </row>
    <row r="3249" spans="1:9" x14ac:dyDescent="0.3">
      <c r="A3249" s="24">
        <v>45371</v>
      </c>
      <c r="B3249" t="s">
        <v>240</v>
      </c>
      <c r="C3249" t="s">
        <v>29</v>
      </c>
      <c r="D3249">
        <v>0.4</v>
      </c>
      <c r="E3249" t="s">
        <v>81</v>
      </c>
      <c r="F3249" t="s">
        <v>31</v>
      </c>
      <c r="G3249" t="s">
        <v>2321</v>
      </c>
      <c r="H3249" t="s">
        <v>16</v>
      </c>
      <c r="I3249" s="26" t="s">
        <v>747</v>
      </c>
    </row>
    <row r="3250" spans="1:9" x14ac:dyDescent="0.3">
      <c r="A3250" s="24">
        <v>45371</v>
      </c>
      <c r="B3250" t="s">
        <v>240</v>
      </c>
      <c r="C3250" t="s">
        <v>29</v>
      </c>
      <c r="D3250">
        <v>1</v>
      </c>
      <c r="E3250" t="s">
        <v>217</v>
      </c>
      <c r="F3250" t="s">
        <v>31</v>
      </c>
      <c r="G3250" t="s">
        <v>2322</v>
      </c>
      <c r="H3250" t="s">
        <v>16</v>
      </c>
      <c r="I3250" s="26" t="s">
        <v>747</v>
      </c>
    </row>
    <row r="3251" spans="1:9" x14ac:dyDescent="0.3">
      <c r="A3251" s="24">
        <v>45371</v>
      </c>
      <c r="B3251" t="s">
        <v>240</v>
      </c>
      <c r="C3251" t="s">
        <v>29</v>
      </c>
      <c r="D3251">
        <v>7</v>
      </c>
      <c r="E3251" t="s">
        <v>81</v>
      </c>
      <c r="F3251" t="s">
        <v>31</v>
      </c>
      <c r="H3251" t="s">
        <v>16</v>
      </c>
      <c r="I3251" s="26" t="s">
        <v>747</v>
      </c>
    </row>
    <row r="3252" spans="1:9" x14ac:dyDescent="0.3">
      <c r="A3252" s="24">
        <v>45371</v>
      </c>
      <c r="B3252" t="s">
        <v>240</v>
      </c>
      <c r="C3252" t="s">
        <v>53</v>
      </c>
      <c r="D3252">
        <v>0.27</v>
      </c>
      <c r="E3252" t="s">
        <v>54</v>
      </c>
      <c r="F3252" t="s">
        <v>55</v>
      </c>
      <c r="G3252" t="s">
        <v>207</v>
      </c>
      <c r="H3252" t="s">
        <v>16</v>
      </c>
      <c r="I3252" s="26" t="s">
        <v>747</v>
      </c>
    </row>
    <row r="3253" spans="1:9" x14ac:dyDescent="0.3">
      <c r="A3253" s="24">
        <v>45371</v>
      </c>
      <c r="B3253" t="s">
        <v>240</v>
      </c>
      <c r="C3253" t="s">
        <v>60</v>
      </c>
      <c r="D3253">
        <v>1.83</v>
      </c>
      <c r="E3253" t="s">
        <v>139</v>
      </c>
      <c r="F3253" t="s">
        <v>31</v>
      </c>
      <c r="H3253" t="s">
        <v>16</v>
      </c>
      <c r="I3253" s="26" t="s">
        <v>747</v>
      </c>
    </row>
    <row r="3254" spans="1:9" x14ac:dyDescent="0.3">
      <c r="A3254" s="24">
        <v>45371</v>
      </c>
      <c r="B3254" t="s">
        <v>249</v>
      </c>
      <c r="C3254" t="s">
        <v>250</v>
      </c>
      <c r="D3254">
        <v>2</v>
      </c>
      <c r="E3254" t="s">
        <v>81</v>
      </c>
      <c r="F3254" t="s">
        <v>55</v>
      </c>
      <c r="G3254" t="s">
        <v>251</v>
      </c>
      <c r="H3254" t="s">
        <v>16</v>
      </c>
      <c r="I3254" s="26" t="s">
        <v>747</v>
      </c>
    </row>
    <row r="3255" spans="1:9" x14ac:dyDescent="0.3">
      <c r="A3255" s="24">
        <v>45371</v>
      </c>
      <c r="B3255" t="s">
        <v>249</v>
      </c>
      <c r="C3255" t="s">
        <v>252</v>
      </c>
      <c r="D3255">
        <v>1.5</v>
      </c>
      <c r="E3255" t="s">
        <v>54</v>
      </c>
      <c r="F3255" t="s">
        <v>55</v>
      </c>
      <c r="H3255" t="s">
        <v>16</v>
      </c>
      <c r="I3255" s="26" t="s">
        <v>747</v>
      </c>
    </row>
    <row r="3256" spans="1:9" x14ac:dyDescent="0.3">
      <c r="A3256" s="24">
        <v>45371</v>
      </c>
      <c r="B3256" t="s">
        <v>249</v>
      </c>
      <c r="C3256" t="s">
        <v>252</v>
      </c>
      <c r="D3256">
        <v>4</v>
      </c>
      <c r="E3256" t="s">
        <v>81</v>
      </c>
      <c r="F3256" t="s">
        <v>31</v>
      </c>
      <c r="H3256" t="s">
        <v>16</v>
      </c>
      <c r="I3256" s="26" t="s">
        <v>747</v>
      </c>
    </row>
    <row r="3257" spans="1:9" x14ac:dyDescent="0.3">
      <c r="A3257" s="24">
        <v>45371</v>
      </c>
      <c r="B3257" t="s">
        <v>249</v>
      </c>
      <c r="C3257" t="s">
        <v>53</v>
      </c>
      <c r="D3257">
        <v>0.5</v>
      </c>
      <c r="E3257" t="s">
        <v>54</v>
      </c>
      <c r="F3257" t="s">
        <v>55</v>
      </c>
      <c r="G3257" t="s">
        <v>110</v>
      </c>
      <c r="H3257" t="s">
        <v>16</v>
      </c>
      <c r="I3257" s="26" t="s">
        <v>747</v>
      </c>
    </row>
    <row r="3258" spans="1:9" x14ac:dyDescent="0.3">
      <c r="A3258" s="24">
        <v>45371</v>
      </c>
      <c r="B3258" t="s">
        <v>262</v>
      </c>
      <c r="C3258" t="s">
        <v>29</v>
      </c>
      <c r="D3258">
        <v>4.87</v>
      </c>
      <c r="E3258" t="s">
        <v>263</v>
      </c>
      <c r="F3258" t="s">
        <v>31</v>
      </c>
      <c r="G3258" t="s">
        <v>2323</v>
      </c>
      <c r="H3258" t="s">
        <v>16</v>
      </c>
      <c r="I3258" s="26" t="s">
        <v>747</v>
      </c>
    </row>
    <row r="3259" spans="1:9" x14ac:dyDescent="0.3">
      <c r="A3259" s="24">
        <v>45371</v>
      </c>
      <c r="B3259" t="s">
        <v>262</v>
      </c>
      <c r="C3259" t="s">
        <v>53</v>
      </c>
      <c r="D3259">
        <v>0.5</v>
      </c>
      <c r="E3259" t="s">
        <v>54</v>
      </c>
      <c r="F3259" t="s">
        <v>55</v>
      </c>
      <c r="G3259" t="s">
        <v>253</v>
      </c>
      <c r="H3259" t="s">
        <v>16</v>
      </c>
      <c r="I3259" s="26" t="s">
        <v>747</v>
      </c>
    </row>
    <row r="3260" spans="1:9" x14ac:dyDescent="0.3">
      <c r="A3260" s="24">
        <v>45371</v>
      </c>
      <c r="B3260" t="s">
        <v>262</v>
      </c>
      <c r="C3260" t="s">
        <v>148</v>
      </c>
      <c r="D3260">
        <v>2.63</v>
      </c>
      <c r="E3260" t="s">
        <v>54</v>
      </c>
      <c r="F3260" t="s">
        <v>55</v>
      </c>
      <c r="G3260" t="s">
        <v>2324</v>
      </c>
      <c r="H3260" t="s">
        <v>16</v>
      </c>
      <c r="I3260" s="26" t="s">
        <v>747</v>
      </c>
    </row>
    <row r="3261" spans="1:9" x14ac:dyDescent="0.3">
      <c r="A3261" s="24">
        <v>45371</v>
      </c>
      <c r="B3261" t="s">
        <v>266</v>
      </c>
      <c r="C3261" t="s">
        <v>267</v>
      </c>
      <c r="D3261">
        <v>9</v>
      </c>
      <c r="E3261" t="s">
        <v>54</v>
      </c>
      <c r="F3261" t="s">
        <v>55</v>
      </c>
      <c r="G3261" t="s">
        <v>994</v>
      </c>
      <c r="H3261" t="s">
        <v>16</v>
      </c>
      <c r="I3261" s="26" t="s">
        <v>747</v>
      </c>
    </row>
    <row r="3262" spans="1:9" x14ac:dyDescent="0.3">
      <c r="A3262" s="24">
        <v>45371</v>
      </c>
      <c r="B3262" t="s">
        <v>269</v>
      </c>
      <c r="C3262" t="s">
        <v>29</v>
      </c>
      <c r="D3262">
        <v>0.42</v>
      </c>
      <c r="E3262" t="s">
        <v>271</v>
      </c>
      <c r="F3262" t="s">
        <v>31</v>
      </c>
      <c r="G3262" t="s">
        <v>2325</v>
      </c>
      <c r="H3262" t="s">
        <v>16</v>
      </c>
      <c r="I3262" s="26" t="s">
        <v>747</v>
      </c>
    </row>
    <row r="3263" spans="1:9" x14ac:dyDescent="0.3">
      <c r="A3263" s="24">
        <v>45371</v>
      </c>
      <c r="B3263" t="s">
        <v>269</v>
      </c>
      <c r="C3263" t="s">
        <v>29</v>
      </c>
      <c r="D3263">
        <v>1.4</v>
      </c>
      <c r="E3263" t="s">
        <v>460</v>
      </c>
      <c r="F3263" t="s">
        <v>31</v>
      </c>
      <c r="G3263" t="s">
        <v>2326</v>
      </c>
      <c r="H3263" t="s">
        <v>16</v>
      </c>
      <c r="I3263" s="26" t="s">
        <v>747</v>
      </c>
    </row>
    <row r="3264" spans="1:9" x14ac:dyDescent="0.3">
      <c r="A3264" s="24">
        <v>45371</v>
      </c>
      <c r="B3264" t="s">
        <v>269</v>
      </c>
      <c r="C3264" t="s">
        <v>29</v>
      </c>
      <c r="D3264">
        <v>3.4</v>
      </c>
      <c r="E3264" t="s">
        <v>271</v>
      </c>
      <c r="F3264" t="s">
        <v>31</v>
      </c>
      <c r="G3264" t="s">
        <v>2327</v>
      </c>
      <c r="H3264" t="s">
        <v>16</v>
      </c>
      <c r="I3264" s="26" t="s">
        <v>747</v>
      </c>
    </row>
    <row r="3265" spans="1:9" x14ac:dyDescent="0.3">
      <c r="A3265" s="24">
        <v>45371</v>
      </c>
      <c r="B3265" t="s">
        <v>269</v>
      </c>
      <c r="C3265" t="s">
        <v>53</v>
      </c>
      <c r="D3265">
        <v>0.8</v>
      </c>
      <c r="E3265" t="s">
        <v>54</v>
      </c>
      <c r="F3265" t="s">
        <v>55</v>
      </c>
      <c r="G3265" t="s">
        <v>2328</v>
      </c>
      <c r="H3265" t="s">
        <v>16</v>
      </c>
      <c r="I3265" s="26" t="s">
        <v>747</v>
      </c>
    </row>
    <row r="3266" spans="1:9" x14ac:dyDescent="0.3">
      <c r="A3266" s="24">
        <v>45371</v>
      </c>
      <c r="B3266" t="s">
        <v>269</v>
      </c>
      <c r="C3266" t="s">
        <v>53</v>
      </c>
      <c r="D3266">
        <v>1.1000000000000001</v>
      </c>
      <c r="E3266" t="s">
        <v>54</v>
      </c>
      <c r="F3266" t="s">
        <v>55</v>
      </c>
      <c r="G3266" t="s">
        <v>83</v>
      </c>
      <c r="H3266" t="s">
        <v>16</v>
      </c>
      <c r="I3266" s="26" t="s">
        <v>747</v>
      </c>
    </row>
    <row r="3267" spans="1:9" x14ac:dyDescent="0.3">
      <c r="A3267" s="24">
        <v>45371</v>
      </c>
      <c r="B3267" t="s">
        <v>269</v>
      </c>
      <c r="C3267" t="s">
        <v>58</v>
      </c>
      <c r="D3267">
        <v>0.95</v>
      </c>
      <c r="E3267" t="s">
        <v>54</v>
      </c>
      <c r="F3267" t="s">
        <v>55</v>
      </c>
      <c r="G3267" t="s">
        <v>2329</v>
      </c>
      <c r="H3267" t="s">
        <v>16</v>
      </c>
      <c r="I3267" s="26" t="s">
        <v>747</v>
      </c>
    </row>
    <row r="3268" spans="1:9" x14ac:dyDescent="0.3">
      <c r="A3268" s="24">
        <v>45371</v>
      </c>
      <c r="B3268" t="s">
        <v>278</v>
      </c>
      <c r="C3268" t="s">
        <v>279</v>
      </c>
      <c r="D3268">
        <v>0.42</v>
      </c>
      <c r="E3268" t="s">
        <v>54</v>
      </c>
      <c r="F3268" t="s">
        <v>55</v>
      </c>
      <c r="G3268" t="s">
        <v>2330</v>
      </c>
      <c r="H3268" t="s">
        <v>16</v>
      </c>
      <c r="I3268" s="26" t="s">
        <v>747</v>
      </c>
    </row>
    <row r="3269" spans="1:9" x14ac:dyDescent="0.3">
      <c r="A3269" s="24">
        <v>45371</v>
      </c>
      <c r="B3269" t="s">
        <v>278</v>
      </c>
      <c r="C3269" t="s">
        <v>279</v>
      </c>
      <c r="D3269">
        <v>1.95</v>
      </c>
      <c r="E3269" t="s">
        <v>54</v>
      </c>
      <c r="F3269" t="s">
        <v>55</v>
      </c>
      <c r="G3269" t="s">
        <v>2331</v>
      </c>
      <c r="H3269" t="s">
        <v>16</v>
      </c>
      <c r="I3269" s="26" t="s">
        <v>747</v>
      </c>
    </row>
    <row r="3270" spans="1:9" x14ac:dyDescent="0.3">
      <c r="A3270" s="24">
        <v>45371</v>
      </c>
      <c r="B3270" t="s">
        <v>278</v>
      </c>
      <c r="C3270" t="s">
        <v>279</v>
      </c>
      <c r="D3270">
        <v>2.2000000000000002</v>
      </c>
      <c r="E3270" t="s">
        <v>54</v>
      </c>
      <c r="F3270" t="s">
        <v>55</v>
      </c>
      <c r="G3270" t="s">
        <v>2332</v>
      </c>
      <c r="H3270" t="s">
        <v>16</v>
      </c>
      <c r="I3270" s="26" t="s">
        <v>747</v>
      </c>
    </row>
    <row r="3271" spans="1:9" x14ac:dyDescent="0.3">
      <c r="A3271" s="24">
        <v>45371</v>
      </c>
      <c r="B3271" t="s">
        <v>278</v>
      </c>
      <c r="C3271" t="s">
        <v>60</v>
      </c>
      <c r="D3271">
        <v>0.67</v>
      </c>
      <c r="E3271" t="s">
        <v>254</v>
      </c>
      <c r="F3271" t="s">
        <v>55</v>
      </c>
      <c r="G3271" t="s">
        <v>2333</v>
      </c>
      <c r="H3271" t="s">
        <v>16</v>
      </c>
      <c r="I3271" s="26" t="s">
        <v>747</v>
      </c>
    </row>
    <row r="3272" spans="1:9" x14ac:dyDescent="0.3">
      <c r="A3272" s="24">
        <v>45371</v>
      </c>
      <c r="B3272" t="s">
        <v>278</v>
      </c>
      <c r="C3272" t="s">
        <v>60</v>
      </c>
      <c r="D3272">
        <v>0.77</v>
      </c>
      <c r="E3272" t="s">
        <v>254</v>
      </c>
      <c r="F3272" t="s">
        <v>55</v>
      </c>
      <c r="G3272" t="s">
        <v>2334</v>
      </c>
      <c r="H3272" t="s">
        <v>16</v>
      </c>
      <c r="I3272" s="26" t="s">
        <v>747</v>
      </c>
    </row>
    <row r="3273" spans="1:9" x14ac:dyDescent="0.3">
      <c r="A3273" s="24">
        <v>45371</v>
      </c>
      <c r="B3273" t="s">
        <v>278</v>
      </c>
      <c r="C3273" t="s">
        <v>60</v>
      </c>
      <c r="D3273">
        <v>0.93</v>
      </c>
      <c r="E3273" t="s">
        <v>254</v>
      </c>
      <c r="F3273" t="s">
        <v>55</v>
      </c>
      <c r="G3273" t="s">
        <v>2335</v>
      </c>
      <c r="H3273" t="s">
        <v>16</v>
      </c>
      <c r="I3273" s="26" t="s">
        <v>747</v>
      </c>
    </row>
    <row r="3274" spans="1:9" x14ac:dyDescent="0.3">
      <c r="A3274" s="24">
        <v>45371</v>
      </c>
      <c r="B3274" t="s">
        <v>278</v>
      </c>
      <c r="C3274" t="s">
        <v>60</v>
      </c>
      <c r="D3274">
        <v>0.97</v>
      </c>
      <c r="E3274" t="s">
        <v>254</v>
      </c>
      <c r="F3274" t="s">
        <v>55</v>
      </c>
      <c r="G3274" t="s">
        <v>2336</v>
      </c>
      <c r="H3274" t="s">
        <v>16</v>
      </c>
      <c r="I3274" s="26" t="s">
        <v>747</v>
      </c>
    </row>
    <row r="3275" spans="1:9" x14ac:dyDescent="0.3">
      <c r="A3275" s="24">
        <v>45371</v>
      </c>
      <c r="B3275" t="s">
        <v>278</v>
      </c>
      <c r="C3275" t="s">
        <v>60</v>
      </c>
      <c r="D3275">
        <v>1.67</v>
      </c>
      <c r="E3275" t="s">
        <v>254</v>
      </c>
      <c r="F3275" t="s">
        <v>55</v>
      </c>
      <c r="G3275" t="s">
        <v>2337</v>
      </c>
      <c r="H3275" t="s">
        <v>16</v>
      </c>
      <c r="I3275" s="26" t="s">
        <v>747</v>
      </c>
    </row>
    <row r="3276" spans="1:9" x14ac:dyDescent="0.3">
      <c r="A3276" s="24">
        <v>45371</v>
      </c>
      <c r="B3276" t="s">
        <v>286</v>
      </c>
      <c r="C3276" t="s">
        <v>287</v>
      </c>
      <c r="D3276">
        <v>10</v>
      </c>
      <c r="E3276" t="s">
        <v>54</v>
      </c>
      <c r="F3276" t="s">
        <v>55</v>
      </c>
      <c r="G3276" t="s">
        <v>2338</v>
      </c>
      <c r="H3276" t="s">
        <v>16</v>
      </c>
      <c r="I3276" s="26" t="s">
        <v>747</v>
      </c>
    </row>
    <row r="3277" spans="1:9" x14ac:dyDescent="0.3">
      <c r="A3277" s="24">
        <v>45371</v>
      </c>
      <c r="B3277" t="s">
        <v>289</v>
      </c>
      <c r="C3277" t="s">
        <v>29</v>
      </c>
      <c r="D3277">
        <v>0.5</v>
      </c>
      <c r="E3277" t="s">
        <v>291</v>
      </c>
      <c r="F3277" t="s">
        <v>31</v>
      </c>
      <c r="G3277" t="s">
        <v>2339</v>
      </c>
      <c r="H3277" t="s">
        <v>16</v>
      </c>
      <c r="I3277" s="26" t="s">
        <v>747</v>
      </c>
    </row>
    <row r="3278" spans="1:9" x14ac:dyDescent="0.3">
      <c r="A3278" s="24">
        <v>45371</v>
      </c>
      <c r="B3278" t="s">
        <v>289</v>
      </c>
      <c r="C3278" t="s">
        <v>29</v>
      </c>
      <c r="D3278">
        <v>0.5</v>
      </c>
      <c r="E3278" t="s">
        <v>291</v>
      </c>
      <c r="F3278" t="s">
        <v>31</v>
      </c>
      <c r="G3278" t="s">
        <v>2340</v>
      </c>
      <c r="H3278" t="s">
        <v>16</v>
      </c>
      <c r="I3278" s="26" t="s">
        <v>747</v>
      </c>
    </row>
    <row r="3279" spans="1:9" x14ac:dyDescent="0.3">
      <c r="A3279" s="24">
        <v>45371</v>
      </c>
      <c r="B3279" t="s">
        <v>289</v>
      </c>
      <c r="C3279" t="s">
        <v>29</v>
      </c>
      <c r="D3279">
        <v>0.5</v>
      </c>
      <c r="E3279" t="s">
        <v>524</v>
      </c>
      <c r="F3279" t="s">
        <v>31</v>
      </c>
      <c r="H3279" t="s">
        <v>16</v>
      </c>
      <c r="I3279" s="26" t="s">
        <v>747</v>
      </c>
    </row>
    <row r="3280" spans="1:9" x14ac:dyDescent="0.3">
      <c r="A3280" s="24">
        <v>45371</v>
      </c>
      <c r="B3280" t="s">
        <v>289</v>
      </c>
      <c r="C3280" t="s">
        <v>29</v>
      </c>
      <c r="D3280">
        <v>0.5</v>
      </c>
      <c r="E3280" t="s">
        <v>151</v>
      </c>
      <c r="F3280" t="s">
        <v>31</v>
      </c>
      <c r="H3280" t="s">
        <v>16</v>
      </c>
      <c r="I3280" s="26" t="s">
        <v>747</v>
      </c>
    </row>
    <row r="3281" spans="1:9" x14ac:dyDescent="0.3">
      <c r="A3281" s="24">
        <v>45371</v>
      </c>
      <c r="B3281" t="s">
        <v>289</v>
      </c>
      <c r="C3281" t="s">
        <v>29</v>
      </c>
      <c r="D3281">
        <v>0.5</v>
      </c>
      <c r="E3281" t="s">
        <v>226</v>
      </c>
      <c r="F3281" t="s">
        <v>31</v>
      </c>
      <c r="H3281" t="s">
        <v>16</v>
      </c>
      <c r="I3281" s="26" t="s">
        <v>747</v>
      </c>
    </row>
    <row r="3282" spans="1:9" x14ac:dyDescent="0.3">
      <c r="A3282" s="24">
        <v>45371</v>
      </c>
      <c r="B3282" t="s">
        <v>289</v>
      </c>
      <c r="C3282" t="s">
        <v>29</v>
      </c>
      <c r="D3282">
        <v>0.5</v>
      </c>
      <c r="E3282" t="s">
        <v>290</v>
      </c>
      <c r="F3282" t="s">
        <v>31</v>
      </c>
      <c r="H3282" t="s">
        <v>16</v>
      </c>
      <c r="I3282" s="26" t="s">
        <v>747</v>
      </c>
    </row>
    <row r="3283" spans="1:9" x14ac:dyDescent="0.3">
      <c r="A3283" s="24">
        <v>45371</v>
      </c>
      <c r="B3283" t="s">
        <v>289</v>
      </c>
      <c r="C3283" t="s">
        <v>29</v>
      </c>
      <c r="D3283">
        <v>2.5</v>
      </c>
      <c r="E3283" t="s">
        <v>49</v>
      </c>
      <c r="F3283" t="s">
        <v>31</v>
      </c>
      <c r="H3283" t="s">
        <v>16</v>
      </c>
      <c r="I3283" s="26" t="s">
        <v>747</v>
      </c>
    </row>
    <row r="3284" spans="1:9" x14ac:dyDescent="0.3">
      <c r="A3284" s="24">
        <v>45371</v>
      </c>
      <c r="B3284" t="s">
        <v>294</v>
      </c>
      <c r="C3284" t="s">
        <v>202</v>
      </c>
      <c r="D3284">
        <v>0.2</v>
      </c>
      <c r="E3284" t="s">
        <v>445</v>
      </c>
      <c r="F3284" t="s">
        <v>31</v>
      </c>
      <c r="G3284" t="s">
        <v>243</v>
      </c>
      <c r="H3284" t="s">
        <v>16</v>
      </c>
      <c r="I3284" s="26" t="s">
        <v>747</v>
      </c>
    </row>
    <row r="3285" spans="1:9" x14ac:dyDescent="0.3">
      <c r="A3285" s="24">
        <v>45371</v>
      </c>
      <c r="B3285" t="s">
        <v>294</v>
      </c>
      <c r="C3285" t="s">
        <v>202</v>
      </c>
      <c r="D3285">
        <v>0.3</v>
      </c>
      <c r="E3285" t="s">
        <v>697</v>
      </c>
      <c r="F3285" t="s">
        <v>55</v>
      </c>
      <c r="G3285" t="s">
        <v>2341</v>
      </c>
      <c r="H3285" t="s">
        <v>16</v>
      </c>
      <c r="I3285" s="26" t="s">
        <v>747</v>
      </c>
    </row>
    <row r="3286" spans="1:9" x14ac:dyDescent="0.3">
      <c r="A3286" s="24">
        <v>45371</v>
      </c>
      <c r="B3286" t="s">
        <v>294</v>
      </c>
      <c r="C3286" t="s">
        <v>202</v>
      </c>
      <c r="D3286">
        <v>1.1200000000000001</v>
      </c>
      <c r="E3286" t="s">
        <v>1022</v>
      </c>
      <c r="F3286" t="s">
        <v>55</v>
      </c>
      <c r="G3286" t="s">
        <v>2199</v>
      </c>
      <c r="H3286" t="s">
        <v>16</v>
      </c>
      <c r="I3286" s="26" t="s">
        <v>747</v>
      </c>
    </row>
    <row r="3287" spans="1:9" x14ac:dyDescent="0.3">
      <c r="A3287" s="24">
        <v>45371</v>
      </c>
      <c r="B3287" t="s">
        <v>294</v>
      </c>
      <c r="C3287" t="s">
        <v>85</v>
      </c>
      <c r="D3287">
        <v>0.6</v>
      </c>
      <c r="E3287" t="s">
        <v>445</v>
      </c>
      <c r="F3287" t="s">
        <v>31</v>
      </c>
      <c r="G3287" t="s">
        <v>2342</v>
      </c>
      <c r="H3287" t="s">
        <v>16</v>
      </c>
      <c r="I3287" s="26" t="s">
        <v>747</v>
      </c>
    </row>
    <row r="3288" spans="1:9" x14ac:dyDescent="0.3">
      <c r="A3288" s="24">
        <v>45371</v>
      </c>
      <c r="B3288" t="s">
        <v>294</v>
      </c>
      <c r="C3288" t="s">
        <v>53</v>
      </c>
      <c r="D3288">
        <v>3.13</v>
      </c>
      <c r="E3288" t="s">
        <v>54</v>
      </c>
      <c r="F3288" t="s">
        <v>55</v>
      </c>
      <c r="G3288" t="s">
        <v>2343</v>
      </c>
      <c r="H3288" t="s">
        <v>16</v>
      </c>
      <c r="I3288" s="26" t="s">
        <v>747</v>
      </c>
    </row>
    <row r="3289" spans="1:9" x14ac:dyDescent="0.3">
      <c r="A3289" s="24">
        <v>45371</v>
      </c>
      <c r="B3289" t="s">
        <v>301</v>
      </c>
      <c r="C3289" t="s">
        <v>29</v>
      </c>
      <c r="D3289">
        <v>0.62</v>
      </c>
      <c r="E3289" t="s">
        <v>156</v>
      </c>
      <c r="F3289" t="s">
        <v>31</v>
      </c>
      <c r="G3289" t="s">
        <v>2344</v>
      </c>
      <c r="H3289" t="s">
        <v>16</v>
      </c>
      <c r="I3289" s="26" t="s">
        <v>747</v>
      </c>
    </row>
    <row r="3290" spans="1:9" x14ac:dyDescent="0.3">
      <c r="A3290" s="24">
        <v>45371</v>
      </c>
      <c r="B3290" t="s">
        <v>301</v>
      </c>
      <c r="C3290" t="s">
        <v>29</v>
      </c>
      <c r="D3290">
        <v>0.82</v>
      </c>
      <c r="E3290" t="s">
        <v>304</v>
      </c>
      <c r="F3290" t="s">
        <v>31</v>
      </c>
      <c r="G3290" t="s">
        <v>305</v>
      </c>
      <c r="H3290" t="s">
        <v>16</v>
      </c>
      <c r="I3290" s="26" t="s">
        <v>747</v>
      </c>
    </row>
    <row r="3291" spans="1:9" x14ac:dyDescent="0.3">
      <c r="A3291" s="24">
        <v>45371</v>
      </c>
      <c r="B3291" t="s">
        <v>301</v>
      </c>
      <c r="C3291" t="s">
        <v>29</v>
      </c>
      <c r="D3291">
        <v>0.82</v>
      </c>
      <c r="E3291" t="s">
        <v>156</v>
      </c>
      <c r="F3291" t="s">
        <v>31</v>
      </c>
      <c r="G3291" t="s">
        <v>1930</v>
      </c>
      <c r="H3291" t="s">
        <v>16</v>
      </c>
      <c r="I3291" s="26" t="s">
        <v>747</v>
      </c>
    </row>
    <row r="3292" spans="1:9" x14ac:dyDescent="0.3">
      <c r="A3292" s="24">
        <v>45371</v>
      </c>
      <c r="B3292" t="s">
        <v>301</v>
      </c>
      <c r="C3292" t="s">
        <v>29</v>
      </c>
      <c r="D3292">
        <v>1.35</v>
      </c>
      <c r="E3292" t="s">
        <v>304</v>
      </c>
      <c r="F3292" t="s">
        <v>31</v>
      </c>
      <c r="G3292" t="s">
        <v>2345</v>
      </c>
      <c r="H3292" t="s">
        <v>16</v>
      </c>
      <c r="I3292" s="26" t="s">
        <v>747</v>
      </c>
    </row>
    <row r="3293" spans="1:9" x14ac:dyDescent="0.3">
      <c r="A3293" s="24">
        <v>45371</v>
      </c>
      <c r="B3293" t="s">
        <v>301</v>
      </c>
      <c r="C3293" t="s">
        <v>29</v>
      </c>
      <c r="D3293">
        <v>3.85</v>
      </c>
      <c r="E3293" t="s">
        <v>304</v>
      </c>
      <c r="F3293" t="s">
        <v>31</v>
      </c>
      <c r="G3293" t="s">
        <v>2346</v>
      </c>
      <c r="H3293" t="s">
        <v>16</v>
      </c>
      <c r="I3293" s="26" t="s">
        <v>747</v>
      </c>
    </row>
    <row r="3294" spans="1:9" x14ac:dyDescent="0.3">
      <c r="A3294" s="24">
        <v>45371</v>
      </c>
      <c r="B3294" t="s">
        <v>301</v>
      </c>
      <c r="C3294" t="s">
        <v>53</v>
      </c>
      <c r="D3294">
        <v>0.12</v>
      </c>
      <c r="E3294" t="s">
        <v>54</v>
      </c>
      <c r="F3294" t="s">
        <v>55</v>
      </c>
      <c r="G3294" t="s">
        <v>2347</v>
      </c>
      <c r="H3294" t="s">
        <v>16</v>
      </c>
      <c r="I3294" s="26" t="s">
        <v>747</v>
      </c>
    </row>
    <row r="3295" spans="1:9" x14ac:dyDescent="0.3">
      <c r="A3295" s="24">
        <v>45371</v>
      </c>
      <c r="B3295" t="s">
        <v>301</v>
      </c>
      <c r="C3295" t="s">
        <v>53</v>
      </c>
      <c r="D3295">
        <v>0.3</v>
      </c>
      <c r="E3295" t="s">
        <v>54</v>
      </c>
      <c r="F3295" t="s">
        <v>55</v>
      </c>
      <c r="G3295" t="s">
        <v>2348</v>
      </c>
      <c r="H3295" t="s">
        <v>16</v>
      </c>
      <c r="I3295" s="26" t="s">
        <v>747</v>
      </c>
    </row>
    <row r="3296" spans="1:9" x14ac:dyDescent="0.3">
      <c r="A3296" s="24">
        <v>45371</v>
      </c>
      <c r="B3296" t="s">
        <v>313</v>
      </c>
      <c r="C3296" t="s">
        <v>29</v>
      </c>
      <c r="D3296">
        <v>0.42</v>
      </c>
      <c r="E3296" t="s">
        <v>91</v>
      </c>
      <c r="F3296" t="s">
        <v>31</v>
      </c>
      <c r="G3296" t="s">
        <v>2349</v>
      </c>
      <c r="H3296" t="s">
        <v>16</v>
      </c>
      <c r="I3296" s="26" t="s">
        <v>747</v>
      </c>
    </row>
    <row r="3297" spans="1:9" x14ac:dyDescent="0.3">
      <c r="A3297" s="24">
        <v>45371</v>
      </c>
      <c r="B3297" t="s">
        <v>313</v>
      </c>
      <c r="C3297" t="s">
        <v>29</v>
      </c>
      <c r="D3297">
        <v>1.08</v>
      </c>
      <c r="E3297" t="s">
        <v>170</v>
      </c>
      <c r="F3297" t="s">
        <v>31</v>
      </c>
      <c r="H3297" t="s">
        <v>16</v>
      </c>
      <c r="I3297" s="26" t="s">
        <v>747</v>
      </c>
    </row>
    <row r="3298" spans="1:9" x14ac:dyDescent="0.3">
      <c r="A3298" s="24">
        <v>45371</v>
      </c>
      <c r="B3298" t="s">
        <v>313</v>
      </c>
      <c r="C3298" t="s">
        <v>53</v>
      </c>
      <c r="D3298">
        <v>0.37</v>
      </c>
      <c r="E3298" t="s">
        <v>54</v>
      </c>
      <c r="F3298" t="s">
        <v>55</v>
      </c>
      <c r="G3298" t="s">
        <v>316</v>
      </c>
      <c r="H3298" t="s">
        <v>16</v>
      </c>
      <c r="I3298" s="26" t="s">
        <v>747</v>
      </c>
    </row>
    <row r="3299" spans="1:9" x14ac:dyDescent="0.3">
      <c r="A3299" s="24">
        <v>45371</v>
      </c>
      <c r="B3299" t="s">
        <v>313</v>
      </c>
      <c r="C3299" t="s">
        <v>60</v>
      </c>
      <c r="D3299">
        <v>0.77</v>
      </c>
      <c r="E3299" t="s">
        <v>162</v>
      </c>
      <c r="F3299" t="s">
        <v>55</v>
      </c>
      <c r="G3299" t="s">
        <v>2350</v>
      </c>
      <c r="H3299" t="s">
        <v>16</v>
      </c>
      <c r="I3299" s="26" t="s">
        <v>747</v>
      </c>
    </row>
    <row r="3300" spans="1:9" x14ac:dyDescent="0.3">
      <c r="A3300" s="24">
        <v>45371</v>
      </c>
      <c r="B3300" t="s">
        <v>313</v>
      </c>
      <c r="C3300" t="s">
        <v>60</v>
      </c>
      <c r="D3300">
        <v>3.13</v>
      </c>
      <c r="E3300" t="s">
        <v>170</v>
      </c>
      <c r="F3300" t="s">
        <v>31</v>
      </c>
      <c r="H3300" t="s">
        <v>16</v>
      </c>
      <c r="I3300" s="26" t="s">
        <v>747</v>
      </c>
    </row>
    <row r="3301" spans="1:9" x14ac:dyDescent="0.3">
      <c r="A3301" s="24">
        <v>45371</v>
      </c>
      <c r="B3301" t="s">
        <v>313</v>
      </c>
      <c r="C3301" t="s">
        <v>60</v>
      </c>
      <c r="D3301">
        <v>3.27</v>
      </c>
      <c r="E3301" t="s">
        <v>35</v>
      </c>
      <c r="F3301" t="s">
        <v>31</v>
      </c>
      <c r="H3301" t="s">
        <v>16</v>
      </c>
      <c r="I3301" s="26" t="s">
        <v>747</v>
      </c>
    </row>
    <row r="3302" spans="1:9" x14ac:dyDescent="0.3">
      <c r="A3302" s="24">
        <v>45371</v>
      </c>
      <c r="B3302" t="s">
        <v>318</v>
      </c>
      <c r="C3302" t="s">
        <v>53</v>
      </c>
      <c r="D3302">
        <v>2.9</v>
      </c>
      <c r="E3302" t="s">
        <v>54</v>
      </c>
      <c r="F3302" t="s">
        <v>55</v>
      </c>
      <c r="G3302" t="s">
        <v>2351</v>
      </c>
      <c r="H3302" t="s">
        <v>16</v>
      </c>
      <c r="I3302" s="26" t="s">
        <v>747</v>
      </c>
    </row>
    <row r="3303" spans="1:9" x14ac:dyDescent="0.3">
      <c r="A3303" s="24">
        <v>45371</v>
      </c>
      <c r="B3303" t="s">
        <v>318</v>
      </c>
      <c r="C3303" t="s">
        <v>53</v>
      </c>
      <c r="D3303">
        <v>6.05</v>
      </c>
      <c r="E3303" t="s">
        <v>54</v>
      </c>
      <c r="F3303" t="s">
        <v>55</v>
      </c>
      <c r="G3303" t="s">
        <v>2352</v>
      </c>
      <c r="H3303" t="s">
        <v>16</v>
      </c>
      <c r="I3303" s="26" t="s">
        <v>747</v>
      </c>
    </row>
    <row r="3304" spans="1:9" x14ac:dyDescent="0.3">
      <c r="A3304" s="24">
        <v>45371</v>
      </c>
      <c r="B3304" t="s">
        <v>324</v>
      </c>
      <c r="C3304" t="s">
        <v>29</v>
      </c>
      <c r="D3304">
        <v>8.6999999999999993</v>
      </c>
      <c r="E3304" t="s">
        <v>81</v>
      </c>
      <c r="F3304" t="s">
        <v>31</v>
      </c>
      <c r="H3304" t="s">
        <v>16</v>
      </c>
      <c r="I3304" s="26" t="s">
        <v>747</v>
      </c>
    </row>
    <row r="3305" spans="1:9" x14ac:dyDescent="0.3">
      <c r="A3305" s="24">
        <v>45371</v>
      </c>
      <c r="B3305" t="s">
        <v>328</v>
      </c>
      <c r="C3305" t="s">
        <v>53</v>
      </c>
      <c r="D3305">
        <v>0.43</v>
      </c>
      <c r="E3305" t="s">
        <v>54</v>
      </c>
      <c r="F3305" t="s">
        <v>55</v>
      </c>
      <c r="G3305" t="s">
        <v>2353</v>
      </c>
      <c r="H3305" t="s">
        <v>16</v>
      </c>
      <c r="I3305" s="26" t="s">
        <v>747</v>
      </c>
    </row>
    <row r="3306" spans="1:9" x14ac:dyDescent="0.3">
      <c r="A3306" s="24">
        <v>45371</v>
      </c>
      <c r="B3306" t="s">
        <v>328</v>
      </c>
      <c r="C3306" t="s">
        <v>53</v>
      </c>
      <c r="D3306">
        <v>0.5</v>
      </c>
      <c r="E3306" t="s">
        <v>54</v>
      </c>
      <c r="F3306" t="s">
        <v>55</v>
      </c>
      <c r="G3306" t="s">
        <v>253</v>
      </c>
      <c r="H3306" t="s">
        <v>16</v>
      </c>
      <c r="I3306" s="26" t="s">
        <v>747</v>
      </c>
    </row>
    <row r="3307" spans="1:9" x14ac:dyDescent="0.3">
      <c r="A3307" s="24">
        <v>45371</v>
      </c>
      <c r="B3307" t="s">
        <v>328</v>
      </c>
      <c r="C3307" t="s">
        <v>53</v>
      </c>
      <c r="D3307">
        <v>0.88</v>
      </c>
      <c r="E3307" t="s">
        <v>54</v>
      </c>
      <c r="F3307" t="s">
        <v>55</v>
      </c>
      <c r="G3307" t="s">
        <v>2354</v>
      </c>
      <c r="H3307" t="s">
        <v>16</v>
      </c>
      <c r="I3307" s="26" t="s">
        <v>747</v>
      </c>
    </row>
    <row r="3308" spans="1:9" x14ac:dyDescent="0.3">
      <c r="A3308" s="24">
        <v>45371</v>
      </c>
      <c r="B3308" t="s">
        <v>328</v>
      </c>
      <c r="C3308" t="s">
        <v>53</v>
      </c>
      <c r="D3308">
        <v>1.2</v>
      </c>
      <c r="E3308" t="s">
        <v>54</v>
      </c>
      <c r="F3308" t="s">
        <v>55</v>
      </c>
      <c r="G3308" t="s">
        <v>2355</v>
      </c>
      <c r="H3308" t="s">
        <v>16</v>
      </c>
      <c r="I3308" s="26" t="s">
        <v>747</v>
      </c>
    </row>
    <row r="3309" spans="1:9" x14ac:dyDescent="0.3">
      <c r="A3309" s="24">
        <v>45371</v>
      </c>
      <c r="B3309" t="s">
        <v>328</v>
      </c>
      <c r="C3309" t="s">
        <v>232</v>
      </c>
      <c r="D3309">
        <v>0.18</v>
      </c>
      <c r="E3309" t="s">
        <v>139</v>
      </c>
      <c r="F3309" t="s">
        <v>31</v>
      </c>
      <c r="G3309" t="s">
        <v>2356</v>
      </c>
      <c r="H3309" t="s">
        <v>16</v>
      </c>
      <c r="I3309" s="26" t="s">
        <v>747</v>
      </c>
    </row>
    <row r="3310" spans="1:9" x14ac:dyDescent="0.3">
      <c r="A3310" s="24">
        <v>45371</v>
      </c>
      <c r="B3310" t="s">
        <v>328</v>
      </c>
      <c r="C3310" t="s">
        <v>58</v>
      </c>
      <c r="D3310">
        <v>0.2</v>
      </c>
      <c r="E3310" t="s">
        <v>54</v>
      </c>
      <c r="F3310" t="s">
        <v>55</v>
      </c>
      <c r="G3310" t="s">
        <v>2357</v>
      </c>
      <c r="H3310" t="s">
        <v>16</v>
      </c>
      <c r="I3310" s="26" t="s">
        <v>747</v>
      </c>
    </row>
    <row r="3311" spans="1:9" x14ac:dyDescent="0.3">
      <c r="A3311" s="24">
        <v>45371</v>
      </c>
      <c r="B3311" t="s">
        <v>328</v>
      </c>
      <c r="C3311" t="s">
        <v>58</v>
      </c>
      <c r="D3311">
        <v>0.75</v>
      </c>
      <c r="E3311" t="s">
        <v>54</v>
      </c>
      <c r="F3311" t="s">
        <v>55</v>
      </c>
      <c r="G3311" t="s">
        <v>2358</v>
      </c>
      <c r="H3311" t="s">
        <v>16</v>
      </c>
      <c r="I3311" s="26" t="s">
        <v>747</v>
      </c>
    </row>
    <row r="3312" spans="1:9" x14ac:dyDescent="0.3">
      <c r="A3312" s="24">
        <v>45371</v>
      </c>
      <c r="B3312" t="s">
        <v>328</v>
      </c>
      <c r="C3312" t="s">
        <v>60</v>
      </c>
      <c r="D3312">
        <v>0.15</v>
      </c>
      <c r="E3312" t="s">
        <v>162</v>
      </c>
      <c r="F3312" t="s">
        <v>31</v>
      </c>
      <c r="G3312" t="s">
        <v>2359</v>
      </c>
      <c r="H3312" t="s">
        <v>16</v>
      </c>
      <c r="I3312" s="26" t="s">
        <v>747</v>
      </c>
    </row>
    <row r="3313" spans="1:9" x14ac:dyDescent="0.3">
      <c r="A3313" s="24">
        <v>45371</v>
      </c>
      <c r="B3313" t="s">
        <v>328</v>
      </c>
      <c r="C3313" t="s">
        <v>60</v>
      </c>
      <c r="D3313">
        <v>0.18</v>
      </c>
      <c r="E3313" t="s">
        <v>848</v>
      </c>
      <c r="F3313" t="s">
        <v>31</v>
      </c>
      <c r="G3313" t="s">
        <v>2360</v>
      </c>
      <c r="H3313" t="s">
        <v>16</v>
      </c>
      <c r="I3313" s="26" t="s">
        <v>747</v>
      </c>
    </row>
    <row r="3314" spans="1:9" x14ac:dyDescent="0.3">
      <c r="A3314" s="24">
        <v>45371</v>
      </c>
      <c r="B3314" t="s">
        <v>328</v>
      </c>
      <c r="C3314" t="s">
        <v>60</v>
      </c>
      <c r="D3314">
        <v>0.2</v>
      </c>
      <c r="E3314" t="s">
        <v>445</v>
      </c>
      <c r="F3314" t="s">
        <v>31</v>
      </c>
      <c r="G3314" t="s">
        <v>2361</v>
      </c>
      <c r="H3314" t="s">
        <v>16</v>
      </c>
      <c r="I3314" s="26" t="s">
        <v>747</v>
      </c>
    </row>
    <row r="3315" spans="1:9" x14ac:dyDescent="0.3">
      <c r="A3315" s="24">
        <v>45371</v>
      </c>
      <c r="B3315" t="s">
        <v>328</v>
      </c>
      <c r="C3315" t="s">
        <v>60</v>
      </c>
      <c r="D3315">
        <v>0.22</v>
      </c>
      <c r="E3315" t="s">
        <v>582</v>
      </c>
      <c r="F3315" t="s">
        <v>31</v>
      </c>
      <c r="G3315" t="s">
        <v>547</v>
      </c>
      <c r="H3315" t="s">
        <v>16</v>
      </c>
      <c r="I3315" s="26" t="s">
        <v>747</v>
      </c>
    </row>
    <row r="3316" spans="1:9" x14ac:dyDescent="0.3">
      <c r="A3316" s="24">
        <v>45371</v>
      </c>
      <c r="B3316" t="s">
        <v>328</v>
      </c>
      <c r="C3316" t="s">
        <v>60</v>
      </c>
      <c r="D3316">
        <v>0.67</v>
      </c>
      <c r="E3316" t="s">
        <v>162</v>
      </c>
      <c r="F3316" t="s">
        <v>31</v>
      </c>
      <c r="G3316" t="s">
        <v>2362</v>
      </c>
      <c r="H3316" t="s">
        <v>16</v>
      </c>
      <c r="I3316" s="26" t="s">
        <v>747</v>
      </c>
    </row>
    <row r="3317" spans="1:9" x14ac:dyDescent="0.3">
      <c r="A3317" s="24">
        <v>45371</v>
      </c>
      <c r="B3317" t="s">
        <v>328</v>
      </c>
      <c r="C3317" t="s">
        <v>60</v>
      </c>
      <c r="D3317">
        <v>1.2</v>
      </c>
      <c r="E3317" t="s">
        <v>162</v>
      </c>
      <c r="F3317" t="s">
        <v>31</v>
      </c>
      <c r="G3317" t="s">
        <v>2363</v>
      </c>
      <c r="H3317" t="s">
        <v>16</v>
      </c>
      <c r="I3317" s="26" t="s">
        <v>747</v>
      </c>
    </row>
    <row r="3318" spans="1:9" x14ac:dyDescent="0.3">
      <c r="A3318" s="24">
        <v>45371</v>
      </c>
      <c r="B3318" t="s">
        <v>328</v>
      </c>
      <c r="C3318" t="s">
        <v>60</v>
      </c>
      <c r="D3318">
        <v>1.25</v>
      </c>
      <c r="E3318" t="s">
        <v>81</v>
      </c>
      <c r="F3318" t="s">
        <v>31</v>
      </c>
      <c r="G3318" t="s">
        <v>2364</v>
      </c>
      <c r="H3318" t="s">
        <v>16</v>
      </c>
      <c r="I3318" s="26" t="s">
        <v>747</v>
      </c>
    </row>
    <row r="3319" spans="1:9" x14ac:dyDescent="0.3">
      <c r="A3319" s="24">
        <v>45371</v>
      </c>
      <c r="B3319" t="s">
        <v>329</v>
      </c>
      <c r="C3319" t="s">
        <v>2218</v>
      </c>
      <c r="D3319">
        <v>4.2</v>
      </c>
      <c r="E3319" t="s">
        <v>1859</v>
      </c>
      <c r="F3319" t="s">
        <v>31</v>
      </c>
      <c r="G3319" t="s">
        <v>2365</v>
      </c>
      <c r="H3319" t="s">
        <v>16</v>
      </c>
      <c r="I3319" s="26" t="s">
        <v>747</v>
      </c>
    </row>
    <row r="3320" spans="1:9" x14ac:dyDescent="0.3">
      <c r="A3320" s="24">
        <v>45371</v>
      </c>
      <c r="B3320" t="s">
        <v>329</v>
      </c>
      <c r="C3320" t="s">
        <v>90</v>
      </c>
      <c r="D3320">
        <v>0.42</v>
      </c>
      <c r="E3320" t="s">
        <v>524</v>
      </c>
      <c r="F3320" t="s">
        <v>31</v>
      </c>
      <c r="G3320" t="s">
        <v>2366</v>
      </c>
      <c r="H3320" t="s">
        <v>16</v>
      </c>
      <c r="I3320" s="26" t="s">
        <v>747</v>
      </c>
    </row>
    <row r="3321" spans="1:9" x14ac:dyDescent="0.3">
      <c r="A3321" s="24">
        <v>45371</v>
      </c>
      <c r="B3321" t="s">
        <v>331</v>
      </c>
      <c r="C3321" t="s">
        <v>29</v>
      </c>
      <c r="D3321">
        <v>0.32</v>
      </c>
      <c r="E3321" t="s">
        <v>218</v>
      </c>
      <c r="F3321" t="s">
        <v>31</v>
      </c>
      <c r="G3321" t="s">
        <v>2367</v>
      </c>
      <c r="H3321" t="s">
        <v>16</v>
      </c>
      <c r="I3321" s="26" t="s">
        <v>747</v>
      </c>
    </row>
    <row r="3322" spans="1:9" x14ac:dyDescent="0.3">
      <c r="A3322" s="24">
        <v>45371</v>
      </c>
      <c r="B3322" t="s">
        <v>331</v>
      </c>
      <c r="C3322" t="s">
        <v>29</v>
      </c>
      <c r="D3322">
        <v>0.45</v>
      </c>
      <c r="E3322" t="s">
        <v>182</v>
      </c>
      <c r="F3322" t="s">
        <v>31</v>
      </c>
      <c r="G3322" t="s">
        <v>870</v>
      </c>
      <c r="H3322" t="s">
        <v>16</v>
      </c>
      <c r="I3322" s="26" t="s">
        <v>747</v>
      </c>
    </row>
    <row r="3323" spans="1:9" x14ac:dyDescent="0.3">
      <c r="A3323" s="24">
        <v>45371</v>
      </c>
      <c r="B3323" t="s">
        <v>331</v>
      </c>
      <c r="C3323" t="s">
        <v>29</v>
      </c>
      <c r="D3323">
        <v>0.78</v>
      </c>
      <c r="E3323" t="s">
        <v>176</v>
      </c>
      <c r="F3323" t="s">
        <v>31</v>
      </c>
      <c r="G3323" t="s">
        <v>2368</v>
      </c>
      <c r="H3323" t="s">
        <v>16</v>
      </c>
      <c r="I3323" s="26" t="s">
        <v>747</v>
      </c>
    </row>
    <row r="3324" spans="1:9" x14ac:dyDescent="0.3">
      <c r="A3324" s="24">
        <v>45371</v>
      </c>
      <c r="B3324" t="s">
        <v>331</v>
      </c>
      <c r="C3324" t="s">
        <v>29</v>
      </c>
      <c r="D3324">
        <v>1.47</v>
      </c>
      <c r="E3324" t="s">
        <v>91</v>
      </c>
      <c r="F3324" t="s">
        <v>31</v>
      </c>
      <c r="G3324" t="s">
        <v>2369</v>
      </c>
      <c r="H3324" t="s">
        <v>16</v>
      </c>
      <c r="I3324" s="26" t="s">
        <v>747</v>
      </c>
    </row>
    <row r="3325" spans="1:9" x14ac:dyDescent="0.3">
      <c r="A3325" s="24">
        <v>45371</v>
      </c>
      <c r="B3325" t="s">
        <v>331</v>
      </c>
      <c r="C3325" t="s">
        <v>29</v>
      </c>
      <c r="D3325">
        <v>1.67</v>
      </c>
      <c r="E3325" t="s">
        <v>91</v>
      </c>
      <c r="F3325" t="s">
        <v>31</v>
      </c>
      <c r="G3325" t="s">
        <v>2370</v>
      </c>
      <c r="H3325" t="s">
        <v>16</v>
      </c>
      <c r="I3325" s="26" t="s">
        <v>747</v>
      </c>
    </row>
    <row r="3326" spans="1:9" x14ac:dyDescent="0.3">
      <c r="A3326" s="24">
        <v>45371</v>
      </c>
      <c r="B3326" t="s">
        <v>331</v>
      </c>
      <c r="C3326" t="s">
        <v>53</v>
      </c>
      <c r="D3326">
        <v>0.5</v>
      </c>
      <c r="E3326" t="s">
        <v>54</v>
      </c>
      <c r="F3326" t="s">
        <v>55</v>
      </c>
      <c r="G3326" t="s">
        <v>332</v>
      </c>
      <c r="H3326" t="s">
        <v>16</v>
      </c>
      <c r="I3326" s="26" t="s">
        <v>747</v>
      </c>
    </row>
    <row r="3327" spans="1:9" x14ac:dyDescent="0.3">
      <c r="A3327" s="24">
        <v>45371</v>
      </c>
      <c r="B3327" t="s">
        <v>331</v>
      </c>
      <c r="C3327" t="s">
        <v>159</v>
      </c>
      <c r="D3327">
        <v>0.85</v>
      </c>
      <c r="E3327" t="s">
        <v>218</v>
      </c>
      <c r="F3327" t="s">
        <v>31</v>
      </c>
      <c r="G3327" t="s">
        <v>2371</v>
      </c>
      <c r="H3327" t="s">
        <v>16</v>
      </c>
      <c r="I3327" s="26" t="s">
        <v>747</v>
      </c>
    </row>
    <row r="3328" spans="1:9" x14ac:dyDescent="0.3">
      <c r="A3328" s="24">
        <v>45371</v>
      </c>
      <c r="B3328" t="s">
        <v>331</v>
      </c>
      <c r="C3328" t="s">
        <v>60</v>
      </c>
      <c r="D3328">
        <v>7.0000000000000007E-2</v>
      </c>
      <c r="E3328" t="s">
        <v>230</v>
      </c>
      <c r="F3328" t="s">
        <v>31</v>
      </c>
      <c r="H3328" t="s">
        <v>16</v>
      </c>
      <c r="I3328" s="26" t="s">
        <v>747</v>
      </c>
    </row>
    <row r="3329" spans="1:9" x14ac:dyDescent="0.3">
      <c r="A3329" s="24">
        <v>45371</v>
      </c>
      <c r="B3329" t="s">
        <v>331</v>
      </c>
      <c r="C3329" t="s">
        <v>60</v>
      </c>
      <c r="D3329">
        <v>0.12</v>
      </c>
      <c r="E3329" t="s">
        <v>229</v>
      </c>
      <c r="F3329" t="s">
        <v>31</v>
      </c>
      <c r="H3329" t="s">
        <v>16</v>
      </c>
      <c r="I3329" s="26" t="s">
        <v>747</v>
      </c>
    </row>
    <row r="3330" spans="1:9" x14ac:dyDescent="0.3">
      <c r="A3330" s="24">
        <v>45371</v>
      </c>
      <c r="B3330" t="s">
        <v>331</v>
      </c>
      <c r="C3330" t="s">
        <v>60</v>
      </c>
      <c r="D3330">
        <v>0.52</v>
      </c>
      <c r="E3330" t="s">
        <v>104</v>
      </c>
      <c r="F3330" t="s">
        <v>31</v>
      </c>
      <c r="H3330" t="s">
        <v>16</v>
      </c>
      <c r="I3330" s="26" t="s">
        <v>747</v>
      </c>
    </row>
    <row r="3331" spans="1:9" x14ac:dyDescent="0.3">
      <c r="A3331" s="24">
        <v>45371</v>
      </c>
      <c r="B3331" t="s">
        <v>331</v>
      </c>
      <c r="C3331" t="s">
        <v>60</v>
      </c>
      <c r="D3331">
        <v>0.57999999999999996</v>
      </c>
      <c r="E3331" t="s">
        <v>102</v>
      </c>
      <c r="F3331" t="s">
        <v>31</v>
      </c>
      <c r="H3331" t="s">
        <v>16</v>
      </c>
      <c r="I3331" s="26" t="s">
        <v>747</v>
      </c>
    </row>
    <row r="3332" spans="1:9" x14ac:dyDescent="0.3">
      <c r="A3332" s="24">
        <v>45371</v>
      </c>
      <c r="B3332" t="s">
        <v>331</v>
      </c>
      <c r="C3332" t="s">
        <v>877</v>
      </c>
      <c r="D3332">
        <v>0.75</v>
      </c>
      <c r="E3332" t="s">
        <v>182</v>
      </c>
      <c r="F3332" t="s">
        <v>31</v>
      </c>
      <c r="G3332" t="s">
        <v>2372</v>
      </c>
      <c r="H3332" t="s">
        <v>16</v>
      </c>
      <c r="I3332" s="26" t="s">
        <v>747</v>
      </c>
    </row>
    <row r="3333" spans="1:9" x14ac:dyDescent="0.3">
      <c r="A3333" s="24">
        <v>45371</v>
      </c>
      <c r="B3333" t="s">
        <v>340</v>
      </c>
      <c r="C3333" t="s">
        <v>202</v>
      </c>
      <c r="D3333">
        <v>0.25</v>
      </c>
      <c r="E3333" t="s">
        <v>725</v>
      </c>
      <c r="F3333" t="s">
        <v>31</v>
      </c>
      <c r="G3333" t="s">
        <v>2373</v>
      </c>
      <c r="H3333" t="s">
        <v>16</v>
      </c>
      <c r="I3333" s="26" t="s">
        <v>747</v>
      </c>
    </row>
    <row r="3334" spans="1:9" x14ac:dyDescent="0.3">
      <c r="A3334" s="24">
        <v>45371</v>
      </c>
      <c r="B3334" t="s">
        <v>340</v>
      </c>
      <c r="C3334" t="s">
        <v>202</v>
      </c>
      <c r="D3334">
        <v>0.25</v>
      </c>
      <c r="E3334" t="s">
        <v>242</v>
      </c>
      <c r="F3334" t="s">
        <v>31</v>
      </c>
      <c r="G3334" t="s">
        <v>2374</v>
      </c>
      <c r="H3334" t="s">
        <v>16</v>
      </c>
      <c r="I3334" s="26" t="s">
        <v>747</v>
      </c>
    </row>
    <row r="3335" spans="1:9" x14ac:dyDescent="0.3">
      <c r="A3335" s="24">
        <v>45371</v>
      </c>
      <c r="B3335" t="s">
        <v>340</v>
      </c>
      <c r="C3335" t="s">
        <v>202</v>
      </c>
      <c r="D3335">
        <v>1</v>
      </c>
      <c r="E3335" t="s">
        <v>176</v>
      </c>
      <c r="F3335" t="s">
        <v>31</v>
      </c>
      <c r="G3335" t="s">
        <v>2375</v>
      </c>
      <c r="H3335" t="s">
        <v>16</v>
      </c>
      <c r="I3335" s="26" t="s">
        <v>747</v>
      </c>
    </row>
    <row r="3336" spans="1:9" x14ac:dyDescent="0.3">
      <c r="A3336" s="24">
        <v>45371</v>
      </c>
      <c r="B3336" t="s">
        <v>340</v>
      </c>
      <c r="C3336" t="s">
        <v>202</v>
      </c>
      <c r="D3336">
        <v>1</v>
      </c>
      <c r="E3336" t="s">
        <v>127</v>
      </c>
      <c r="F3336" t="s">
        <v>31</v>
      </c>
      <c r="G3336" t="s">
        <v>2376</v>
      </c>
      <c r="H3336" t="s">
        <v>16</v>
      </c>
      <c r="I3336" s="26" t="s">
        <v>747</v>
      </c>
    </row>
    <row r="3337" spans="1:9" x14ac:dyDescent="0.3">
      <c r="A3337" s="24">
        <v>45371</v>
      </c>
      <c r="B3337" t="s">
        <v>340</v>
      </c>
      <c r="C3337" t="s">
        <v>202</v>
      </c>
      <c r="D3337">
        <v>1</v>
      </c>
      <c r="E3337" t="s">
        <v>108</v>
      </c>
      <c r="F3337" t="s">
        <v>31</v>
      </c>
      <c r="G3337" t="s">
        <v>2377</v>
      </c>
      <c r="H3337" t="s">
        <v>16</v>
      </c>
      <c r="I3337" s="26" t="s">
        <v>747</v>
      </c>
    </row>
    <row r="3338" spans="1:9" x14ac:dyDescent="0.3">
      <c r="A3338" s="24">
        <v>45371</v>
      </c>
      <c r="B3338" t="s">
        <v>340</v>
      </c>
      <c r="C3338" t="s">
        <v>202</v>
      </c>
      <c r="D3338">
        <v>2</v>
      </c>
      <c r="E3338" t="s">
        <v>1216</v>
      </c>
      <c r="F3338" t="s">
        <v>31</v>
      </c>
      <c r="G3338" t="s">
        <v>2378</v>
      </c>
      <c r="H3338" t="s">
        <v>16</v>
      </c>
      <c r="I3338" s="26" t="s">
        <v>747</v>
      </c>
    </row>
    <row r="3339" spans="1:9" x14ac:dyDescent="0.3">
      <c r="A3339" s="24">
        <v>45371</v>
      </c>
      <c r="B3339" t="s">
        <v>340</v>
      </c>
      <c r="C3339" t="s">
        <v>53</v>
      </c>
      <c r="D3339">
        <v>0.5</v>
      </c>
      <c r="E3339" t="s">
        <v>54</v>
      </c>
      <c r="F3339" t="s">
        <v>55</v>
      </c>
      <c r="G3339" t="s">
        <v>2379</v>
      </c>
      <c r="H3339" t="s">
        <v>16</v>
      </c>
      <c r="I3339" s="26" t="s">
        <v>747</v>
      </c>
    </row>
    <row r="3340" spans="1:9" x14ac:dyDescent="0.3">
      <c r="A3340" s="24">
        <v>45371</v>
      </c>
      <c r="B3340" t="s">
        <v>340</v>
      </c>
      <c r="C3340" t="s">
        <v>53</v>
      </c>
      <c r="D3340">
        <v>1.5</v>
      </c>
      <c r="E3340" t="s">
        <v>54</v>
      </c>
      <c r="F3340" t="s">
        <v>55</v>
      </c>
      <c r="G3340" t="s">
        <v>2380</v>
      </c>
      <c r="H3340" t="s">
        <v>16</v>
      </c>
      <c r="I3340" s="26" t="s">
        <v>747</v>
      </c>
    </row>
    <row r="3341" spans="1:9" x14ac:dyDescent="0.3">
      <c r="A3341" s="24">
        <v>45371</v>
      </c>
      <c r="B3341" t="s">
        <v>340</v>
      </c>
      <c r="C3341" t="s">
        <v>225</v>
      </c>
      <c r="D3341">
        <v>0.33</v>
      </c>
      <c r="E3341" t="s">
        <v>61</v>
      </c>
      <c r="F3341" t="s">
        <v>31</v>
      </c>
      <c r="G3341" t="s">
        <v>1664</v>
      </c>
      <c r="H3341" t="s">
        <v>16</v>
      </c>
      <c r="I3341" s="26" t="s">
        <v>747</v>
      </c>
    </row>
    <row r="3342" spans="1:9" x14ac:dyDescent="0.3">
      <c r="A3342" s="24">
        <v>45371</v>
      </c>
      <c r="B3342" t="s">
        <v>340</v>
      </c>
      <c r="C3342" t="s">
        <v>232</v>
      </c>
      <c r="D3342">
        <v>0.25</v>
      </c>
      <c r="E3342" t="s">
        <v>139</v>
      </c>
      <c r="F3342" t="s">
        <v>31</v>
      </c>
      <c r="G3342" t="s">
        <v>2381</v>
      </c>
      <c r="H3342" t="s">
        <v>16</v>
      </c>
      <c r="I3342" s="26" t="s">
        <v>747</v>
      </c>
    </row>
    <row r="3343" spans="1:9" x14ac:dyDescent="0.3">
      <c r="A3343" s="24">
        <v>45371</v>
      </c>
      <c r="B3343" t="s">
        <v>351</v>
      </c>
      <c r="C3343" t="s">
        <v>29</v>
      </c>
      <c r="D3343">
        <v>5.5</v>
      </c>
      <c r="E3343" t="s">
        <v>81</v>
      </c>
      <c r="F3343" t="s">
        <v>31</v>
      </c>
      <c r="G3343" t="s">
        <v>2382</v>
      </c>
      <c r="H3343" t="s">
        <v>16</v>
      </c>
      <c r="I3343" s="26" t="s">
        <v>747</v>
      </c>
    </row>
    <row r="3344" spans="1:9" x14ac:dyDescent="0.3">
      <c r="A3344" s="24">
        <v>45371</v>
      </c>
      <c r="B3344" t="s">
        <v>351</v>
      </c>
      <c r="C3344" t="s">
        <v>58</v>
      </c>
      <c r="D3344">
        <v>2.5</v>
      </c>
      <c r="E3344" t="s">
        <v>54</v>
      </c>
      <c r="F3344" t="s">
        <v>55</v>
      </c>
      <c r="G3344" t="s">
        <v>2383</v>
      </c>
      <c r="H3344" t="s">
        <v>16</v>
      </c>
      <c r="I3344" s="26" t="s">
        <v>747</v>
      </c>
    </row>
    <row r="3345" spans="1:9" x14ac:dyDescent="0.3">
      <c r="A3345" s="24">
        <v>45371</v>
      </c>
      <c r="B3345" t="s">
        <v>355</v>
      </c>
      <c r="C3345" t="s">
        <v>73</v>
      </c>
      <c r="D3345">
        <v>7.6</v>
      </c>
      <c r="E3345" t="s">
        <v>54</v>
      </c>
      <c r="F3345" t="s">
        <v>55</v>
      </c>
      <c r="H3345" t="s">
        <v>16</v>
      </c>
      <c r="I3345" s="26" t="s">
        <v>747</v>
      </c>
    </row>
    <row r="3346" spans="1:9" x14ac:dyDescent="0.3">
      <c r="A3346" s="24">
        <v>45371</v>
      </c>
      <c r="B3346" t="s">
        <v>374</v>
      </c>
      <c r="C3346" t="s">
        <v>123</v>
      </c>
      <c r="D3346">
        <v>0.5</v>
      </c>
      <c r="E3346" t="s">
        <v>54</v>
      </c>
      <c r="F3346" t="s">
        <v>55</v>
      </c>
      <c r="G3346" t="e">
        <f>- Meeting with TRS provider</f>
        <v>#NAME?</v>
      </c>
      <c r="H3346" t="s">
        <v>16</v>
      </c>
      <c r="I3346" s="26" t="s">
        <v>747</v>
      </c>
    </row>
    <row r="3347" spans="1:9" x14ac:dyDescent="0.3">
      <c r="A3347" s="24">
        <v>45371</v>
      </c>
      <c r="B3347" t="s">
        <v>374</v>
      </c>
      <c r="C3347" t="s">
        <v>123</v>
      </c>
      <c r="D3347">
        <v>3</v>
      </c>
      <c r="E3347" t="s">
        <v>54</v>
      </c>
      <c r="F3347" t="s">
        <v>55</v>
      </c>
      <c r="G3347" t="e">
        <f>- Resume browsing - sending rejection email to FM Applicants</f>
        <v>#NAME?</v>
      </c>
      <c r="H3347" t="s">
        <v>16</v>
      </c>
      <c r="I3347" s="26" t="s">
        <v>747</v>
      </c>
    </row>
    <row r="3348" spans="1:9" x14ac:dyDescent="0.3">
      <c r="A3348" s="24">
        <v>45371</v>
      </c>
      <c r="B3348" t="s">
        <v>374</v>
      </c>
      <c r="C3348" t="s">
        <v>123</v>
      </c>
      <c r="D3348">
        <v>3.5</v>
      </c>
      <c r="E3348" t="s">
        <v>54</v>
      </c>
      <c r="F3348" t="s">
        <v>55</v>
      </c>
      <c r="G3348" t="e">
        <f>- finalize department Update - reach out to New AP Specialist for references - finalize coordination of payment  - General Admin</f>
        <v>#NAME?</v>
      </c>
      <c r="H3348" t="s">
        <v>16</v>
      </c>
      <c r="I3348" s="26" t="s">
        <v>747</v>
      </c>
    </row>
    <row r="3349" spans="1:9" x14ac:dyDescent="0.3">
      <c r="A3349" s="24">
        <v>45371</v>
      </c>
      <c r="B3349" t="s">
        <v>374</v>
      </c>
      <c r="C3349" t="s">
        <v>58</v>
      </c>
      <c r="D3349">
        <v>1</v>
      </c>
      <c r="E3349" t="s">
        <v>54</v>
      </c>
      <c r="F3349" t="s">
        <v>55</v>
      </c>
      <c r="G3349" t="e">
        <f>- Meeting in the Office</f>
        <v>#NAME?</v>
      </c>
      <c r="H3349" t="s">
        <v>16</v>
      </c>
      <c r="I3349" s="26" t="s">
        <v>747</v>
      </c>
    </row>
    <row r="3350" spans="1:9" x14ac:dyDescent="0.3">
      <c r="A3350" s="24">
        <v>45372</v>
      </c>
      <c r="B3350" t="s">
        <v>28</v>
      </c>
      <c r="C3350" t="s">
        <v>29</v>
      </c>
      <c r="D3350">
        <v>0.05</v>
      </c>
      <c r="E3350" t="s">
        <v>52</v>
      </c>
      <c r="F3350" t="s">
        <v>31</v>
      </c>
      <c r="G3350" t="s">
        <v>32</v>
      </c>
      <c r="H3350" t="s">
        <v>16</v>
      </c>
      <c r="I3350" s="26" t="s">
        <v>897</v>
      </c>
    </row>
    <row r="3351" spans="1:9" x14ac:dyDescent="0.3">
      <c r="A3351" s="24">
        <v>45372</v>
      </c>
      <c r="B3351" t="s">
        <v>28</v>
      </c>
      <c r="C3351" t="s">
        <v>29</v>
      </c>
      <c r="D3351">
        <v>0.05</v>
      </c>
      <c r="E3351" t="s">
        <v>48</v>
      </c>
      <c r="F3351" t="s">
        <v>31</v>
      </c>
      <c r="G3351" t="s">
        <v>32</v>
      </c>
      <c r="H3351" t="s">
        <v>16</v>
      </c>
      <c r="I3351" s="26" t="s">
        <v>897</v>
      </c>
    </row>
    <row r="3352" spans="1:9" x14ac:dyDescent="0.3">
      <c r="A3352" s="24">
        <v>45372</v>
      </c>
      <c r="B3352" t="s">
        <v>28</v>
      </c>
      <c r="C3352" t="s">
        <v>29</v>
      </c>
      <c r="D3352">
        <v>0.1</v>
      </c>
      <c r="E3352" t="s">
        <v>42</v>
      </c>
      <c r="F3352" t="s">
        <v>31</v>
      </c>
      <c r="G3352" t="s">
        <v>32</v>
      </c>
      <c r="H3352" t="s">
        <v>16</v>
      </c>
      <c r="I3352" s="26" t="s">
        <v>897</v>
      </c>
    </row>
    <row r="3353" spans="1:9" x14ac:dyDescent="0.3">
      <c r="A3353" s="24">
        <v>45372</v>
      </c>
      <c r="B3353" t="s">
        <v>28</v>
      </c>
      <c r="C3353" t="s">
        <v>29</v>
      </c>
      <c r="D3353">
        <v>0.18</v>
      </c>
      <c r="E3353" t="s">
        <v>44</v>
      </c>
      <c r="F3353" t="s">
        <v>31</v>
      </c>
      <c r="G3353" t="s">
        <v>34</v>
      </c>
      <c r="H3353" t="s">
        <v>16</v>
      </c>
      <c r="I3353" s="26" t="s">
        <v>897</v>
      </c>
    </row>
    <row r="3354" spans="1:9" x14ac:dyDescent="0.3">
      <c r="A3354" s="24">
        <v>45372</v>
      </c>
      <c r="B3354" t="s">
        <v>28</v>
      </c>
      <c r="C3354" t="s">
        <v>29</v>
      </c>
      <c r="D3354">
        <v>0.18</v>
      </c>
      <c r="E3354" t="s">
        <v>42</v>
      </c>
      <c r="F3354" t="s">
        <v>31</v>
      </c>
      <c r="G3354" t="s">
        <v>34</v>
      </c>
      <c r="H3354" t="s">
        <v>16</v>
      </c>
      <c r="I3354" s="26" t="s">
        <v>897</v>
      </c>
    </row>
    <row r="3355" spans="1:9" x14ac:dyDescent="0.3">
      <c r="A3355" s="24">
        <v>45372</v>
      </c>
      <c r="B3355" t="s">
        <v>28</v>
      </c>
      <c r="C3355" t="s">
        <v>29</v>
      </c>
      <c r="D3355">
        <v>0.18</v>
      </c>
      <c r="E3355" t="s">
        <v>35</v>
      </c>
      <c r="F3355" t="s">
        <v>31</v>
      </c>
      <c r="G3355" t="s">
        <v>2384</v>
      </c>
      <c r="H3355" t="s">
        <v>16</v>
      </c>
      <c r="I3355" s="26" t="s">
        <v>897</v>
      </c>
    </row>
    <row r="3356" spans="1:9" x14ac:dyDescent="0.3">
      <c r="A3356" s="24">
        <v>45372</v>
      </c>
      <c r="B3356" t="s">
        <v>28</v>
      </c>
      <c r="C3356" t="s">
        <v>29</v>
      </c>
      <c r="D3356">
        <v>0.77</v>
      </c>
      <c r="E3356" t="s">
        <v>49</v>
      </c>
      <c r="F3356" t="s">
        <v>31</v>
      </c>
      <c r="G3356" t="s">
        <v>43</v>
      </c>
      <c r="H3356" t="s">
        <v>16</v>
      </c>
      <c r="I3356" s="26" t="s">
        <v>897</v>
      </c>
    </row>
    <row r="3357" spans="1:9" x14ac:dyDescent="0.3">
      <c r="A3357" s="24">
        <v>45372</v>
      </c>
      <c r="B3357" t="s">
        <v>28</v>
      </c>
      <c r="C3357" t="s">
        <v>29</v>
      </c>
      <c r="D3357">
        <v>0.88</v>
      </c>
      <c r="E3357" t="s">
        <v>44</v>
      </c>
      <c r="F3357" t="s">
        <v>31</v>
      </c>
      <c r="G3357" t="s">
        <v>579</v>
      </c>
      <c r="H3357" t="s">
        <v>16</v>
      </c>
      <c r="I3357" s="26" t="s">
        <v>897</v>
      </c>
    </row>
    <row r="3358" spans="1:9" x14ac:dyDescent="0.3">
      <c r="A3358" s="24">
        <v>45372</v>
      </c>
      <c r="B3358" t="s">
        <v>28</v>
      </c>
      <c r="C3358" t="s">
        <v>29</v>
      </c>
      <c r="D3358">
        <v>1.25</v>
      </c>
      <c r="E3358" t="s">
        <v>30</v>
      </c>
      <c r="F3358" t="s">
        <v>31</v>
      </c>
      <c r="G3358" t="s">
        <v>1677</v>
      </c>
      <c r="H3358" t="s">
        <v>16</v>
      </c>
      <c r="I3358" s="26" t="s">
        <v>897</v>
      </c>
    </row>
    <row r="3359" spans="1:9" x14ac:dyDescent="0.3">
      <c r="A3359" s="24">
        <v>45372</v>
      </c>
      <c r="B3359" t="s">
        <v>28</v>
      </c>
      <c r="C3359" t="s">
        <v>29</v>
      </c>
      <c r="D3359">
        <v>1.63</v>
      </c>
      <c r="E3359" t="s">
        <v>49</v>
      </c>
      <c r="F3359" t="s">
        <v>31</v>
      </c>
      <c r="G3359" t="s">
        <v>579</v>
      </c>
      <c r="H3359" t="s">
        <v>16</v>
      </c>
      <c r="I3359" s="26" t="s">
        <v>897</v>
      </c>
    </row>
    <row r="3360" spans="1:9" x14ac:dyDescent="0.3">
      <c r="A3360" s="24">
        <v>45372</v>
      </c>
      <c r="B3360" t="s">
        <v>28</v>
      </c>
      <c r="C3360" t="s">
        <v>29</v>
      </c>
      <c r="D3360">
        <v>2.13</v>
      </c>
      <c r="E3360" t="s">
        <v>30</v>
      </c>
      <c r="F3360" t="s">
        <v>55</v>
      </c>
      <c r="G3360" t="s">
        <v>1677</v>
      </c>
      <c r="H3360" t="s">
        <v>16</v>
      </c>
      <c r="I3360" s="26" t="s">
        <v>897</v>
      </c>
    </row>
    <row r="3361" spans="1:9" x14ac:dyDescent="0.3">
      <c r="A3361" s="24">
        <v>45372</v>
      </c>
      <c r="B3361" t="s">
        <v>28</v>
      </c>
      <c r="C3361" t="s">
        <v>53</v>
      </c>
      <c r="D3361">
        <v>0.25</v>
      </c>
      <c r="E3361" t="s">
        <v>54</v>
      </c>
      <c r="F3361" t="s">
        <v>55</v>
      </c>
      <c r="G3361" t="s">
        <v>56</v>
      </c>
      <c r="H3361" t="s">
        <v>16</v>
      </c>
      <c r="I3361" s="26" t="s">
        <v>897</v>
      </c>
    </row>
    <row r="3362" spans="1:9" x14ac:dyDescent="0.3">
      <c r="A3362" s="24">
        <v>45372</v>
      </c>
      <c r="B3362" t="s">
        <v>28</v>
      </c>
      <c r="C3362" t="s">
        <v>53</v>
      </c>
      <c r="D3362">
        <v>0.25</v>
      </c>
      <c r="E3362" t="s">
        <v>54</v>
      </c>
      <c r="F3362" t="s">
        <v>55</v>
      </c>
      <c r="G3362" t="s">
        <v>57</v>
      </c>
      <c r="H3362" t="s">
        <v>16</v>
      </c>
      <c r="I3362" s="26" t="s">
        <v>897</v>
      </c>
    </row>
    <row r="3363" spans="1:9" x14ac:dyDescent="0.3">
      <c r="A3363" s="24">
        <v>45372</v>
      </c>
      <c r="B3363" t="s">
        <v>28</v>
      </c>
      <c r="C3363" t="s">
        <v>60</v>
      </c>
      <c r="D3363">
        <v>0.08</v>
      </c>
      <c r="E3363" t="s">
        <v>61</v>
      </c>
      <c r="F3363" t="s">
        <v>31</v>
      </c>
      <c r="G3363" t="s">
        <v>32</v>
      </c>
      <c r="H3363" t="s">
        <v>16</v>
      </c>
      <c r="I3363" s="26" t="s">
        <v>897</v>
      </c>
    </row>
    <row r="3364" spans="1:9" x14ac:dyDescent="0.3">
      <c r="A3364" s="24">
        <v>45372</v>
      </c>
      <c r="B3364" t="s">
        <v>64</v>
      </c>
      <c r="C3364" t="s">
        <v>173</v>
      </c>
      <c r="D3364">
        <v>3.33</v>
      </c>
      <c r="E3364" t="s">
        <v>162</v>
      </c>
      <c r="F3364" t="s">
        <v>31</v>
      </c>
      <c r="G3364" t="s">
        <v>2385</v>
      </c>
      <c r="H3364" t="s">
        <v>16</v>
      </c>
      <c r="I3364" s="26" t="s">
        <v>897</v>
      </c>
    </row>
    <row r="3365" spans="1:9" x14ac:dyDescent="0.3">
      <c r="A3365" s="24">
        <v>45372</v>
      </c>
      <c r="B3365" t="s">
        <v>64</v>
      </c>
      <c r="C3365" t="s">
        <v>65</v>
      </c>
      <c r="D3365">
        <v>1.33</v>
      </c>
      <c r="E3365" t="s">
        <v>66</v>
      </c>
      <c r="F3365" t="s">
        <v>31</v>
      </c>
      <c r="G3365" t="s">
        <v>2386</v>
      </c>
      <c r="H3365" t="s">
        <v>16</v>
      </c>
      <c r="I3365" s="26" t="s">
        <v>897</v>
      </c>
    </row>
    <row r="3366" spans="1:9" x14ac:dyDescent="0.3">
      <c r="A3366" s="24">
        <v>45372</v>
      </c>
      <c r="B3366" t="s">
        <v>64</v>
      </c>
      <c r="C3366" t="s">
        <v>68</v>
      </c>
      <c r="D3366">
        <v>0.5</v>
      </c>
      <c r="E3366" t="s">
        <v>66</v>
      </c>
      <c r="F3366" t="s">
        <v>31</v>
      </c>
      <c r="G3366" t="s">
        <v>2387</v>
      </c>
      <c r="H3366" t="s">
        <v>16</v>
      </c>
      <c r="I3366" s="26" t="s">
        <v>897</v>
      </c>
    </row>
    <row r="3367" spans="1:9" x14ac:dyDescent="0.3">
      <c r="A3367" s="24">
        <v>45372</v>
      </c>
      <c r="B3367" t="s">
        <v>64</v>
      </c>
      <c r="C3367" t="s">
        <v>70</v>
      </c>
      <c r="D3367">
        <v>1.5</v>
      </c>
      <c r="E3367" t="s">
        <v>66</v>
      </c>
      <c r="F3367" t="s">
        <v>31</v>
      </c>
      <c r="G3367" t="s">
        <v>2388</v>
      </c>
      <c r="H3367" t="s">
        <v>16</v>
      </c>
      <c r="I3367" s="26" t="s">
        <v>897</v>
      </c>
    </row>
    <row r="3368" spans="1:9" x14ac:dyDescent="0.3">
      <c r="A3368" s="24">
        <v>45372</v>
      </c>
      <c r="B3368" t="s">
        <v>72</v>
      </c>
      <c r="C3368" t="s">
        <v>73</v>
      </c>
      <c r="D3368">
        <v>8</v>
      </c>
      <c r="E3368" t="s">
        <v>54</v>
      </c>
      <c r="F3368" t="s">
        <v>55</v>
      </c>
      <c r="H3368" t="s">
        <v>16</v>
      </c>
      <c r="I3368" s="26" t="s">
        <v>897</v>
      </c>
    </row>
    <row r="3369" spans="1:9" x14ac:dyDescent="0.3">
      <c r="A3369" s="24">
        <v>45372</v>
      </c>
      <c r="B3369" t="s">
        <v>75</v>
      </c>
      <c r="C3369" t="s">
        <v>148</v>
      </c>
      <c r="D3369">
        <v>8</v>
      </c>
      <c r="E3369" t="s">
        <v>54</v>
      </c>
      <c r="F3369" t="s">
        <v>55</v>
      </c>
      <c r="G3369" t="s">
        <v>2389</v>
      </c>
      <c r="H3369" t="s">
        <v>16</v>
      </c>
      <c r="I3369" s="26" t="s">
        <v>897</v>
      </c>
    </row>
    <row r="3370" spans="1:9" x14ac:dyDescent="0.3">
      <c r="A3370" s="24">
        <v>45372</v>
      </c>
      <c r="B3370" t="s">
        <v>79</v>
      </c>
      <c r="C3370" t="s">
        <v>58</v>
      </c>
      <c r="D3370">
        <v>8</v>
      </c>
      <c r="E3370" t="s">
        <v>54</v>
      </c>
      <c r="F3370" t="s">
        <v>55</v>
      </c>
      <c r="H3370" t="s">
        <v>16</v>
      </c>
      <c r="I3370" s="26" t="s">
        <v>897</v>
      </c>
    </row>
    <row r="3371" spans="1:9" x14ac:dyDescent="0.3">
      <c r="A3371" s="24">
        <v>45372</v>
      </c>
      <c r="B3371" t="s">
        <v>80</v>
      </c>
      <c r="C3371" t="s">
        <v>238</v>
      </c>
      <c r="D3371">
        <v>8</v>
      </c>
      <c r="E3371" t="s">
        <v>54</v>
      </c>
      <c r="F3371" t="s">
        <v>55</v>
      </c>
      <c r="H3371" t="s">
        <v>16</v>
      </c>
      <c r="I3371" s="26" t="s">
        <v>897</v>
      </c>
    </row>
    <row r="3372" spans="1:9" x14ac:dyDescent="0.3">
      <c r="A3372" s="24">
        <v>45372</v>
      </c>
      <c r="B3372" t="s">
        <v>88</v>
      </c>
      <c r="C3372" t="s">
        <v>394</v>
      </c>
      <c r="D3372">
        <v>8</v>
      </c>
      <c r="E3372" t="s">
        <v>54</v>
      </c>
      <c r="F3372" t="s">
        <v>55</v>
      </c>
      <c r="G3372" t="s">
        <v>2390</v>
      </c>
      <c r="H3372" t="s">
        <v>16</v>
      </c>
      <c r="I3372" s="26" t="s">
        <v>897</v>
      </c>
    </row>
    <row r="3373" spans="1:9" x14ac:dyDescent="0.3">
      <c r="A3373" s="24">
        <v>45372</v>
      </c>
      <c r="B3373" t="s">
        <v>97</v>
      </c>
      <c r="C3373" t="s">
        <v>89</v>
      </c>
      <c r="D3373">
        <v>1.5</v>
      </c>
      <c r="E3373" t="s">
        <v>54</v>
      </c>
      <c r="F3373" t="s">
        <v>55</v>
      </c>
      <c r="G3373" t="s">
        <v>1698</v>
      </c>
      <c r="H3373" t="s">
        <v>16</v>
      </c>
      <c r="I3373" s="26" t="s">
        <v>897</v>
      </c>
    </row>
    <row r="3374" spans="1:9" x14ac:dyDescent="0.3">
      <c r="A3374" s="24">
        <v>45372</v>
      </c>
      <c r="B3374" t="s">
        <v>99</v>
      </c>
      <c r="C3374" t="s">
        <v>89</v>
      </c>
      <c r="D3374">
        <v>9.08</v>
      </c>
      <c r="E3374" t="s">
        <v>54</v>
      </c>
      <c r="F3374" t="s">
        <v>55</v>
      </c>
      <c r="G3374" t="s">
        <v>1983</v>
      </c>
      <c r="H3374" t="s">
        <v>16</v>
      </c>
      <c r="I3374" s="26" t="s">
        <v>897</v>
      </c>
    </row>
    <row r="3375" spans="1:9" x14ac:dyDescent="0.3">
      <c r="A3375" s="24">
        <v>45372</v>
      </c>
      <c r="B3375" t="s">
        <v>101</v>
      </c>
      <c r="C3375" t="s">
        <v>29</v>
      </c>
      <c r="D3375">
        <v>0.08</v>
      </c>
      <c r="E3375" t="s">
        <v>229</v>
      </c>
      <c r="F3375" t="s">
        <v>31</v>
      </c>
      <c r="G3375" t="s">
        <v>2391</v>
      </c>
      <c r="H3375" t="s">
        <v>16</v>
      </c>
      <c r="I3375" s="26" t="s">
        <v>897</v>
      </c>
    </row>
    <row r="3376" spans="1:9" x14ac:dyDescent="0.3">
      <c r="A3376" s="24">
        <v>45372</v>
      </c>
      <c r="B3376" t="s">
        <v>101</v>
      </c>
      <c r="C3376" t="s">
        <v>29</v>
      </c>
      <c r="D3376">
        <v>0.17</v>
      </c>
      <c r="E3376" t="s">
        <v>102</v>
      </c>
      <c r="F3376" t="s">
        <v>31</v>
      </c>
      <c r="G3376" t="s">
        <v>1985</v>
      </c>
      <c r="H3376" t="s">
        <v>16</v>
      </c>
      <c r="I3376" s="26" t="s">
        <v>897</v>
      </c>
    </row>
    <row r="3377" spans="1:9" x14ac:dyDescent="0.3">
      <c r="A3377" s="24">
        <v>45372</v>
      </c>
      <c r="B3377" t="s">
        <v>101</v>
      </c>
      <c r="C3377" t="s">
        <v>29</v>
      </c>
      <c r="D3377">
        <v>0.33</v>
      </c>
      <c r="E3377" t="s">
        <v>195</v>
      </c>
      <c r="F3377" t="s">
        <v>55</v>
      </c>
      <c r="G3377" t="s">
        <v>2392</v>
      </c>
      <c r="H3377" t="s">
        <v>16</v>
      </c>
      <c r="I3377" s="26" t="s">
        <v>897</v>
      </c>
    </row>
    <row r="3378" spans="1:9" x14ac:dyDescent="0.3">
      <c r="A3378" s="24">
        <v>45372</v>
      </c>
      <c r="B3378" t="s">
        <v>101</v>
      </c>
      <c r="C3378" t="s">
        <v>29</v>
      </c>
      <c r="D3378">
        <v>0.42</v>
      </c>
      <c r="E3378" t="s">
        <v>102</v>
      </c>
      <c r="F3378" t="s">
        <v>31</v>
      </c>
      <c r="G3378" t="s">
        <v>1701</v>
      </c>
      <c r="H3378" t="s">
        <v>16</v>
      </c>
      <c r="I3378" s="26" t="s">
        <v>897</v>
      </c>
    </row>
    <row r="3379" spans="1:9" x14ac:dyDescent="0.3">
      <c r="A3379" s="24">
        <v>45372</v>
      </c>
      <c r="B3379" t="s">
        <v>101</v>
      </c>
      <c r="C3379" t="s">
        <v>29</v>
      </c>
      <c r="D3379">
        <v>0.92</v>
      </c>
      <c r="E3379" t="s">
        <v>102</v>
      </c>
      <c r="F3379" t="s">
        <v>31</v>
      </c>
      <c r="G3379" t="s">
        <v>2393</v>
      </c>
      <c r="H3379" t="s">
        <v>16</v>
      </c>
      <c r="I3379" s="26" t="s">
        <v>897</v>
      </c>
    </row>
    <row r="3380" spans="1:9" x14ac:dyDescent="0.3">
      <c r="A3380" s="24">
        <v>45372</v>
      </c>
      <c r="B3380" t="s">
        <v>101</v>
      </c>
      <c r="C3380" t="s">
        <v>29</v>
      </c>
      <c r="D3380">
        <v>2</v>
      </c>
      <c r="E3380" t="s">
        <v>195</v>
      </c>
      <c r="F3380" t="s">
        <v>31</v>
      </c>
      <c r="G3380" t="s">
        <v>2394</v>
      </c>
      <c r="H3380" t="s">
        <v>16</v>
      </c>
      <c r="I3380" s="26" t="s">
        <v>897</v>
      </c>
    </row>
    <row r="3381" spans="1:9" x14ac:dyDescent="0.3">
      <c r="A3381" s="24">
        <v>45372</v>
      </c>
      <c r="B3381" t="s">
        <v>101</v>
      </c>
      <c r="C3381" t="s">
        <v>29</v>
      </c>
      <c r="D3381">
        <v>3.33</v>
      </c>
      <c r="E3381" t="s">
        <v>108</v>
      </c>
      <c r="F3381" t="s">
        <v>31</v>
      </c>
      <c r="G3381" t="s">
        <v>2395</v>
      </c>
      <c r="H3381" t="s">
        <v>16</v>
      </c>
      <c r="I3381" s="26" t="s">
        <v>897</v>
      </c>
    </row>
    <row r="3382" spans="1:9" x14ac:dyDescent="0.3">
      <c r="A3382" s="24">
        <v>45372</v>
      </c>
      <c r="B3382" t="s">
        <v>101</v>
      </c>
      <c r="C3382" t="s">
        <v>53</v>
      </c>
      <c r="D3382">
        <v>0.5</v>
      </c>
      <c r="E3382" t="s">
        <v>54</v>
      </c>
      <c r="F3382" t="s">
        <v>55</v>
      </c>
      <c r="G3382" t="s">
        <v>110</v>
      </c>
      <c r="H3382" t="s">
        <v>16</v>
      </c>
      <c r="I3382" s="26" t="s">
        <v>897</v>
      </c>
    </row>
    <row r="3383" spans="1:9" x14ac:dyDescent="0.3">
      <c r="A3383" s="24">
        <v>45372</v>
      </c>
      <c r="B3383" t="s">
        <v>101</v>
      </c>
      <c r="C3383" t="s">
        <v>60</v>
      </c>
      <c r="D3383">
        <v>0.25</v>
      </c>
      <c r="E3383" t="s">
        <v>108</v>
      </c>
      <c r="F3383" t="s">
        <v>31</v>
      </c>
      <c r="G3383" t="s">
        <v>919</v>
      </c>
      <c r="H3383" t="s">
        <v>16</v>
      </c>
      <c r="I3383" s="26" t="s">
        <v>897</v>
      </c>
    </row>
    <row r="3384" spans="1:9" x14ac:dyDescent="0.3">
      <c r="A3384" s="24">
        <v>45372</v>
      </c>
      <c r="B3384" t="s">
        <v>113</v>
      </c>
      <c r="C3384" t="s">
        <v>29</v>
      </c>
      <c r="D3384">
        <v>0.42</v>
      </c>
      <c r="E3384" t="s">
        <v>127</v>
      </c>
      <c r="F3384" t="s">
        <v>31</v>
      </c>
      <c r="G3384" t="s">
        <v>207</v>
      </c>
      <c r="H3384" t="s">
        <v>16</v>
      </c>
      <c r="I3384" s="26" t="s">
        <v>897</v>
      </c>
    </row>
    <row r="3385" spans="1:9" x14ac:dyDescent="0.3">
      <c r="A3385" s="24">
        <v>45372</v>
      </c>
      <c r="B3385" t="s">
        <v>113</v>
      </c>
      <c r="C3385" t="s">
        <v>29</v>
      </c>
      <c r="D3385">
        <v>0.45</v>
      </c>
      <c r="E3385" t="s">
        <v>137</v>
      </c>
      <c r="F3385" t="s">
        <v>31</v>
      </c>
      <c r="G3385" t="s">
        <v>412</v>
      </c>
      <c r="H3385" t="s">
        <v>16</v>
      </c>
      <c r="I3385" s="26" t="s">
        <v>897</v>
      </c>
    </row>
    <row r="3386" spans="1:9" x14ac:dyDescent="0.3">
      <c r="A3386" s="24">
        <v>45372</v>
      </c>
      <c r="B3386" t="s">
        <v>113</v>
      </c>
      <c r="C3386" t="s">
        <v>29</v>
      </c>
      <c r="D3386">
        <v>0.56999999999999995</v>
      </c>
      <c r="E3386" t="s">
        <v>114</v>
      </c>
      <c r="F3386" t="s">
        <v>31</v>
      </c>
      <c r="G3386" t="s">
        <v>2396</v>
      </c>
      <c r="H3386" t="s">
        <v>16</v>
      </c>
      <c r="I3386" s="26" t="s">
        <v>897</v>
      </c>
    </row>
    <row r="3387" spans="1:9" x14ac:dyDescent="0.3">
      <c r="A3387" s="24">
        <v>45372</v>
      </c>
      <c r="B3387" t="s">
        <v>113</v>
      </c>
      <c r="C3387" t="s">
        <v>53</v>
      </c>
      <c r="D3387">
        <v>0.22</v>
      </c>
      <c r="E3387" t="s">
        <v>54</v>
      </c>
      <c r="F3387" t="s">
        <v>55</v>
      </c>
      <c r="G3387" t="s">
        <v>2397</v>
      </c>
      <c r="H3387" t="s">
        <v>16</v>
      </c>
      <c r="I3387" s="26" t="s">
        <v>897</v>
      </c>
    </row>
    <row r="3388" spans="1:9" x14ac:dyDescent="0.3">
      <c r="A3388" s="24">
        <v>45372</v>
      </c>
      <c r="B3388" t="s">
        <v>113</v>
      </c>
      <c r="C3388" t="s">
        <v>53</v>
      </c>
      <c r="D3388">
        <v>0.38</v>
      </c>
      <c r="E3388" t="s">
        <v>54</v>
      </c>
      <c r="F3388" t="s">
        <v>55</v>
      </c>
      <c r="G3388" t="s">
        <v>413</v>
      </c>
      <c r="H3388" t="s">
        <v>16</v>
      </c>
      <c r="I3388" s="26" t="s">
        <v>897</v>
      </c>
    </row>
    <row r="3389" spans="1:9" x14ac:dyDescent="0.3">
      <c r="A3389" s="24">
        <v>45372</v>
      </c>
      <c r="B3389" t="s">
        <v>113</v>
      </c>
      <c r="C3389" t="s">
        <v>53</v>
      </c>
      <c r="D3389">
        <v>0.5</v>
      </c>
      <c r="E3389" t="s">
        <v>54</v>
      </c>
      <c r="F3389" t="s">
        <v>55</v>
      </c>
      <c r="G3389" t="s">
        <v>110</v>
      </c>
      <c r="H3389" t="s">
        <v>16</v>
      </c>
      <c r="I3389" s="26" t="s">
        <v>897</v>
      </c>
    </row>
    <row r="3390" spans="1:9" x14ac:dyDescent="0.3">
      <c r="A3390" s="24">
        <v>45372</v>
      </c>
      <c r="B3390" t="s">
        <v>113</v>
      </c>
      <c r="C3390" t="s">
        <v>53</v>
      </c>
      <c r="D3390">
        <v>0.77</v>
      </c>
      <c r="E3390" t="s">
        <v>54</v>
      </c>
      <c r="F3390" t="s">
        <v>55</v>
      </c>
      <c r="G3390" t="s">
        <v>2398</v>
      </c>
      <c r="H3390" t="s">
        <v>16</v>
      </c>
      <c r="I3390" s="26" t="s">
        <v>897</v>
      </c>
    </row>
    <row r="3391" spans="1:9" x14ac:dyDescent="0.3">
      <c r="A3391" s="24">
        <v>45372</v>
      </c>
      <c r="B3391" t="s">
        <v>113</v>
      </c>
      <c r="C3391" t="s">
        <v>60</v>
      </c>
      <c r="D3391">
        <v>0.17</v>
      </c>
      <c r="E3391" t="s">
        <v>81</v>
      </c>
      <c r="F3391" t="s">
        <v>31</v>
      </c>
      <c r="G3391" t="s">
        <v>412</v>
      </c>
      <c r="H3391" t="s">
        <v>16</v>
      </c>
      <c r="I3391" s="26" t="s">
        <v>897</v>
      </c>
    </row>
    <row r="3392" spans="1:9" x14ac:dyDescent="0.3">
      <c r="A3392" s="24">
        <v>45372</v>
      </c>
      <c r="B3392" t="s">
        <v>113</v>
      </c>
      <c r="C3392" t="s">
        <v>60</v>
      </c>
      <c r="D3392">
        <v>0.38</v>
      </c>
      <c r="E3392" t="s">
        <v>81</v>
      </c>
      <c r="F3392" t="s">
        <v>31</v>
      </c>
      <c r="G3392" t="s">
        <v>2399</v>
      </c>
      <c r="H3392" t="s">
        <v>16</v>
      </c>
      <c r="I3392" s="26" t="s">
        <v>897</v>
      </c>
    </row>
    <row r="3393" spans="1:9" x14ac:dyDescent="0.3">
      <c r="A3393" s="24">
        <v>45372</v>
      </c>
      <c r="B3393" t="s">
        <v>113</v>
      </c>
      <c r="C3393" t="s">
        <v>60</v>
      </c>
      <c r="D3393">
        <v>0.72</v>
      </c>
      <c r="E3393" t="s">
        <v>81</v>
      </c>
      <c r="F3393" t="s">
        <v>31</v>
      </c>
      <c r="G3393" t="s">
        <v>2400</v>
      </c>
      <c r="H3393" t="s">
        <v>16</v>
      </c>
      <c r="I3393" s="26" t="s">
        <v>897</v>
      </c>
    </row>
    <row r="3394" spans="1:9" x14ac:dyDescent="0.3">
      <c r="A3394" s="24">
        <v>45372</v>
      </c>
      <c r="B3394" t="s">
        <v>113</v>
      </c>
      <c r="C3394" t="s">
        <v>60</v>
      </c>
      <c r="D3394">
        <v>1.5</v>
      </c>
      <c r="E3394" t="s">
        <v>81</v>
      </c>
      <c r="F3394" t="s">
        <v>31</v>
      </c>
      <c r="G3394" t="s">
        <v>126</v>
      </c>
      <c r="H3394" t="s">
        <v>16</v>
      </c>
      <c r="I3394" s="26" t="s">
        <v>897</v>
      </c>
    </row>
    <row r="3395" spans="1:9" x14ac:dyDescent="0.3">
      <c r="A3395" s="24">
        <v>45372</v>
      </c>
      <c r="B3395" t="s">
        <v>113</v>
      </c>
      <c r="C3395" t="s">
        <v>60</v>
      </c>
      <c r="D3395">
        <v>1.93</v>
      </c>
      <c r="E3395" t="s">
        <v>81</v>
      </c>
      <c r="F3395" t="s">
        <v>31</v>
      </c>
      <c r="H3395" t="s">
        <v>16</v>
      </c>
      <c r="I3395" s="26" t="s">
        <v>897</v>
      </c>
    </row>
    <row r="3396" spans="1:9" x14ac:dyDescent="0.3">
      <c r="A3396" s="24">
        <v>45372</v>
      </c>
      <c r="B3396" t="s">
        <v>132</v>
      </c>
      <c r="C3396" t="s">
        <v>53</v>
      </c>
      <c r="D3396">
        <v>9.5</v>
      </c>
      <c r="E3396" t="s">
        <v>54</v>
      </c>
      <c r="F3396" t="s">
        <v>55</v>
      </c>
      <c r="G3396" t="s">
        <v>2401</v>
      </c>
      <c r="H3396" t="s">
        <v>16</v>
      </c>
      <c r="I3396" s="26" t="s">
        <v>897</v>
      </c>
    </row>
    <row r="3397" spans="1:9" x14ac:dyDescent="0.3">
      <c r="A3397" s="24">
        <v>45372</v>
      </c>
      <c r="B3397" t="s">
        <v>134</v>
      </c>
      <c r="C3397" t="s">
        <v>29</v>
      </c>
      <c r="D3397">
        <v>0.27</v>
      </c>
      <c r="E3397" t="s">
        <v>143</v>
      </c>
      <c r="F3397" t="s">
        <v>31</v>
      </c>
      <c r="G3397" t="s">
        <v>2402</v>
      </c>
      <c r="H3397" t="s">
        <v>16</v>
      </c>
      <c r="I3397" s="26" t="s">
        <v>897</v>
      </c>
    </row>
    <row r="3398" spans="1:9" x14ac:dyDescent="0.3">
      <c r="A3398" s="24">
        <v>45372</v>
      </c>
      <c r="B3398" t="s">
        <v>134</v>
      </c>
      <c r="C3398" t="s">
        <v>29</v>
      </c>
      <c r="D3398">
        <v>0.33</v>
      </c>
      <c r="E3398" t="s">
        <v>135</v>
      </c>
      <c r="F3398" t="s">
        <v>31</v>
      </c>
      <c r="G3398" t="s">
        <v>2403</v>
      </c>
      <c r="H3398" t="s">
        <v>16</v>
      </c>
      <c r="I3398" s="26" t="s">
        <v>897</v>
      </c>
    </row>
    <row r="3399" spans="1:9" x14ac:dyDescent="0.3">
      <c r="A3399" s="24">
        <v>45372</v>
      </c>
      <c r="B3399" t="s">
        <v>134</v>
      </c>
      <c r="C3399" t="s">
        <v>29</v>
      </c>
      <c r="D3399">
        <v>0.53</v>
      </c>
      <c r="E3399" t="s">
        <v>139</v>
      </c>
      <c r="F3399" t="s">
        <v>31</v>
      </c>
      <c r="G3399" t="s">
        <v>429</v>
      </c>
      <c r="H3399" t="s">
        <v>16</v>
      </c>
      <c r="I3399" s="26" t="s">
        <v>897</v>
      </c>
    </row>
    <row r="3400" spans="1:9" x14ac:dyDescent="0.3">
      <c r="A3400" s="24">
        <v>45372</v>
      </c>
      <c r="B3400" t="s">
        <v>134</v>
      </c>
      <c r="C3400" t="s">
        <v>29</v>
      </c>
      <c r="D3400">
        <v>0.56999999999999995</v>
      </c>
      <c r="E3400" t="s">
        <v>135</v>
      </c>
      <c r="F3400" t="s">
        <v>31</v>
      </c>
      <c r="G3400" t="s">
        <v>2404</v>
      </c>
      <c r="H3400" t="s">
        <v>16</v>
      </c>
      <c r="I3400" s="26" t="s">
        <v>897</v>
      </c>
    </row>
    <row r="3401" spans="1:9" x14ac:dyDescent="0.3">
      <c r="A3401" s="24">
        <v>45372</v>
      </c>
      <c r="B3401" t="s">
        <v>134</v>
      </c>
      <c r="C3401" t="s">
        <v>29</v>
      </c>
      <c r="D3401">
        <v>0.6</v>
      </c>
      <c r="E3401" t="s">
        <v>137</v>
      </c>
      <c r="F3401" t="s">
        <v>31</v>
      </c>
      <c r="G3401" t="s">
        <v>2405</v>
      </c>
      <c r="H3401" t="s">
        <v>16</v>
      </c>
      <c r="I3401" s="26" t="s">
        <v>897</v>
      </c>
    </row>
    <row r="3402" spans="1:9" x14ac:dyDescent="0.3">
      <c r="A3402" s="24">
        <v>45372</v>
      </c>
      <c r="B3402" t="s">
        <v>134</v>
      </c>
      <c r="C3402" t="s">
        <v>29</v>
      </c>
      <c r="D3402">
        <v>0.62</v>
      </c>
      <c r="E3402" t="s">
        <v>423</v>
      </c>
      <c r="F3402" t="s">
        <v>31</v>
      </c>
      <c r="G3402" t="s">
        <v>2406</v>
      </c>
      <c r="H3402" t="s">
        <v>16</v>
      </c>
      <c r="I3402" s="26" t="s">
        <v>897</v>
      </c>
    </row>
    <row r="3403" spans="1:9" x14ac:dyDescent="0.3">
      <c r="A3403" s="24">
        <v>45372</v>
      </c>
      <c r="B3403" t="s">
        <v>134</v>
      </c>
      <c r="C3403" t="s">
        <v>29</v>
      </c>
      <c r="D3403">
        <v>0.82</v>
      </c>
      <c r="E3403" t="s">
        <v>420</v>
      </c>
      <c r="F3403" t="s">
        <v>31</v>
      </c>
      <c r="G3403" t="s">
        <v>2407</v>
      </c>
      <c r="H3403" t="s">
        <v>16</v>
      </c>
      <c r="I3403" s="26" t="s">
        <v>897</v>
      </c>
    </row>
    <row r="3404" spans="1:9" x14ac:dyDescent="0.3">
      <c r="A3404" s="24">
        <v>45372</v>
      </c>
      <c r="B3404" t="s">
        <v>134</v>
      </c>
      <c r="C3404" t="s">
        <v>29</v>
      </c>
      <c r="D3404">
        <v>1.1000000000000001</v>
      </c>
      <c r="E3404" t="s">
        <v>139</v>
      </c>
      <c r="F3404" t="s">
        <v>55</v>
      </c>
      <c r="G3404" t="s">
        <v>2408</v>
      </c>
      <c r="H3404" t="s">
        <v>16</v>
      </c>
      <c r="I3404" s="26" t="s">
        <v>897</v>
      </c>
    </row>
    <row r="3405" spans="1:9" x14ac:dyDescent="0.3">
      <c r="A3405" s="24">
        <v>45372</v>
      </c>
      <c r="B3405" t="s">
        <v>134</v>
      </c>
      <c r="C3405" t="s">
        <v>29</v>
      </c>
      <c r="D3405">
        <v>2.67</v>
      </c>
      <c r="E3405" t="s">
        <v>420</v>
      </c>
      <c r="F3405" t="s">
        <v>31</v>
      </c>
      <c r="G3405" t="s">
        <v>2409</v>
      </c>
      <c r="H3405" t="s">
        <v>16</v>
      </c>
      <c r="I3405" s="26" t="s">
        <v>897</v>
      </c>
    </row>
    <row r="3406" spans="1:9" x14ac:dyDescent="0.3">
      <c r="A3406" s="24">
        <v>45372</v>
      </c>
      <c r="B3406" t="s">
        <v>134</v>
      </c>
      <c r="C3406" t="s">
        <v>53</v>
      </c>
      <c r="D3406">
        <v>0.5</v>
      </c>
      <c r="E3406" t="s">
        <v>54</v>
      </c>
      <c r="F3406" t="s">
        <v>55</v>
      </c>
      <c r="G3406" t="s">
        <v>110</v>
      </c>
      <c r="H3406" t="s">
        <v>16</v>
      </c>
      <c r="I3406" s="26" t="s">
        <v>897</v>
      </c>
    </row>
    <row r="3407" spans="1:9" x14ac:dyDescent="0.3">
      <c r="A3407" s="24">
        <v>45372</v>
      </c>
      <c r="B3407" t="s">
        <v>150</v>
      </c>
      <c r="C3407" t="s">
        <v>29</v>
      </c>
      <c r="D3407">
        <v>0.18</v>
      </c>
      <c r="E3407" t="s">
        <v>114</v>
      </c>
      <c r="F3407" t="s">
        <v>31</v>
      </c>
      <c r="G3407" t="s">
        <v>438</v>
      </c>
      <c r="H3407" t="s">
        <v>16</v>
      </c>
      <c r="I3407" s="26" t="s">
        <v>897</v>
      </c>
    </row>
    <row r="3408" spans="1:9" x14ac:dyDescent="0.3">
      <c r="A3408" s="24">
        <v>45372</v>
      </c>
      <c r="B3408" t="s">
        <v>150</v>
      </c>
      <c r="C3408" t="s">
        <v>29</v>
      </c>
      <c r="D3408">
        <v>0.2</v>
      </c>
      <c r="E3408" t="s">
        <v>151</v>
      </c>
      <c r="F3408" t="s">
        <v>31</v>
      </c>
      <c r="G3408" t="s">
        <v>2410</v>
      </c>
      <c r="H3408" t="s">
        <v>16</v>
      </c>
      <c r="I3408" s="26" t="s">
        <v>897</v>
      </c>
    </row>
    <row r="3409" spans="1:9" x14ac:dyDescent="0.3">
      <c r="A3409" s="24">
        <v>45372</v>
      </c>
      <c r="B3409" t="s">
        <v>150</v>
      </c>
      <c r="C3409" t="s">
        <v>29</v>
      </c>
      <c r="D3409">
        <v>0.5</v>
      </c>
      <c r="E3409" t="s">
        <v>151</v>
      </c>
      <c r="F3409" t="s">
        <v>55</v>
      </c>
      <c r="G3409" t="s">
        <v>2411</v>
      </c>
      <c r="H3409" t="s">
        <v>16</v>
      </c>
      <c r="I3409" s="26" t="s">
        <v>897</v>
      </c>
    </row>
    <row r="3410" spans="1:9" x14ac:dyDescent="0.3">
      <c r="A3410" s="24">
        <v>45372</v>
      </c>
      <c r="B3410" t="s">
        <v>150</v>
      </c>
      <c r="C3410" t="s">
        <v>29</v>
      </c>
      <c r="D3410">
        <v>1.02</v>
      </c>
      <c r="E3410" t="s">
        <v>114</v>
      </c>
      <c r="F3410" t="s">
        <v>31</v>
      </c>
      <c r="G3410" t="s">
        <v>2412</v>
      </c>
      <c r="H3410" t="s">
        <v>16</v>
      </c>
      <c r="I3410" s="26" t="s">
        <v>897</v>
      </c>
    </row>
    <row r="3411" spans="1:9" x14ac:dyDescent="0.3">
      <c r="A3411" s="24">
        <v>45372</v>
      </c>
      <c r="B3411" t="s">
        <v>150</v>
      </c>
      <c r="C3411" t="s">
        <v>29</v>
      </c>
      <c r="D3411">
        <v>1.2</v>
      </c>
      <c r="E3411" t="s">
        <v>151</v>
      </c>
      <c r="F3411" t="s">
        <v>31</v>
      </c>
      <c r="G3411" t="s">
        <v>2413</v>
      </c>
      <c r="H3411" t="s">
        <v>16</v>
      </c>
      <c r="I3411" s="26" t="s">
        <v>897</v>
      </c>
    </row>
    <row r="3412" spans="1:9" x14ac:dyDescent="0.3">
      <c r="A3412" s="24">
        <v>45372</v>
      </c>
      <c r="B3412" t="s">
        <v>150</v>
      </c>
      <c r="C3412" t="s">
        <v>29</v>
      </c>
      <c r="D3412">
        <v>1.67</v>
      </c>
      <c r="E3412" t="s">
        <v>114</v>
      </c>
      <c r="F3412" t="s">
        <v>31</v>
      </c>
      <c r="G3412" t="s">
        <v>152</v>
      </c>
      <c r="H3412" t="s">
        <v>16</v>
      </c>
      <c r="I3412" s="26" t="s">
        <v>897</v>
      </c>
    </row>
    <row r="3413" spans="1:9" x14ac:dyDescent="0.3">
      <c r="A3413" s="24">
        <v>45372</v>
      </c>
      <c r="B3413" t="s">
        <v>150</v>
      </c>
      <c r="C3413" t="s">
        <v>29</v>
      </c>
      <c r="D3413">
        <v>2</v>
      </c>
      <c r="E3413" t="s">
        <v>437</v>
      </c>
      <c r="F3413" t="s">
        <v>31</v>
      </c>
      <c r="G3413" t="s">
        <v>2414</v>
      </c>
      <c r="H3413" t="s">
        <v>16</v>
      </c>
      <c r="I3413" s="26" t="s">
        <v>897</v>
      </c>
    </row>
    <row r="3414" spans="1:9" x14ac:dyDescent="0.3">
      <c r="A3414" s="24">
        <v>45372</v>
      </c>
      <c r="B3414" t="s">
        <v>150</v>
      </c>
      <c r="C3414" t="s">
        <v>85</v>
      </c>
      <c r="D3414">
        <v>0.25</v>
      </c>
      <c r="E3414" t="s">
        <v>156</v>
      </c>
      <c r="F3414" t="s">
        <v>55</v>
      </c>
      <c r="G3414" t="s">
        <v>2415</v>
      </c>
      <c r="H3414" t="s">
        <v>16</v>
      </c>
      <c r="I3414" s="26" t="s">
        <v>897</v>
      </c>
    </row>
    <row r="3415" spans="1:9" x14ac:dyDescent="0.3">
      <c r="A3415" s="24">
        <v>45372</v>
      </c>
      <c r="B3415" t="s">
        <v>150</v>
      </c>
      <c r="C3415" t="s">
        <v>53</v>
      </c>
      <c r="D3415">
        <v>0.18</v>
      </c>
      <c r="E3415" t="s">
        <v>54</v>
      </c>
      <c r="F3415" t="s">
        <v>55</v>
      </c>
      <c r="G3415" t="s">
        <v>1418</v>
      </c>
      <c r="H3415" t="s">
        <v>16</v>
      </c>
      <c r="I3415" s="26" t="s">
        <v>897</v>
      </c>
    </row>
    <row r="3416" spans="1:9" x14ac:dyDescent="0.3">
      <c r="A3416" s="24">
        <v>45372</v>
      </c>
      <c r="B3416" t="s">
        <v>150</v>
      </c>
      <c r="C3416" t="s">
        <v>60</v>
      </c>
      <c r="D3416">
        <v>0.35</v>
      </c>
      <c r="E3416" t="s">
        <v>162</v>
      </c>
      <c r="F3416" t="s">
        <v>31</v>
      </c>
      <c r="G3416" t="s">
        <v>2416</v>
      </c>
      <c r="H3416" t="s">
        <v>16</v>
      </c>
      <c r="I3416" s="26" t="s">
        <v>897</v>
      </c>
    </row>
    <row r="3417" spans="1:9" x14ac:dyDescent="0.3">
      <c r="A3417" s="24">
        <v>45372</v>
      </c>
      <c r="B3417" t="s">
        <v>150</v>
      </c>
      <c r="C3417" t="s">
        <v>60</v>
      </c>
      <c r="D3417">
        <v>0.45</v>
      </c>
      <c r="E3417" t="s">
        <v>156</v>
      </c>
      <c r="F3417" t="s">
        <v>31</v>
      </c>
      <c r="G3417" t="s">
        <v>2417</v>
      </c>
      <c r="H3417" t="s">
        <v>16</v>
      </c>
      <c r="I3417" s="26" t="s">
        <v>897</v>
      </c>
    </row>
    <row r="3418" spans="1:9" x14ac:dyDescent="0.3">
      <c r="A3418" s="24">
        <v>45372</v>
      </c>
      <c r="B3418" t="s">
        <v>164</v>
      </c>
      <c r="C3418" t="s">
        <v>29</v>
      </c>
      <c r="D3418">
        <v>0.33</v>
      </c>
      <c r="E3418" t="s">
        <v>967</v>
      </c>
      <c r="F3418" t="s">
        <v>31</v>
      </c>
      <c r="G3418" t="s">
        <v>2418</v>
      </c>
      <c r="H3418" t="s">
        <v>16</v>
      </c>
      <c r="I3418" s="26" t="s">
        <v>897</v>
      </c>
    </row>
    <row r="3419" spans="1:9" x14ac:dyDescent="0.3">
      <c r="A3419" s="24">
        <v>45372</v>
      </c>
      <c r="B3419" t="s">
        <v>164</v>
      </c>
      <c r="C3419" t="s">
        <v>29</v>
      </c>
      <c r="D3419">
        <v>0.35</v>
      </c>
      <c r="E3419" t="s">
        <v>96</v>
      </c>
      <c r="F3419" t="s">
        <v>31</v>
      </c>
      <c r="G3419" t="s">
        <v>1421</v>
      </c>
      <c r="H3419" t="s">
        <v>16</v>
      </c>
      <c r="I3419" s="26" t="s">
        <v>897</v>
      </c>
    </row>
    <row r="3420" spans="1:9" x14ac:dyDescent="0.3">
      <c r="A3420" s="24">
        <v>45372</v>
      </c>
      <c r="B3420" t="s">
        <v>164</v>
      </c>
      <c r="C3420" t="s">
        <v>29</v>
      </c>
      <c r="D3420">
        <v>1.98</v>
      </c>
      <c r="E3420" t="s">
        <v>96</v>
      </c>
      <c r="F3420" t="s">
        <v>31</v>
      </c>
      <c r="G3420" t="s">
        <v>2419</v>
      </c>
      <c r="H3420" t="s">
        <v>16</v>
      </c>
      <c r="I3420" s="26" t="s">
        <v>897</v>
      </c>
    </row>
    <row r="3421" spans="1:9" x14ac:dyDescent="0.3">
      <c r="A3421" s="24">
        <v>45372</v>
      </c>
      <c r="B3421" t="s">
        <v>164</v>
      </c>
      <c r="C3421" t="s">
        <v>53</v>
      </c>
      <c r="D3421">
        <v>0.4</v>
      </c>
      <c r="E3421" t="s">
        <v>54</v>
      </c>
      <c r="F3421" t="s">
        <v>55</v>
      </c>
      <c r="G3421" t="s">
        <v>1722</v>
      </c>
      <c r="H3421" t="s">
        <v>16</v>
      </c>
      <c r="I3421" s="26" t="s">
        <v>897</v>
      </c>
    </row>
    <row r="3422" spans="1:9" x14ac:dyDescent="0.3">
      <c r="A3422" s="24">
        <v>45372</v>
      </c>
      <c r="B3422" t="s">
        <v>164</v>
      </c>
      <c r="C3422" t="s">
        <v>53</v>
      </c>
      <c r="D3422">
        <v>0.62</v>
      </c>
      <c r="E3422" t="s">
        <v>54</v>
      </c>
      <c r="F3422" t="s">
        <v>55</v>
      </c>
      <c r="G3422" t="s">
        <v>2420</v>
      </c>
      <c r="H3422" t="s">
        <v>16</v>
      </c>
      <c r="I3422" s="26" t="s">
        <v>897</v>
      </c>
    </row>
    <row r="3423" spans="1:9" x14ac:dyDescent="0.3">
      <c r="A3423" s="24">
        <v>45372</v>
      </c>
      <c r="B3423" t="s">
        <v>164</v>
      </c>
      <c r="C3423" t="s">
        <v>53</v>
      </c>
      <c r="D3423">
        <v>0.97</v>
      </c>
      <c r="E3423" t="s">
        <v>54</v>
      </c>
      <c r="F3423" t="s">
        <v>55</v>
      </c>
      <c r="G3423" t="s">
        <v>2421</v>
      </c>
      <c r="H3423" t="s">
        <v>16</v>
      </c>
      <c r="I3423" s="26" t="s">
        <v>897</v>
      </c>
    </row>
    <row r="3424" spans="1:9" x14ac:dyDescent="0.3">
      <c r="A3424" s="24">
        <v>45372</v>
      </c>
      <c r="B3424" t="s">
        <v>164</v>
      </c>
      <c r="C3424" t="s">
        <v>148</v>
      </c>
      <c r="D3424">
        <v>0.97</v>
      </c>
      <c r="E3424" t="s">
        <v>54</v>
      </c>
      <c r="F3424" t="s">
        <v>55</v>
      </c>
      <c r="G3424" t="s">
        <v>2422</v>
      </c>
      <c r="H3424" t="s">
        <v>16</v>
      </c>
      <c r="I3424" s="26" t="s">
        <v>897</v>
      </c>
    </row>
    <row r="3425" spans="1:9" x14ac:dyDescent="0.3">
      <c r="A3425" s="24">
        <v>45372</v>
      </c>
      <c r="B3425" t="s">
        <v>164</v>
      </c>
      <c r="C3425" t="s">
        <v>148</v>
      </c>
      <c r="D3425">
        <v>1.23</v>
      </c>
      <c r="E3425" t="s">
        <v>54</v>
      </c>
      <c r="F3425" t="s">
        <v>55</v>
      </c>
      <c r="G3425" t="s">
        <v>2423</v>
      </c>
      <c r="H3425" t="s">
        <v>16</v>
      </c>
      <c r="I3425" s="26" t="s">
        <v>897</v>
      </c>
    </row>
    <row r="3426" spans="1:9" x14ac:dyDescent="0.3">
      <c r="A3426" s="24">
        <v>45372</v>
      </c>
      <c r="B3426" t="s">
        <v>164</v>
      </c>
      <c r="C3426" t="s">
        <v>148</v>
      </c>
      <c r="D3426">
        <v>1.43</v>
      </c>
      <c r="E3426" t="s">
        <v>54</v>
      </c>
      <c r="F3426" t="s">
        <v>55</v>
      </c>
      <c r="G3426" t="s">
        <v>2424</v>
      </c>
      <c r="H3426" t="s">
        <v>16</v>
      </c>
      <c r="I3426" s="26" t="s">
        <v>897</v>
      </c>
    </row>
    <row r="3427" spans="1:9" x14ac:dyDescent="0.3">
      <c r="A3427" s="24">
        <v>45372</v>
      </c>
      <c r="B3427" t="s">
        <v>169</v>
      </c>
      <c r="C3427" t="s">
        <v>29</v>
      </c>
      <c r="D3427">
        <v>7.15</v>
      </c>
      <c r="E3427" t="s">
        <v>170</v>
      </c>
      <c r="F3427" t="s">
        <v>31</v>
      </c>
      <c r="H3427" t="s">
        <v>16</v>
      </c>
      <c r="I3427" s="26" t="s">
        <v>897</v>
      </c>
    </row>
    <row r="3428" spans="1:9" x14ac:dyDescent="0.3">
      <c r="A3428" s="24">
        <v>45372</v>
      </c>
      <c r="B3428" t="s">
        <v>169</v>
      </c>
      <c r="C3428" t="s">
        <v>58</v>
      </c>
      <c r="D3428">
        <v>0.3</v>
      </c>
      <c r="E3428" t="s">
        <v>54</v>
      </c>
      <c r="F3428" t="s">
        <v>55</v>
      </c>
      <c r="G3428" t="s">
        <v>2425</v>
      </c>
      <c r="H3428" t="s">
        <v>16</v>
      </c>
      <c r="I3428" s="26" t="s">
        <v>897</v>
      </c>
    </row>
    <row r="3429" spans="1:9" x14ac:dyDescent="0.3">
      <c r="A3429" s="24">
        <v>45372</v>
      </c>
      <c r="B3429" t="s">
        <v>169</v>
      </c>
      <c r="C3429" t="s">
        <v>58</v>
      </c>
      <c r="D3429">
        <v>0.45</v>
      </c>
      <c r="E3429" t="s">
        <v>54</v>
      </c>
      <c r="F3429" t="s">
        <v>55</v>
      </c>
      <c r="G3429" t="s">
        <v>2426</v>
      </c>
      <c r="H3429" t="s">
        <v>16</v>
      </c>
      <c r="I3429" s="26" t="s">
        <v>897</v>
      </c>
    </row>
    <row r="3430" spans="1:9" x14ac:dyDescent="0.3">
      <c r="A3430" s="24">
        <v>45372</v>
      </c>
      <c r="B3430" t="s">
        <v>175</v>
      </c>
      <c r="C3430" t="s">
        <v>29</v>
      </c>
      <c r="D3430">
        <v>0.38</v>
      </c>
      <c r="E3430" t="s">
        <v>177</v>
      </c>
      <c r="F3430" t="s">
        <v>31</v>
      </c>
      <c r="H3430" t="s">
        <v>16</v>
      </c>
      <c r="I3430" s="26" t="s">
        <v>897</v>
      </c>
    </row>
    <row r="3431" spans="1:9" x14ac:dyDescent="0.3">
      <c r="A3431" s="24">
        <v>45372</v>
      </c>
      <c r="B3431" t="s">
        <v>175</v>
      </c>
      <c r="C3431" t="s">
        <v>29</v>
      </c>
      <c r="D3431">
        <v>0.48</v>
      </c>
      <c r="E3431" t="s">
        <v>185</v>
      </c>
      <c r="F3431" t="s">
        <v>31</v>
      </c>
      <c r="G3431" t="s">
        <v>2427</v>
      </c>
      <c r="H3431" t="s">
        <v>16</v>
      </c>
      <c r="I3431" s="26" t="s">
        <v>897</v>
      </c>
    </row>
    <row r="3432" spans="1:9" x14ac:dyDescent="0.3">
      <c r="A3432" s="24">
        <v>45372</v>
      </c>
      <c r="B3432" t="s">
        <v>175</v>
      </c>
      <c r="C3432" t="s">
        <v>29</v>
      </c>
      <c r="D3432">
        <v>0.92</v>
      </c>
      <c r="E3432" t="s">
        <v>176</v>
      </c>
      <c r="F3432" t="s">
        <v>31</v>
      </c>
      <c r="G3432" t="s">
        <v>2428</v>
      </c>
      <c r="H3432" t="s">
        <v>16</v>
      </c>
      <c r="I3432" s="26" t="s">
        <v>897</v>
      </c>
    </row>
    <row r="3433" spans="1:9" x14ac:dyDescent="0.3">
      <c r="A3433" s="24">
        <v>45372</v>
      </c>
      <c r="B3433" t="s">
        <v>175</v>
      </c>
      <c r="C3433" t="s">
        <v>29</v>
      </c>
      <c r="D3433">
        <v>0.93</v>
      </c>
      <c r="E3433" t="s">
        <v>127</v>
      </c>
      <c r="F3433" t="s">
        <v>31</v>
      </c>
      <c r="G3433" t="s">
        <v>2429</v>
      </c>
      <c r="H3433" t="s">
        <v>16</v>
      </c>
      <c r="I3433" s="26" t="s">
        <v>897</v>
      </c>
    </row>
    <row r="3434" spans="1:9" x14ac:dyDescent="0.3">
      <c r="A3434" s="24">
        <v>45372</v>
      </c>
      <c r="B3434" t="s">
        <v>175</v>
      </c>
      <c r="C3434" t="s">
        <v>29</v>
      </c>
      <c r="D3434">
        <v>1.22</v>
      </c>
      <c r="E3434" t="s">
        <v>127</v>
      </c>
      <c r="F3434" t="s">
        <v>31</v>
      </c>
      <c r="H3434" t="s">
        <v>16</v>
      </c>
      <c r="I3434" s="26" t="s">
        <v>897</v>
      </c>
    </row>
    <row r="3435" spans="1:9" x14ac:dyDescent="0.3">
      <c r="A3435" s="24">
        <v>45372</v>
      </c>
      <c r="B3435" t="s">
        <v>175</v>
      </c>
      <c r="C3435" t="s">
        <v>29</v>
      </c>
      <c r="D3435">
        <v>1.77</v>
      </c>
      <c r="E3435" t="s">
        <v>170</v>
      </c>
      <c r="F3435" t="s">
        <v>31</v>
      </c>
      <c r="G3435" t="s">
        <v>949</v>
      </c>
      <c r="H3435" t="s">
        <v>16</v>
      </c>
      <c r="I3435" s="26" t="s">
        <v>897</v>
      </c>
    </row>
    <row r="3436" spans="1:9" x14ac:dyDescent="0.3">
      <c r="A3436" s="24">
        <v>45372</v>
      </c>
      <c r="B3436" t="s">
        <v>175</v>
      </c>
      <c r="C3436" t="s">
        <v>29</v>
      </c>
      <c r="D3436">
        <v>1.9</v>
      </c>
      <c r="E3436" t="s">
        <v>182</v>
      </c>
      <c r="F3436" t="s">
        <v>31</v>
      </c>
      <c r="G3436" t="s">
        <v>2430</v>
      </c>
      <c r="H3436" t="s">
        <v>16</v>
      </c>
      <c r="I3436" s="26" t="s">
        <v>897</v>
      </c>
    </row>
    <row r="3437" spans="1:9" x14ac:dyDescent="0.3">
      <c r="A3437" s="24">
        <v>45372</v>
      </c>
      <c r="B3437" t="s">
        <v>175</v>
      </c>
      <c r="C3437" t="s">
        <v>58</v>
      </c>
      <c r="D3437">
        <v>0.4</v>
      </c>
      <c r="E3437" t="s">
        <v>54</v>
      </c>
      <c r="F3437" t="s">
        <v>55</v>
      </c>
      <c r="G3437" t="s">
        <v>2431</v>
      </c>
      <c r="H3437" t="s">
        <v>16</v>
      </c>
      <c r="I3437" s="26" t="s">
        <v>897</v>
      </c>
    </row>
    <row r="3438" spans="1:9" x14ac:dyDescent="0.3">
      <c r="A3438" s="24">
        <v>45372</v>
      </c>
      <c r="B3438" t="s">
        <v>188</v>
      </c>
      <c r="C3438" t="s">
        <v>454</v>
      </c>
      <c r="D3438">
        <v>8</v>
      </c>
      <c r="E3438" t="s">
        <v>54</v>
      </c>
      <c r="F3438" t="s">
        <v>55</v>
      </c>
      <c r="G3438" t="s">
        <v>2015</v>
      </c>
      <c r="H3438" t="s">
        <v>16</v>
      </c>
      <c r="I3438" s="26" t="s">
        <v>897</v>
      </c>
    </row>
    <row r="3439" spans="1:9" x14ac:dyDescent="0.3">
      <c r="A3439" s="24">
        <v>45372</v>
      </c>
      <c r="B3439" t="s">
        <v>190</v>
      </c>
      <c r="C3439" t="s">
        <v>950</v>
      </c>
      <c r="D3439">
        <v>8</v>
      </c>
      <c r="E3439" t="s">
        <v>54</v>
      </c>
      <c r="F3439" t="s">
        <v>55</v>
      </c>
      <c r="H3439" t="s">
        <v>16</v>
      </c>
      <c r="I3439" s="26" t="s">
        <v>897</v>
      </c>
    </row>
    <row r="3440" spans="1:9" x14ac:dyDescent="0.3">
      <c r="A3440" s="24">
        <v>45372</v>
      </c>
      <c r="B3440" t="s">
        <v>191</v>
      </c>
      <c r="C3440" t="s">
        <v>89</v>
      </c>
      <c r="D3440">
        <v>8</v>
      </c>
      <c r="E3440" t="s">
        <v>54</v>
      </c>
      <c r="F3440" t="s">
        <v>55</v>
      </c>
      <c r="G3440" t="s">
        <v>2432</v>
      </c>
      <c r="H3440" t="s">
        <v>16</v>
      </c>
      <c r="I3440" s="26" t="s">
        <v>897</v>
      </c>
    </row>
    <row r="3441" spans="1:9" x14ac:dyDescent="0.3">
      <c r="A3441" s="24">
        <v>45372</v>
      </c>
      <c r="B3441" t="s">
        <v>193</v>
      </c>
      <c r="C3441" t="s">
        <v>29</v>
      </c>
      <c r="D3441">
        <v>0.17</v>
      </c>
      <c r="E3441" t="s">
        <v>195</v>
      </c>
      <c r="F3441" t="s">
        <v>31</v>
      </c>
      <c r="G3441" t="s">
        <v>2433</v>
      </c>
      <c r="H3441" t="s">
        <v>16</v>
      </c>
      <c r="I3441" s="26" t="s">
        <v>897</v>
      </c>
    </row>
    <row r="3442" spans="1:9" x14ac:dyDescent="0.3">
      <c r="A3442" s="24">
        <v>45372</v>
      </c>
      <c r="B3442" t="s">
        <v>193</v>
      </c>
      <c r="C3442" t="s">
        <v>29</v>
      </c>
      <c r="D3442">
        <v>0.88</v>
      </c>
      <c r="E3442" t="s">
        <v>195</v>
      </c>
      <c r="F3442" t="s">
        <v>31</v>
      </c>
      <c r="G3442" t="s">
        <v>2434</v>
      </c>
      <c r="H3442" t="s">
        <v>16</v>
      </c>
      <c r="I3442" s="26" t="s">
        <v>897</v>
      </c>
    </row>
    <row r="3443" spans="1:9" x14ac:dyDescent="0.3">
      <c r="A3443" s="24">
        <v>45372</v>
      </c>
      <c r="B3443" t="s">
        <v>193</v>
      </c>
      <c r="C3443" t="s">
        <v>29</v>
      </c>
      <c r="D3443">
        <v>1.32</v>
      </c>
      <c r="E3443" t="s">
        <v>953</v>
      </c>
      <c r="F3443" t="s">
        <v>31</v>
      </c>
      <c r="G3443" t="s">
        <v>2435</v>
      </c>
      <c r="H3443" t="s">
        <v>16</v>
      </c>
      <c r="I3443" s="26" t="s">
        <v>897</v>
      </c>
    </row>
    <row r="3444" spans="1:9" x14ac:dyDescent="0.3">
      <c r="A3444" s="24">
        <v>45372</v>
      </c>
      <c r="B3444" t="s">
        <v>193</v>
      </c>
      <c r="C3444" t="s">
        <v>197</v>
      </c>
      <c r="D3444">
        <v>0.25</v>
      </c>
      <c r="E3444" t="s">
        <v>54</v>
      </c>
      <c r="F3444" t="s">
        <v>55</v>
      </c>
      <c r="G3444" t="s">
        <v>2436</v>
      </c>
      <c r="H3444" t="s">
        <v>16</v>
      </c>
      <c r="I3444" s="26" t="s">
        <v>897</v>
      </c>
    </row>
    <row r="3445" spans="1:9" x14ac:dyDescent="0.3">
      <c r="A3445" s="24">
        <v>45372</v>
      </c>
      <c r="B3445" t="s">
        <v>193</v>
      </c>
      <c r="C3445" t="s">
        <v>197</v>
      </c>
      <c r="D3445">
        <v>0.37</v>
      </c>
      <c r="E3445" t="s">
        <v>54</v>
      </c>
      <c r="F3445" t="s">
        <v>55</v>
      </c>
      <c r="G3445" t="s">
        <v>2437</v>
      </c>
      <c r="H3445" t="s">
        <v>16</v>
      </c>
      <c r="I3445" s="26" t="s">
        <v>897</v>
      </c>
    </row>
    <row r="3446" spans="1:9" x14ac:dyDescent="0.3">
      <c r="A3446" s="24">
        <v>45372</v>
      </c>
      <c r="B3446" t="s">
        <v>193</v>
      </c>
      <c r="C3446" t="s">
        <v>197</v>
      </c>
      <c r="D3446">
        <v>0.52</v>
      </c>
      <c r="E3446" t="s">
        <v>54</v>
      </c>
      <c r="F3446" t="s">
        <v>55</v>
      </c>
      <c r="G3446" t="s">
        <v>2438</v>
      </c>
      <c r="H3446" t="s">
        <v>16</v>
      </c>
      <c r="I3446" s="26" t="s">
        <v>897</v>
      </c>
    </row>
    <row r="3447" spans="1:9" x14ac:dyDescent="0.3">
      <c r="A3447" s="24">
        <v>45372</v>
      </c>
      <c r="B3447" t="s">
        <v>193</v>
      </c>
      <c r="C3447" t="s">
        <v>202</v>
      </c>
      <c r="D3447">
        <v>0.17</v>
      </c>
      <c r="E3447" t="s">
        <v>108</v>
      </c>
      <c r="F3447" t="s">
        <v>31</v>
      </c>
      <c r="G3447" t="s">
        <v>2439</v>
      </c>
      <c r="H3447" t="s">
        <v>16</v>
      </c>
      <c r="I3447" s="26" t="s">
        <v>897</v>
      </c>
    </row>
    <row r="3448" spans="1:9" x14ac:dyDescent="0.3">
      <c r="A3448" s="24">
        <v>45372</v>
      </c>
      <c r="B3448" t="s">
        <v>193</v>
      </c>
      <c r="C3448" t="s">
        <v>202</v>
      </c>
      <c r="D3448">
        <v>0.52</v>
      </c>
      <c r="E3448" t="s">
        <v>205</v>
      </c>
      <c r="F3448" t="s">
        <v>31</v>
      </c>
      <c r="G3448" t="s">
        <v>2440</v>
      </c>
      <c r="H3448" t="s">
        <v>16</v>
      </c>
      <c r="I3448" s="26" t="s">
        <v>897</v>
      </c>
    </row>
    <row r="3449" spans="1:9" x14ac:dyDescent="0.3">
      <c r="A3449" s="24">
        <v>45372</v>
      </c>
      <c r="B3449" t="s">
        <v>193</v>
      </c>
      <c r="C3449" t="s">
        <v>85</v>
      </c>
      <c r="D3449">
        <v>0.27</v>
      </c>
      <c r="E3449" t="s">
        <v>657</v>
      </c>
      <c r="F3449" t="s">
        <v>31</v>
      </c>
      <c r="G3449" t="s">
        <v>2441</v>
      </c>
      <c r="H3449" t="s">
        <v>16</v>
      </c>
      <c r="I3449" s="26" t="s">
        <v>897</v>
      </c>
    </row>
    <row r="3450" spans="1:9" x14ac:dyDescent="0.3">
      <c r="A3450" s="24">
        <v>45372</v>
      </c>
      <c r="B3450" t="s">
        <v>193</v>
      </c>
      <c r="C3450" t="s">
        <v>85</v>
      </c>
      <c r="D3450">
        <v>0.33</v>
      </c>
      <c r="E3450" t="s">
        <v>953</v>
      </c>
      <c r="F3450" t="s">
        <v>31</v>
      </c>
      <c r="G3450" t="s">
        <v>2442</v>
      </c>
      <c r="H3450" t="s">
        <v>16</v>
      </c>
      <c r="I3450" s="26" t="s">
        <v>897</v>
      </c>
    </row>
    <row r="3451" spans="1:9" x14ac:dyDescent="0.3">
      <c r="A3451" s="24">
        <v>45372</v>
      </c>
      <c r="B3451" t="s">
        <v>193</v>
      </c>
      <c r="C3451" t="s">
        <v>53</v>
      </c>
      <c r="D3451">
        <v>0.68</v>
      </c>
      <c r="E3451" t="s">
        <v>54</v>
      </c>
      <c r="F3451" t="s">
        <v>55</v>
      </c>
      <c r="G3451" t="s">
        <v>243</v>
      </c>
      <c r="H3451" t="s">
        <v>16</v>
      </c>
      <c r="I3451" s="26" t="s">
        <v>897</v>
      </c>
    </row>
    <row r="3452" spans="1:9" x14ac:dyDescent="0.3">
      <c r="A3452" s="24">
        <v>45372</v>
      </c>
      <c r="B3452" t="s">
        <v>193</v>
      </c>
      <c r="C3452" t="s">
        <v>60</v>
      </c>
      <c r="D3452">
        <v>0.08</v>
      </c>
      <c r="E3452" t="s">
        <v>203</v>
      </c>
      <c r="F3452" t="s">
        <v>31</v>
      </c>
      <c r="G3452" t="s">
        <v>2443</v>
      </c>
      <c r="H3452" t="s">
        <v>16</v>
      </c>
      <c r="I3452" s="26" t="s">
        <v>897</v>
      </c>
    </row>
    <row r="3453" spans="1:9" x14ac:dyDescent="0.3">
      <c r="A3453" s="24">
        <v>45372</v>
      </c>
      <c r="B3453" t="s">
        <v>193</v>
      </c>
      <c r="C3453" t="s">
        <v>60</v>
      </c>
      <c r="D3453">
        <v>0.33</v>
      </c>
      <c r="E3453" t="s">
        <v>81</v>
      </c>
      <c r="F3453" t="s">
        <v>55</v>
      </c>
      <c r="G3453" t="s">
        <v>2444</v>
      </c>
      <c r="H3453" t="s">
        <v>16</v>
      </c>
      <c r="I3453" s="26" t="s">
        <v>897</v>
      </c>
    </row>
    <row r="3454" spans="1:9" x14ac:dyDescent="0.3">
      <c r="A3454" s="24">
        <v>45372</v>
      </c>
      <c r="B3454" t="s">
        <v>193</v>
      </c>
      <c r="C3454" t="s">
        <v>60</v>
      </c>
      <c r="D3454">
        <v>1.03</v>
      </c>
      <c r="E3454" t="s">
        <v>162</v>
      </c>
      <c r="F3454" t="s">
        <v>31</v>
      </c>
      <c r="G3454" t="s">
        <v>2445</v>
      </c>
      <c r="H3454" t="s">
        <v>16</v>
      </c>
      <c r="I3454" s="26" t="s">
        <v>897</v>
      </c>
    </row>
    <row r="3455" spans="1:9" x14ac:dyDescent="0.3">
      <c r="A3455" s="24">
        <v>45372</v>
      </c>
      <c r="B3455" t="s">
        <v>212</v>
      </c>
      <c r="C3455" t="s">
        <v>1752</v>
      </c>
      <c r="D3455">
        <v>1.37</v>
      </c>
      <c r="E3455" t="s">
        <v>524</v>
      </c>
      <c r="F3455" t="s">
        <v>55</v>
      </c>
      <c r="G3455" t="s">
        <v>2446</v>
      </c>
      <c r="H3455" t="s">
        <v>16</v>
      </c>
      <c r="I3455" s="26" t="s">
        <v>897</v>
      </c>
    </row>
    <row r="3456" spans="1:9" x14ac:dyDescent="0.3">
      <c r="A3456" s="24">
        <v>45372</v>
      </c>
      <c r="B3456" t="s">
        <v>212</v>
      </c>
      <c r="C3456" t="s">
        <v>197</v>
      </c>
      <c r="D3456">
        <v>0.3</v>
      </c>
      <c r="E3456" t="s">
        <v>54</v>
      </c>
      <c r="F3456" t="s">
        <v>55</v>
      </c>
      <c r="G3456" t="s">
        <v>2447</v>
      </c>
      <c r="H3456" t="s">
        <v>16</v>
      </c>
      <c r="I3456" s="26" t="s">
        <v>897</v>
      </c>
    </row>
    <row r="3457" spans="1:9" x14ac:dyDescent="0.3">
      <c r="A3457" s="24">
        <v>45372</v>
      </c>
      <c r="B3457" t="s">
        <v>212</v>
      </c>
      <c r="C3457" t="s">
        <v>85</v>
      </c>
      <c r="D3457">
        <v>0.1</v>
      </c>
      <c r="E3457" t="s">
        <v>205</v>
      </c>
      <c r="F3457" t="s">
        <v>31</v>
      </c>
      <c r="G3457" t="s">
        <v>2448</v>
      </c>
      <c r="H3457" t="s">
        <v>16</v>
      </c>
      <c r="I3457" s="26" t="s">
        <v>897</v>
      </c>
    </row>
    <row r="3458" spans="1:9" x14ac:dyDescent="0.3">
      <c r="A3458" s="24">
        <v>45372</v>
      </c>
      <c r="B3458" t="s">
        <v>212</v>
      </c>
      <c r="C3458" t="s">
        <v>85</v>
      </c>
      <c r="D3458">
        <v>0.17</v>
      </c>
      <c r="E3458" t="s">
        <v>106</v>
      </c>
      <c r="F3458" t="s">
        <v>31</v>
      </c>
      <c r="G3458" t="s">
        <v>1297</v>
      </c>
      <c r="H3458" t="s">
        <v>16</v>
      </c>
      <c r="I3458" s="26" t="s">
        <v>897</v>
      </c>
    </row>
    <row r="3459" spans="1:9" x14ac:dyDescent="0.3">
      <c r="A3459" s="24">
        <v>45372</v>
      </c>
      <c r="B3459" t="s">
        <v>212</v>
      </c>
      <c r="C3459" t="s">
        <v>85</v>
      </c>
      <c r="D3459">
        <v>0.23</v>
      </c>
      <c r="E3459" t="s">
        <v>179</v>
      </c>
      <c r="F3459" t="s">
        <v>55</v>
      </c>
      <c r="G3459" t="s">
        <v>2449</v>
      </c>
      <c r="H3459" t="s">
        <v>16</v>
      </c>
      <c r="I3459" s="26" t="s">
        <v>897</v>
      </c>
    </row>
    <row r="3460" spans="1:9" x14ac:dyDescent="0.3">
      <c r="A3460" s="24">
        <v>45372</v>
      </c>
      <c r="B3460" t="s">
        <v>212</v>
      </c>
      <c r="C3460" t="s">
        <v>85</v>
      </c>
      <c r="D3460">
        <v>0.27</v>
      </c>
      <c r="E3460" t="s">
        <v>81</v>
      </c>
      <c r="F3460" t="s">
        <v>55</v>
      </c>
      <c r="G3460" t="s">
        <v>2450</v>
      </c>
      <c r="H3460" t="s">
        <v>16</v>
      </c>
      <c r="I3460" s="26" t="s">
        <v>897</v>
      </c>
    </row>
    <row r="3461" spans="1:9" x14ac:dyDescent="0.3">
      <c r="A3461" s="24">
        <v>45372</v>
      </c>
      <c r="B3461" t="s">
        <v>212</v>
      </c>
      <c r="C3461" t="s">
        <v>53</v>
      </c>
      <c r="D3461">
        <v>0.15</v>
      </c>
      <c r="E3461" t="s">
        <v>54</v>
      </c>
      <c r="F3461" t="s">
        <v>55</v>
      </c>
      <c r="G3461" t="s">
        <v>2451</v>
      </c>
      <c r="H3461" t="s">
        <v>16</v>
      </c>
      <c r="I3461" s="26" t="s">
        <v>897</v>
      </c>
    </row>
    <row r="3462" spans="1:9" x14ac:dyDescent="0.3">
      <c r="A3462" s="24">
        <v>45372</v>
      </c>
      <c r="B3462" t="s">
        <v>212</v>
      </c>
      <c r="C3462" t="s">
        <v>53</v>
      </c>
      <c r="D3462">
        <v>0.17</v>
      </c>
      <c r="E3462" t="s">
        <v>54</v>
      </c>
      <c r="F3462" t="s">
        <v>55</v>
      </c>
      <c r="G3462" t="s">
        <v>1758</v>
      </c>
      <c r="H3462" t="s">
        <v>16</v>
      </c>
      <c r="I3462" s="26" t="s">
        <v>897</v>
      </c>
    </row>
    <row r="3463" spans="1:9" x14ac:dyDescent="0.3">
      <c r="A3463" s="24">
        <v>45372</v>
      </c>
      <c r="B3463" t="s">
        <v>212</v>
      </c>
      <c r="C3463" t="s">
        <v>53</v>
      </c>
      <c r="D3463">
        <v>0.25</v>
      </c>
      <c r="E3463" t="s">
        <v>54</v>
      </c>
      <c r="F3463" t="s">
        <v>55</v>
      </c>
      <c r="G3463" t="s">
        <v>1766</v>
      </c>
      <c r="H3463" t="s">
        <v>16</v>
      </c>
      <c r="I3463" s="26" t="s">
        <v>897</v>
      </c>
    </row>
    <row r="3464" spans="1:9" x14ac:dyDescent="0.3">
      <c r="A3464" s="24">
        <v>45372</v>
      </c>
      <c r="B3464" t="s">
        <v>212</v>
      </c>
      <c r="C3464" t="s">
        <v>53</v>
      </c>
      <c r="D3464">
        <v>0.25</v>
      </c>
      <c r="E3464" t="s">
        <v>54</v>
      </c>
      <c r="F3464" t="s">
        <v>55</v>
      </c>
      <c r="G3464" t="s">
        <v>222</v>
      </c>
      <c r="H3464" t="s">
        <v>16</v>
      </c>
      <c r="I3464" s="26" t="s">
        <v>897</v>
      </c>
    </row>
    <row r="3465" spans="1:9" x14ac:dyDescent="0.3">
      <c r="A3465" s="24">
        <v>45372</v>
      </c>
      <c r="B3465" t="s">
        <v>212</v>
      </c>
      <c r="C3465" t="s">
        <v>53</v>
      </c>
      <c r="D3465">
        <v>0.47</v>
      </c>
      <c r="E3465" t="s">
        <v>54</v>
      </c>
      <c r="F3465" t="s">
        <v>55</v>
      </c>
      <c r="H3465" t="s">
        <v>16</v>
      </c>
      <c r="I3465" s="26" t="s">
        <v>897</v>
      </c>
    </row>
    <row r="3466" spans="1:9" x14ac:dyDescent="0.3">
      <c r="A3466" s="24">
        <v>45372</v>
      </c>
      <c r="B3466" t="s">
        <v>212</v>
      </c>
      <c r="C3466" t="s">
        <v>53</v>
      </c>
      <c r="D3466">
        <v>0.68</v>
      </c>
      <c r="E3466" t="s">
        <v>54</v>
      </c>
      <c r="F3466" t="s">
        <v>55</v>
      </c>
      <c r="G3466" t="s">
        <v>2452</v>
      </c>
      <c r="H3466" t="s">
        <v>16</v>
      </c>
      <c r="I3466" s="26" t="s">
        <v>897</v>
      </c>
    </row>
    <row r="3467" spans="1:9" x14ac:dyDescent="0.3">
      <c r="A3467" s="24">
        <v>45372</v>
      </c>
      <c r="B3467" t="s">
        <v>212</v>
      </c>
      <c r="C3467" t="s">
        <v>53</v>
      </c>
      <c r="D3467">
        <v>1.03</v>
      </c>
      <c r="E3467" t="s">
        <v>54</v>
      </c>
      <c r="F3467" t="s">
        <v>55</v>
      </c>
      <c r="G3467" t="s">
        <v>2453</v>
      </c>
      <c r="H3467" t="s">
        <v>16</v>
      </c>
      <c r="I3467" s="26" t="s">
        <v>897</v>
      </c>
    </row>
    <row r="3468" spans="1:9" x14ac:dyDescent="0.3">
      <c r="A3468" s="24">
        <v>45372</v>
      </c>
      <c r="B3468" t="s">
        <v>212</v>
      </c>
      <c r="C3468" t="s">
        <v>2310</v>
      </c>
      <c r="D3468">
        <v>0.43</v>
      </c>
      <c r="E3468" t="s">
        <v>1754</v>
      </c>
      <c r="F3468" t="s">
        <v>31</v>
      </c>
      <c r="G3468" t="s">
        <v>2454</v>
      </c>
      <c r="H3468" t="s">
        <v>16</v>
      </c>
      <c r="I3468" s="26" t="s">
        <v>897</v>
      </c>
    </row>
    <row r="3469" spans="1:9" x14ac:dyDescent="0.3">
      <c r="A3469" s="24">
        <v>45372</v>
      </c>
      <c r="B3469" t="s">
        <v>212</v>
      </c>
      <c r="C3469" t="s">
        <v>232</v>
      </c>
      <c r="D3469">
        <v>0.32</v>
      </c>
      <c r="E3469" t="s">
        <v>106</v>
      </c>
      <c r="F3469" t="s">
        <v>55</v>
      </c>
      <c r="G3469" t="s">
        <v>2455</v>
      </c>
      <c r="H3469" t="s">
        <v>16</v>
      </c>
      <c r="I3469" s="26" t="s">
        <v>897</v>
      </c>
    </row>
    <row r="3470" spans="1:9" x14ac:dyDescent="0.3">
      <c r="A3470" s="24">
        <v>45372</v>
      </c>
      <c r="B3470" t="s">
        <v>212</v>
      </c>
      <c r="C3470" t="s">
        <v>232</v>
      </c>
      <c r="D3470">
        <v>1.37</v>
      </c>
      <c r="E3470" t="s">
        <v>106</v>
      </c>
      <c r="F3470" t="s">
        <v>55</v>
      </c>
      <c r="G3470" t="s">
        <v>2456</v>
      </c>
      <c r="H3470" t="s">
        <v>16</v>
      </c>
      <c r="I3470" s="26" t="s">
        <v>897</v>
      </c>
    </row>
    <row r="3471" spans="1:9" x14ac:dyDescent="0.3">
      <c r="A3471" s="24">
        <v>45372</v>
      </c>
      <c r="B3471" t="s">
        <v>212</v>
      </c>
      <c r="C3471" t="s">
        <v>148</v>
      </c>
      <c r="D3471">
        <v>0.47</v>
      </c>
      <c r="E3471" t="s">
        <v>54</v>
      </c>
      <c r="F3471" t="s">
        <v>55</v>
      </c>
      <c r="G3471" t="s">
        <v>2314</v>
      </c>
      <c r="H3471" t="s">
        <v>16</v>
      </c>
      <c r="I3471" s="26" t="s">
        <v>897</v>
      </c>
    </row>
    <row r="3472" spans="1:9" x14ac:dyDescent="0.3">
      <c r="A3472" s="24">
        <v>45372</v>
      </c>
      <c r="B3472" t="s">
        <v>498</v>
      </c>
      <c r="C3472" t="s">
        <v>123</v>
      </c>
      <c r="D3472">
        <v>7</v>
      </c>
      <c r="E3472" t="s">
        <v>54</v>
      </c>
      <c r="F3472" t="s">
        <v>55</v>
      </c>
      <c r="G3472" t="s">
        <v>2457</v>
      </c>
      <c r="H3472" t="s">
        <v>16</v>
      </c>
      <c r="I3472" s="26" t="s">
        <v>897</v>
      </c>
    </row>
    <row r="3473" spans="1:9" x14ac:dyDescent="0.3">
      <c r="A3473" s="24">
        <v>45372</v>
      </c>
      <c r="B3473" t="s">
        <v>240</v>
      </c>
      <c r="C3473" t="s">
        <v>29</v>
      </c>
      <c r="D3473">
        <v>7.13</v>
      </c>
      <c r="E3473" t="s">
        <v>81</v>
      </c>
      <c r="F3473" t="s">
        <v>31</v>
      </c>
      <c r="H3473" t="s">
        <v>16</v>
      </c>
      <c r="I3473" s="26" t="s">
        <v>897</v>
      </c>
    </row>
    <row r="3474" spans="1:9" x14ac:dyDescent="0.3">
      <c r="A3474" s="24">
        <v>45372</v>
      </c>
      <c r="B3474" t="s">
        <v>240</v>
      </c>
      <c r="C3474" t="s">
        <v>60</v>
      </c>
      <c r="D3474">
        <v>0.85</v>
      </c>
      <c r="E3474" t="s">
        <v>139</v>
      </c>
      <c r="F3474" t="s">
        <v>31</v>
      </c>
      <c r="H3474" t="s">
        <v>16</v>
      </c>
      <c r="I3474" s="26" t="s">
        <v>897</v>
      </c>
    </row>
    <row r="3475" spans="1:9" x14ac:dyDescent="0.3">
      <c r="A3475" s="24">
        <v>45372</v>
      </c>
      <c r="B3475" t="s">
        <v>249</v>
      </c>
      <c r="C3475" t="s">
        <v>250</v>
      </c>
      <c r="D3475">
        <v>1</v>
      </c>
      <c r="E3475" t="s">
        <v>81</v>
      </c>
      <c r="F3475" t="s">
        <v>55</v>
      </c>
      <c r="G3475" t="s">
        <v>251</v>
      </c>
      <c r="H3475" t="s">
        <v>16</v>
      </c>
      <c r="I3475" s="26" t="s">
        <v>897</v>
      </c>
    </row>
    <row r="3476" spans="1:9" x14ac:dyDescent="0.3">
      <c r="A3476" s="24">
        <v>45372</v>
      </c>
      <c r="B3476" t="s">
        <v>249</v>
      </c>
      <c r="C3476" t="s">
        <v>252</v>
      </c>
      <c r="D3476">
        <v>2.5</v>
      </c>
      <c r="E3476" t="s">
        <v>81</v>
      </c>
      <c r="F3476" t="s">
        <v>31</v>
      </c>
      <c r="H3476" t="s">
        <v>16</v>
      </c>
      <c r="I3476" s="26" t="s">
        <v>897</v>
      </c>
    </row>
    <row r="3477" spans="1:9" x14ac:dyDescent="0.3">
      <c r="A3477" s="24">
        <v>45372</v>
      </c>
      <c r="B3477" t="s">
        <v>249</v>
      </c>
      <c r="C3477" t="s">
        <v>252</v>
      </c>
      <c r="D3477">
        <v>4</v>
      </c>
      <c r="E3477" t="s">
        <v>54</v>
      </c>
      <c r="F3477" t="s">
        <v>55</v>
      </c>
      <c r="H3477" t="s">
        <v>16</v>
      </c>
      <c r="I3477" s="26" t="s">
        <v>897</v>
      </c>
    </row>
    <row r="3478" spans="1:9" x14ac:dyDescent="0.3">
      <c r="A3478" s="24">
        <v>45372</v>
      </c>
      <c r="B3478" t="s">
        <v>249</v>
      </c>
      <c r="C3478" t="s">
        <v>53</v>
      </c>
      <c r="D3478">
        <v>0.5</v>
      </c>
      <c r="E3478" t="s">
        <v>54</v>
      </c>
      <c r="F3478" t="s">
        <v>55</v>
      </c>
      <c r="G3478" t="s">
        <v>110</v>
      </c>
      <c r="H3478" t="s">
        <v>16</v>
      </c>
      <c r="I3478" s="26" t="s">
        <v>897</v>
      </c>
    </row>
    <row r="3479" spans="1:9" x14ac:dyDescent="0.3">
      <c r="A3479" s="24">
        <v>45372</v>
      </c>
      <c r="B3479" t="s">
        <v>262</v>
      </c>
      <c r="C3479" t="s">
        <v>29</v>
      </c>
      <c r="D3479">
        <v>2.52</v>
      </c>
      <c r="E3479" t="s">
        <v>263</v>
      </c>
      <c r="F3479" t="s">
        <v>31</v>
      </c>
      <c r="G3479" t="s">
        <v>2458</v>
      </c>
      <c r="H3479" t="s">
        <v>16</v>
      </c>
      <c r="I3479" s="26" t="s">
        <v>897</v>
      </c>
    </row>
    <row r="3480" spans="1:9" x14ac:dyDescent="0.3">
      <c r="A3480" s="24">
        <v>45372</v>
      </c>
      <c r="B3480" t="s">
        <v>262</v>
      </c>
      <c r="C3480" t="s">
        <v>29</v>
      </c>
      <c r="D3480">
        <v>5.03</v>
      </c>
      <c r="E3480" t="s">
        <v>263</v>
      </c>
      <c r="F3480" t="s">
        <v>31</v>
      </c>
      <c r="G3480" t="s">
        <v>2459</v>
      </c>
      <c r="H3480" t="s">
        <v>16</v>
      </c>
      <c r="I3480" s="26" t="s">
        <v>897</v>
      </c>
    </row>
    <row r="3481" spans="1:9" x14ac:dyDescent="0.3">
      <c r="A3481" s="24">
        <v>45372</v>
      </c>
      <c r="B3481" t="s">
        <v>262</v>
      </c>
      <c r="C3481" t="s">
        <v>53</v>
      </c>
      <c r="D3481">
        <v>0.5</v>
      </c>
      <c r="E3481" t="s">
        <v>54</v>
      </c>
      <c r="F3481" t="s">
        <v>55</v>
      </c>
      <c r="G3481" t="s">
        <v>253</v>
      </c>
      <c r="H3481" t="s">
        <v>16</v>
      </c>
      <c r="I3481" s="26" t="s">
        <v>897</v>
      </c>
    </row>
    <row r="3482" spans="1:9" x14ac:dyDescent="0.3">
      <c r="A3482" s="24">
        <v>45372</v>
      </c>
      <c r="B3482" t="s">
        <v>266</v>
      </c>
      <c r="C3482" t="s">
        <v>267</v>
      </c>
      <c r="D3482">
        <v>5</v>
      </c>
      <c r="E3482" t="s">
        <v>54</v>
      </c>
      <c r="F3482" t="s">
        <v>55</v>
      </c>
      <c r="G3482" t="s">
        <v>994</v>
      </c>
      <c r="H3482" t="s">
        <v>16</v>
      </c>
      <c r="I3482" s="26" t="s">
        <v>897</v>
      </c>
    </row>
    <row r="3483" spans="1:9" x14ac:dyDescent="0.3">
      <c r="A3483" s="24">
        <v>45372</v>
      </c>
      <c r="B3483" t="s">
        <v>266</v>
      </c>
      <c r="C3483" t="s">
        <v>442</v>
      </c>
      <c r="D3483">
        <v>4</v>
      </c>
      <c r="E3483" t="s">
        <v>54</v>
      </c>
      <c r="F3483" t="s">
        <v>55</v>
      </c>
      <c r="G3483" t="s">
        <v>442</v>
      </c>
      <c r="H3483" t="s">
        <v>16</v>
      </c>
      <c r="I3483" s="26" t="s">
        <v>897</v>
      </c>
    </row>
    <row r="3484" spans="1:9" x14ac:dyDescent="0.3">
      <c r="A3484" s="24">
        <v>45372</v>
      </c>
      <c r="B3484" t="s">
        <v>269</v>
      </c>
      <c r="C3484" t="s">
        <v>29</v>
      </c>
      <c r="D3484">
        <v>3.53</v>
      </c>
      <c r="E3484" t="s">
        <v>116</v>
      </c>
      <c r="F3484" t="s">
        <v>31</v>
      </c>
      <c r="G3484" t="s">
        <v>2460</v>
      </c>
      <c r="H3484" t="s">
        <v>16</v>
      </c>
      <c r="I3484" s="26" t="s">
        <v>897</v>
      </c>
    </row>
    <row r="3485" spans="1:9" x14ac:dyDescent="0.3">
      <c r="A3485" s="24">
        <v>45372</v>
      </c>
      <c r="B3485" t="s">
        <v>269</v>
      </c>
      <c r="C3485" t="s">
        <v>29</v>
      </c>
      <c r="D3485">
        <v>3.77</v>
      </c>
      <c r="E3485" t="s">
        <v>271</v>
      </c>
      <c r="F3485" t="s">
        <v>31</v>
      </c>
      <c r="G3485" t="s">
        <v>2461</v>
      </c>
      <c r="H3485" t="s">
        <v>16</v>
      </c>
      <c r="I3485" s="26" t="s">
        <v>897</v>
      </c>
    </row>
    <row r="3486" spans="1:9" x14ac:dyDescent="0.3">
      <c r="A3486" s="24">
        <v>45372</v>
      </c>
      <c r="B3486" t="s">
        <v>269</v>
      </c>
      <c r="C3486" t="s">
        <v>53</v>
      </c>
      <c r="D3486">
        <v>0.53</v>
      </c>
      <c r="E3486" t="s">
        <v>54</v>
      </c>
      <c r="F3486" t="s">
        <v>55</v>
      </c>
      <c r="G3486" t="s">
        <v>2462</v>
      </c>
      <c r="H3486" t="s">
        <v>16</v>
      </c>
      <c r="I3486" s="26" t="s">
        <v>897</v>
      </c>
    </row>
    <row r="3487" spans="1:9" x14ac:dyDescent="0.3">
      <c r="A3487" s="24">
        <v>45372</v>
      </c>
      <c r="B3487" t="s">
        <v>269</v>
      </c>
      <c r="C3487" t="s">
        <v>60</v>
      </c>
      <c r="D3487">
        <v>0.2</v>
      </c>
      <c r="E3487" t="s">
        <v>203</v>
      </c>
      <c r="F3487" t="s">
        <v>31</v>
      </c>
      <c r="G3487" t="s">
        <v>2463</v>
      </c>
      <c r="H3487" t="s">
        <v>16</v>
      </c>
      <c r="I3487" s="26" t="s">
        <v>897</v>
      </c>
    </row>
    <row r="3488" spans="1:9" x14ac:dyDescent="0.3">
      <c r="A3488" s="24">
        <v>45372</v>
      </c>
      <c r="B3488" t="s">
        <v>278</v>
      </c>
      <c r="C3488" t="s">
        <v>279</v>
      </c>
      <c r="D3488">
        <v>0.22</v>
      </c>
      <c r="E3488" t="s">
        <v>54</v>
      </c>
      <c r="F3488" t="s">
        <v>55</v>
      </c>
      <c r="G3488" t="s">
        <v>2464</v>
      </c>
      <c r="H3488" t="s">
        <v>16</v>
      </c>
      <c r="I3488" s="26" t="s">
        <v>897</v>
      </c>
    </row>
    <row r="3489" spans="1:9" x14ac:dyDescent="0.3">
      <c r="A3489" s="24">
        <v>45372</v>
      </c>
      <c r="B3489" t="s">
        <v>278</v>
      </c>
      <c r="C3489" t="s">
        <v>279</v>
      </c>
      <c r="D3489">
        <v>0.55000000000000004</v>
      </c>
      <c r="E3489" t="s">
        <v>254</v>
      </c>
      <c r="F3489" t="s">
        <v>55</v>
      </c>
      <c r="G3489" t="s">
        <v>2465</v>
      </c>
      <c r="H3489" t="s">
        <v>16</v>
      </c>
      <c r="I3489" s="26" t="s">
        <v>897</v>
      </c>
    </row>
    <row r="3490" spans="1:9" x14ac:dyDescent="0.3">
      <c r="A3490" s="24">
        <v>45372</v>
      </c>
      <c r="B3490" t="s">
        <v>278</v>
      </c>
      <c r="C3490" t="s">
        <v>279</v>
      </c>
      <c r="D3490">
        <v>0.63</v>
      </c>
      <c r="E3490" t="s">
        <v>54</v>
      </c>
      <c r="F3490" t="s">
        <v>55</v>
      </c>
      <c r="G3490" t="s">
        <v>2466</v>
      </c>
      <c r="H3490" t="s">
        <v>16</v>
      </c>
      <c r="I3490" s="26" t="s">
        <v>897</v>
      </c>
    </row>
    <row r="3491" spans="1:9" x14ac:dyDescent="0.3">
      <c r="A3491" s="24">
        <v>45372</v>
      </c>
      <c r="B3491" t="s">
        <v>278</v>
      </c>
      <c r="C3491" t="s">
        <v>279</v>
      </c>
      <c r="D3491">
        <v>0.85</v>
      </c>
      <c r="E3491" t="s">
        <v>54</v>
      </c>
      <c r="F3491" t="s">
        <v>55</v>
      </c>
      <c r="G3491" t="s">
        <v>2467</v>
      </c>
      <c r="H3491" t="s">
        <v>16</v>
      </c>
      <c r="I3491" s="26" t="s">
        <v>897</v>
      </c>
    </row>
    <row r="3492" spans="1:9" x14ac:dyDescent="0.3">
      <c r="A3492" s="24">
        <v>45372</v>
      </c>
      <c r="B3492" t="s">
        <v>278</v>
      </c>
      <c r="C3492" t="s">
        <v>279</v>
      </c>
      <c r="D3492">
        <v>1.82</v>
      </c>
      <c r="E3492" t="s">
        <v>254</v>
      </c>
      <c r="F3492" t="s">
        <v>55</v>
      </c>
      <c r="G3492" t="s">
        <v>2468</v>
      </c>
      <c r="H3492" t="s">
        <v>16</v>
      </c>
      <c r="I3492" s="26" t="s">
        <v>897</v>
      </c>
    </row>
    <row r="3493" spans="1:9" x14ac:dyDescent="0.3">
      <c r="A3493" s="24">
        <v>45372</v>
      </c>
      <c r="B3493" t="s">
        <v>278</v>
      </c>
      <c r="C3493" t="s">
        <v>29</v>
      </c>
      <c r="D3493">
        <v>1.4</v>
      </c>
      <c r="E3493" t="s">
        <v>54</v>
      </c>
      <c r="F3493" t="s">
        <v>55</v>
      </c>
      <c r="G3493" t="s">
        <v>2469</v>
      </c>
      <c r="H3493" t="s">
        <v>16</v>
      </c>
      <c r="I3493" s="26" t="s">
        <v>897</v>
      </c>
    </row>
    <row r="3494" spans="1:9" x14ac:dyDescent="0.3">
      <c r="A3494" s="24">
        <v>45372</v>
      </c>
      <c r="B3494" t="s">
        <v>278</v>
      </c>
      <c r="C3494" t="s">
        <v>1008</v>
      </c>
      <c r="D3494">
        <v>1.77</v>
      </c>
      <c r="E3494" t="s">
        <v>1011</v>
      </c>
      <c r="F3494" t="s">
        <v>55</v>
      </c>
      <c r="G3494" t="s">
        <v>2470</v>
      </c>
      <c r="H3494" t="s">
        <v>16</v>
      </c>
      <c r="I3494" s="26" t="s">
        <v>897</v>
      </c>
    </row>
    <row r="3495" spans="1:9" x14ac:dyDescent="0.3">
      <c r="A3495" s="24">
        <v>45372</v>
      </c>
      <c r="B3495" t="s">
        <v>278</v>
      </c>
      <c r="C3495" t="s">
        <v>60</v>
      </c>
      <c r="D3495">
        <v>0.82</v>
      </c>
      <c r="E3495" t="s">
        <v>254</v>
      </c>
      <c r="F3495" t="s">
        <v>55</v>
      </c>
      <c r="G3495" t="s">
        <v>2471</v>
      </c>
      <c r="H3495" t="s">
        <v>16</v>
      </c>
      <c r="I3495" s="26" t="s">
        <v>897</v>
      </c>
    </row>
    <row r="3496" spans="1:9" x14ac:dyDescent="0.3">
      <c r="A3496" s="24">
        <v>45372</v>
      </c>
      <c r="B3496" t="s">
        <v>286</v>
      </c>
      <c r="C3496" t="s">
        <v>287</v>
      </c>
      <c r="D3496">
        <v>10</v>
      </c>
      <c r="E3496" t="s">
        <v>54</v>
      </c>
      <c r="F3496" t="s">
        <v>55</v>
      </c>
      <c r="G3496" t="s">
        <v>2472</v>
      </c>
      <c r="H3496" t="s">
        <v>16</v>
      </c>
      <c r="I3496" s="26" t="s">
        <v>897</v>
      </c>
    </row>
    <row r="3497" spans="1:9" x14ac:dyDescent="0.3">
      <c r="A3497" s="24">
        <v>45372</v>
      </c>
      <c r="B3497" t="s">
        <v>289</v>
      </c>
      <c r="C3497" t="s">
        <v>29</v>
      </c>
      <c r="D3497">
        <v>0.5</v>
      </c>
      <c r="E3497" t="s">
        <v>524</v>
      </c>
      <c r="F3497" t="s">
        <v>31</v>
      </c>
      <c r="H3497" t="s">
        <v>16</v>
      </c>
      <c r="I3497" s="26" t="s">
        <v>897</v>
      </c>
    </row>
    <row r="3498" spans="1:9" x14ac:dyDescent="0.3">
      <c r="A3498" s="24">
        <v>45372</v>
      </c>
      <c r="B3498" t="s">
        <v>289</v>
      </c>
      <c r="C3498" t="s">
        <v>29</v>
      </c>
      <c r="D3498">
        <v>0.5</v>
      </c>
      <c r="E3498" t="s">
        <v>151</v>
      </c>
      <c r="F3498" t="s">
        <v>31</v>
      </c>
      <c r="H3498" t="s">
        <v>16</v>
      </c>
      <c r="I3498" s="26" t="s">
        <v>897</v>
      </c>
    </row>
    <row r="3499" spans="1:9" x14ac:dyDescent="0.3">
      <c r="A3499" s="24">
        <v>45372</v>
      </c>
      <c r="B3499" t="s">
        <v>289</v>
      </c>
      <c r="C3499" t="s">
        <v>29</v>
      </c>
      <c r="D3499">
        <v>0.5</v>
      </c>
      <c r="E3499" t="s">
        <v>290</v>
      </c>
      <c r="F3499" t="s">
        <v>31</v>
      </c>
      <c r="H3499" t="s">
        <v>16</v>
      </c>
      <c r="I3499" s="26" t="s">
        <v>897</v>
      </c>
    </row>
    <row r="3500" spans="1:9" x14ac:dyDescent="0.3">
      <c r="A3500" s="24">
        <v>45372</v>
      </c>
      <c r="B3500" t="s">
        <v>289</v>
      </c>
      <c r="C3500" t="s">
        <v>29</v>
      </c>
      <c r="D3500">
        <v>0.75</v>
      </c>
      <c r="E3500" t="s">
        <v>291</v>
      </c>
      <c r="F3500" t="s">
        <v>31</v>
      </c>
      <c r="G3500" t="s">
        <v>1020</v>
      </c>
      <c r="H3500" t="s">
        <v>16</v>
      </c>
      <c r="I3500" s="26" t="s">
        <v>897</v>
      </c>
    </row>
    <row r="3501" spans="1:9" x14ac:dyDescent="0.3">
      <c r="A3501" s="24">
        <v>45372</v>
      </c>
      <c r="B3501" t="s">
        <v>289</v>
      </c>
      <c r="C3501" t="s">
        <v>29</v>
      </c>
      <c r="D3501">
        <v>2.5</v>
      </c>
      <c r="E3501" t="s">
        <v>49</v>
      </c>
      <c r="F3501" t="s">
        <v>31</v>
      </c>
      <c r="H3501" t="s">
        <v>16</v>
      </c>
      <c r="I3501" s="26" t="s">
        <v>897</v>
      </c>
    </row>
    <row r="3502" spans="1:9" x14ac:dyDescent="0.3">
      <c r="A3502" s="24">
        <v>45372</v>
      </c>
      <c r="B3502" t="s">
        <v>289</v>
      </c>
      <c r="C3502" t="s">
        <v>58</v>
      </c>
      <c r="D3502">
        <v>0.75</v>
      </c>
      <c r="E3502" t="s">
        <v>54</v>
      </c>
      <c r="F3502" t="s">
        <v>55</v>
      </c>
      <c r="G3502" t="s">
        <v>2473</v>
      </c>
      <c r="H3502" t="s">
        <v>16</v>
      </c>
      <c r="I3502" s="26" t="s">
        <v>897</v>
      </c>
    </row>
    <row r="3503" spans="1:9" x14ac:dyDescent="0.3">
      <c r="A3503" s="24">
        <v>45372</v>
      </c>
      <c r="B3503" t="s">
        <v>294</v>
      </c>
      <c r="C3503" t="s">
        <v>202</v>
      </c>
      <c r="D3503">
        <v>0.05</v>
      </c>
      <c r="E3503" t="s">
        <v>445</v>
      </c>
      <c r="F3503" t="s">
        <v>31</v>
      </c>
      <c r="G3503" t="s">
        <v>243</v>
      </c>
      <c r="H3503" t="s">
        <v>16</v>
      </c>
      <c r="I3503" s="26" t="s">
        <v>897</v>
      </c>
    </row>
    <row r="3504" spans="1:9" x14ac:dyDescent="0.3">
      <c r="A3504" s="24">
        <v>45372</v>
      </c>
      <c r="B3504" t="s">
        <v>294</v>
      </c>
      <c r="C3504" t="s">
        <v>202</v>
      </c>
      <c r="D3504">
        <v>0.23</v>
      </c>
      <c r="E3504" t="s">
        <v>30</v>
      </c>
      <c r="F3504" t="s">
        <v>55</v>
      </c>
      <c r="G3504" t="s">
        <v>2474</v>
      </c>
      <c r="H3504" t="s">
        <v>16</v>
      </c>
      <c r="I3504" s="26" t="s">
        <v>897</v>
      </c>
    </row>
    <row r="3505" spans="1:9" x14ac:dyDescent="0.3">
      <c r="A3505" s="24">
        <v>45372</v>
      </c>
      <c r="B3505" t="s">
        <v>294</v>
      </c>
      <c r="C3505" t="s">
        <v>202</v>
      </c>
      <c r="D3505">
        <v>6.18</v>
      </c>
      <c r="E3505" t="s">
        <v>1022</v>
      </c>
      <c r="F3505" t="s">
        <v>55</v>
      </c>
      <c r="G3505" t="s">
        <v>2199</v>
      </c>
      <c r="H3505" t="s">
        <v>16</v>
      </c>
      <c r="I3505" s="26" t="s">
        <v>897</v>
      </c>
    </row>
    <row r="3506" spans="1:9" x14ac:dyDescent="0.3">
      <c r="A3506" s="24">
        <v>45372</v>
      </c>
      <c r="B3506" t="s">
        <v>294</v>
      </c>
      <c r="C3506" t="s">
        <v>53</v>
      </c>
      <c r="D3506">
        <v>1.1200000000000001</v>
      </c>
      <c r="E3506" t="s">
        <v>54</v>
      </c>
      <c r="F3506" t="s">
        <v>55</v>
      </c>
      <c r="G3506" t="s">
        <v>2343</v>
      </c>
      <c r="H3506" t="s">
        <v>16</v>
      </c>
      <c r="I3506" s="26" t="s">
        <v>897</v>
      </c>
    </row>
    <row r="3507" spans="1:9" x14ac:dyDescent="0.3">
      <c r="A3507" s="24">
        <v>45372</v>
      </c>
      <c r="B3507" t="s">
        <v>301</v>
      </c>
      <c r="C3507" t="s">
        <v>29</v>
      </c>
      <c r="D3507">
        <v>0.2</v>
      </c>
      <c r="E3507" t="s">
        <v>156</v>
      </c>
      <c r="F3507" t="s">
        <v>31</v>
      </c>
      <c r="G3507" t="s">
        <v>2475</v>
      </c>
      <c r="H3507" t="s">
        <v>16</v>
      </c>
      <c r="I3507" s="26" t="s">
        <v>897</v>
      </c>
    </row>
    <row r="3508" spans="1:9" x14ac:dyDescent="0.3">
      <c r="A3508" s="24">
        <v>45372</v>
      </c>
      <c r="B3508" t="s">
        <v>301</v>
      </c>
      <c r="C3508" t="s">
        <v>29</v>
      </c>
      <c r="D3508">
        <v>0.78</v>
      </c>
      <c r="E3508" t="s">
        <v>156</v>
      </c>
      <c r="F3508" t="s">
        <v>31</v>
      </c>
      <c r="G3508" t="s">
        <v>2476</v>
      </c>
      <c r="H3508" t="s">
        <v>16</v>
      </c>
      <c r="I3508" s="26" t="s">
        <v>897</v>
      </c>
    </row>
    <row r="3509" spans="1:9" x14ac:dyDescent="0.3">
      <c r="A3509" s="24">
        <v>45372</v>
      </c>
      <c r="B3509" t="s">
        <v>301</v>
      </c>
      <c r="C3509" t="s">
        <v>29</v>
      </c>
      <c r="D3509">
        <v>1.1200000000000001</v>
      </c>
      <c r="E3509" t="s">
        <v>156</v>
      </c>
      <c r="F3509" t="s">
        <v>31</v>
      </c>
      <c r="G3509" t="s">
        <v>303</v>
      </c>
      <c r="H3509" t="s">
        <v>16</v>
      </c>
      <c r="I3509" s="26" t="s">
        <v>897</v>
      </c>
    </row>
    <row r="3510" spans="1:9" x14ac:dyDescent="0.3">
      <c r="A3510" s="24">
        <v>45372</v>
      </c>
      <c r="B3510" t="s">
        <v>301</v>
      </c>
      <c r="C3510" t="s">
        <v>29</v>
      </c>
      <c r="D3510">
        <v>1.37</v>
      </c>
      <c r="E3510" t="s">
        <v>304</v>
      </c>
      <c r="F3510" t="s">
        <v>31</v>
      </c>
      <c r="G3510" t="s">
        <v>303</v>
      </c>
      <c r="H3510" t="s">
        <v>16</v>
      </c>
      <c r="I3510" s="26" t="s">
        <v>897</v>
      </c>
    </row>
    <row r="3511" spans="1:9" x14ac:dyDescent="0.3">
      <c r="A3511" s="24">
        <v>45372</v>
      </c>
      <c r="B3511" t="s">
        <v>301</v>
      </c>
      <c r="C3511" t="s">
        <v>29</v>
      </c>
      <c r="D3511">
        <v>1.68</v>
      </c>
      <c r="E3511" t="s">
        <v>304</v>
      </c>
      <c r="F3511" t="s">
        <v>31</v>
      </c>
      <c r="G3511" t="s">
        <v>2477</v>
      </c>
      <c r="H3511" t="s">
        <v>16</v>
      </c>
      <c r="I3511" s="26" t="s">
        <v>897</v>
      </c>
    </row>
    <row r="3512" spans="1:9" x14ac:dyDescent="0.3">
      <c r="A3512" s="24">
        <v>45372</v>
      </c>
      <c r="B3512" t="s">
        <v>301</v>
      </c>
      <c r="C3512" t="s">
        <v>29</v>
      </c>
      <c r="D3512">
        <v>2.67</v>
      </c>
      <c r="E3512" t="s">
        <v>304</v>
      </c>
      <c r="F3512" t="s">
        <v>31</v>
      </c>
      <c r="G3512" t="s">
        <v>2478</v>
      </c>
      <c r="H3512" t="s">
        <v>16</v>
      </c>
      <c r="I3512" s="26" t="s">
        <v>897</v>
      </c>
    </row>
    <row r="3513" spans="1:9" x14ac:dyDescent="0.3">
      <c r="A3513" s="24">
        <v>45372</v>
      </c>
      <c r="B3513" t="s">
        <v>301</v>
      </c>
      <c r="C3513" t="s">
        <v>202</v>
      </c>
      <c r="D3513">
        <v>0.22</v>
      </c>
      <c r="E3513" t="s">
        <v>156</v>
      </c>
      <c r="F3513" t="s">
        <v>55</v>
      </c>
      <c r="G3513" t="s">
        <v>2479</v>
      </c>
      <c r="H3513" t="s">
        <v>16</v>
      </c>
      <c r="I3513" s="26" t="s">
        <v>897</v>
      </c>
    </row>
    <row r="3514" spans="1:9" x14ac:dyDescent="0.3">
      <c r="A3514" s="24">
        <v>45372</v>
      </c>
      <c r="B3514" t="s">
        <v>313</v>
      </c>
      <c r="C3514" t="s">
        <v>29</v>
      </c>
      <c r="D3514">
        <v>1.45</v>
      </c>
      <c r="E3514" t="s">
        <v>170</v>
      </c>
      <c r="F3514" t="s">
        <v>31</v>
      </c>
      <c r="H3514" t="s">
        <v>16</v>
      </c>
      <c r="I3514" s="26" t="s">
        <v>897</v>
      </c>
    </row>
    <row r="3515" spans="1:9" x14ac:dyDescent="0.3">
      <c r="A3515" s="24">
        <v>45372</v>
      </c>
      <c r="B3515" t="s">
        <v>313</v>
      </c>
      <c r="C3515" t="s">
        <v>29</v>
      </c>
      <c r="D3515">
        <v>1.88</v>
      </c>
      <c r="E3515" t="s">
        <v>170</v>
      </c>
      <c r="F3515" t="s">
        <v>31</v>
      </c>
      <c r="G3515" t="s">
        <v>852</v>
      </c>
      <c r="H3515" t="s">
        <v>16</v>
      </c>
      <c r="I3515" s="26" t="s">
        <v>897</v>
      </c>
    </row>
    <row r="3516" spans="1:9" x14ac:dyDescent="0.3">
      <c r="A3516" s="24">
        <v>45372</v>
      </c>
      <c r="B3516" t="s">
        <v>313</v>
      </c>
      <c r="C3516" t="s">
        <v>53</v>
      </c>
      <c r="D3516">
        <v>0.43</v>
      </c>
      <c r="E3516" t="s">
        <v>54</v>
      </c>
      <c r="F3516" t="s">
        <v>55</v>
      </c>
      <c r="G3516" t="s">
        <v>705</v>
      </c>
      <c r="H3516" t="s">
        <v>16</v>
      </c>
      <c r="I3516" s="26" t="s">
        <v>897</v>
      </c>
    </row>
    <row r="3517" spans="1:9" x14ac:dyDescent="0.3">
      <c r="A3517" s="24">
        <v>45372</v>
      </c>
      <c r="B3517" t="s">
        <v>313</v>
      </c>
      <c r="C3517" t="s">
        <v>60</v>
      </c>
      <c r="D3517">
        <v>0.25</v>
      </c>
      <c r="E3517" t="s">
        <v>162</v>
      </c>
      <c r="F3517" t="s">
        <v>31</v>
      </c>
      <c r="G3517" t="s">
        <v>2480</v>
      </c>
      <c r="H3517" t="s">
        <v>16</v>
      </c>
      <c r="I3517" s="26" t="s">
        <v>897</v>
      </c>
    </row>
    <row r="3518" spans="1:9" x14ac:dyDescent="0.3">
      <c r="A3518" s="24">
        <v>45372</v>
      </c>
      <c r="B3518" t="s">
        <v>313</v>
      </c>
      <c r="C3518" t="s">
        <v>60</v>
      </c>
      <c r="D3518">
        <v>4.7699999999999996</v>
      </c>
      <c r="E3518" t="s">
        <v>170</v>
      </c>
      <c r="F3518" t="s">
        <v>31</v>
      </c>
      <c r="H3518" t="s">
        <v>16</v>
      </c>
      <c r="I3518" s="26" t="s">
        <v>897</v>
      </c>
    </row>
    <row r="3519" spans="1:9" x14ac:dyDescent="0.3">
      <c r="A3519" s="24">
        <v>45372</v>
      </c>
      <c r="B3519" t="s">
        <v>318</v>
      </c>
      <c r="C3519" t="s">
        <v>53</v>
      </c>
      <c r="D3519">
        <v>3.47</v>
      </c>
      <c r="E3519" t="s">
        <v>54</v>
      </c>
      <c r="F3519" t="s">
        <v>55</v>
      </c>
      <c r="G3519" t="s">
        <v>2481</v>
      </c>
      <c r="H3519" t="s">
        <v>16</v>
      </c>
      <c r="I3519" s="26" t="s">
        <v>897</v>
      </c>
    </row>
    <row r="3520" spans="1:9" x14ac:dyDescent="0.3">
      <c r="A3520" s="24">
        <v>45372</v>
      </c>
      <c r="B3520" t="s">
        <v>318</v>
      </c>
      <c r="C3520" t="s">
        <v>53</v>
      </c>
      <c r="D3520">
        <v>5.13</v>
      </c>
      <c r="E3520" t="s">
        <v>54</v>
      </c>
      <c r="F3520" t="s">
        <v>55</v>
      </c>
      <c r="G3520" t="s">
        <v>2482</v>
      </c>
      <c r="H3520" t="s">
        <v>16</v>
      </c>
      <c r="I3520" s="26" t="s">
        <v>897</v>
      </c>
    </row>
    <row r="3521" spans="1:9" x14ac:dyDescent="0.3">
      <c r="A3521" s="24">
        <v>45372</v>
      </c>
      <c r="B3521" t="s">
        <v>324</v>
      </c>
      <c r="C3521" t="s">
        <v>29</v>
      </c>
      <c r="D3521">
        <v>8.9</v>
      </c>
      <c r="E3521" t="s">
        <v>81</v>
      </c>
      <c r="F3521" t="s">
        <v>31</v>
      </c>
      <c r="H3521" t="s">
        <v>16</v>
      </c>
      <c r="I3521" s="26" t="s">
        <v>897</v>
      </c>
    </row>
    <row r="3522" spans="1:9" x14ac:dyDescent="0.3">
      <c r="A3522" s="24">
        <v>45372</v>
      </c>
      <c r="B3522" t="s">
        <v>328</v>
      </c>
      <c r="C3522" t="s">
        <v>29</v>
      </c>
      <c r="D3522">
        <v>2.58</v>
      </c>
      <c r="E3522" t="s">
        <v>420</v>
      </c>
      <c r="F3522" t="s">
        <v>31</v>
      </c>
      <c r="G3522" t="s">
        <v>2483</v>
      </c>
      <c r="H3522" t="s">
        <v>16</v>
      </c>
      <c r="I3522" s="26" t="s">
        <v>897</v>
      </c>
    </row>
    <row r="3523" spans="1:9" x14ac:dyDescent="0.3">
      <c r="A3523" s="24">
        <v>45372</v>
      </c>
      <c r="B3523" t="s">
        <v>328</v>
      </c>
      <c r="C3523" t="s">
        <v>60</v>
      </c>
      <c r="D3523">
        <v>0.28000000000000003</v>
      </c>
      <c r="E3523" t="s">
        <v>162</v>
      </c>
      <c r="F3523" t="s">
        <v>31</v>
      </c>
      <c r="G3523" t="s">
        <v>2484</v>
      </c>
      <c r="H3523" t="s">
        <v>16</v>
      </c>
      <c r="I3523" s="26" t="s">
        <v>897</v>
      </c>
    </row>
    <row r="3524" spans="1:9" x14ac:dyDescent="0.3">
      <c r="A3524" s="24">
        <v>45372</v>
      </c>
      <c r="B3524" t="s">
        <v>328</v>
      </c>
      <c r="C3524" t="s">
        <v>60</v>
      </c>
      <c r="D3524">
        <v>0.47</v>
      </c>
      <c r="E3524" t="s">
        <v>81</v>
      </c>
      <c r="F3524" t="s">
        <v>31</v>
      </c>
      <c r="G3524" t="s">
        <v>2485</v>
      </c>
      <c r="H3524" t="s">
        <v>16</v>
      </c>
      <c r="I3524" s="26" t="s">
        <v>897</v>
      </c>
    </row>
    <row r="3525" spans="1:9" x14ac:dyDescent="0.3">
      <c r="A3525" s="24">
        <v>45372</v>
      </c>
      <c r="B3525" t="s">
        <v>328</v>
      </c>
      <c r="C3525" t="s">
        <v>60</v>
      </c>
      <c r="D3525">
        <v>0.95</v>
      </c>
      <c r="E3525" t="s">
        <v>81</v>
      </c>
      <c r="F3525" t="s">
        <v>31</v>
      </c>
      <c r="G3525" t="s">
        <v>2486</v>
      </c>
      <c r="H3525" t="s">
        <v>16</v>
      </c>
      <c r="I3525" s="26" t="s">
        <v>897</v>
      </c>
    </row>
    <row r="3526" spans="1:9" x14ac:dyDescent="0.3">
      <c r="A3526" s="24">
        <v>45372</v>
      </c>
      <c r="B3526" t="s">
        <v>328</v>
      </c>
      <c r="C3526" t="s">
        <v>60</v>
      </c>
      <c r="D3526">
        <v>1.57</v>
      </c>
      <c r="E3526" t="s">
        <v>81</v>
      </c>
      <c r="F3526" t="s">
        <v>31</v>
      </c>
      <c r="G3526" t="s">
        <v>2487</v>
      </c>
      <c r="H3526" t="s">
        <v>16</v>
      </c>
      <c r="I3526" s="26" t="s">
        <v>897</v>
      </c>
    </row>
    <row r="3527" spans="1:9" x14ac:dyDescent="0.3">
      <c r="A3527" s="24">
        <v>45372</v>
      </c>
      <c r="B3527" t="s">
        <v>328</v>
      </c>
      <c r="C3527" t="s">
        <v>60</v>
      </c>
      <c r="D3527">
        <v>2.65</v>
      </c>
      <c r="E3527" t="s">
        <v>81</v>
      </c>
      <c r="F3527" t="s">
        <v>31</v>
      </c>
      <c r="G3527" t="s">
        <v>1045</v>
      </c>
      <c r="H3527" t="s">
        <v>16</v>
      </c>
      <c r="I3527" s="26" t="s">
        <v>897</v>
      </c>
    </row>
    <row r="3528" spans="1:9" x14ac:dyDescent="0.3">
      <c r="A3528" s="24">
        <v>45372</v>
      </c>
      <c r="B3528" t="s">
        <v>329</v>
      </c>
      <c r="C3528" t="s">
        <v>2218</v>
      </c>
      <c r="D3528">
        <v>1</v>
      </c>
      <c r="E3528" t="s">
        <v>1859</v>
      </c>
      <c r="F3528" t="s">
        <v>31</v>
      </c>
      <c r="G3528" t="s">
        <v>2488</v>
      </c>
      <c r="H3528" t="s">
        <v>16</v>
      </c>
      <c r="I3528" s="26" t="s">
        <v>897</v>
      </c>
    </row>
    <row r="3529" spans="1:9" x14ac:dyDescent="0.3">
      <c r="A3529" s="24">
        <v>45372</v>
      </c>
      <c r="B3529" t="s">
        <v>331</v>
      </c>
      <c r="C3529" t="s">
        <v>73</v>
      </c>
      <c r="D3529">
        <v>8</v>
      </c>
      <c r="E3529" t="s">
        <v>54</v>
      </c>
      <c r="F3529" t="s">
        <v>55</v>
      </c>
      <c r="H3529" t="s">
        <v>16</v>
      </c>
      <c r="I3529" s="26" t="s">
        <v>897</v>
      </c>
    </row>
    <row r="3530" spans="1:9" x14ac:dyDescent="0.3">
      <c r="A3530" s="24">
        <v>45372</v>
      </c>
      <c r="B3530" t="s">
        <v>340</v>
      </c>
      <c r="C3530" t="s">
        <v>202</v>
      </c>
      <c r="D3530">
        <v>0.5</v>
      </c>
      <c r="E3530" t="s">
        <v>226</v>
      </c>
      <c r="F3530" t="s">
        <v>31</v>
      </c>
      <c r="G3530" t="s">
        <v>2489</v>
      </c>
      <c r="H3530" t="s">
        <v>16</v>
      </c>
      <c r="I3530" s="26" t="s">
        <v>897</v>
      </c>
    </row>
    <row r="3531" spans="1:9" x14ac:dyDescent="0.3">
      <c r="A3531" s="24">
        <v>45372</v>
      </c>
      <c r="B3531" t="s">
        <v>340</v>
      </c>
      <c r="C3531" t="s">
        <v>202</v>
      </c>
      <c r="D3531">
        <v>0.5</v>
      </c>
      <c r="E3531" t="s">
        <v>226</v>
      </c>
      <c r="F3531" t="s">
        <v>31</v>
      </c>
      <c r="G3531" t="s">
        <v>2490</v>
      </c>
      <c r="H3531" t="s">
        <v>16</v>
      </c>
      <c r="I3531" s="26" t="s">
        <v>897</v>
      </c>
    </row>
    <row r="3532" spans="1:9" x14ac:dyDescent="0.3">
      <c r="A3532" s="24">
        <v>45372</v>
      </c>
      <c r="B3532" t="s">
        <v>340</v>
      </c>
      <c r="C3532" t="s">
        <v>202</v>
      </c>
      <c r="D3532">
        <v>0.5</v>
      </c>
      <c r="E3532" t="s">
        <v>179</v>
      </c>
      <c r="F3532" t="s">
        <v>31</v>
      </c>
      <c r="G3532" t="s">
        <v>2491</v>
      </c>
      <c r="H3532" t="s">
        <v>16</v>
      </c>
      <c r="I3532" s="26" t="s">
        <v>897</v>
      </c>
    </row>
    <row r="3533" spans="1:9" x14ac:dyDescent="0.3">
      <c r="A3533" s="24">
        <v>45372</v>
      </c>
      <c r="B3533" t="s">
        <v>340</v>
      </c>
      <c r="C3533" t="s">
        <v>202</v>
      </c>
      <c r="D3533">
        <v>0.5</v>
      </c>
      <c r="E3533" t="s">
        <v>725</v>
      </c>
      <c r="F3533" t="s">
        <v>31</v>
      </c>
      <c r="G3533" t="s">
        <v>2492</v>
      </c>
      <c r="H3533" t="s">
        <v>16</v>
      </c>
      <c r="I3533" s="26" t="s">
        <v>897</v>
      </c>
    </row>
    <row r="3534" spans="1:9" x14ac:dyDescent="0.3">
      <c r="A3534" s="24">
        <v>45372</v>
      </c>
      <c r="B3534" t="s">
        <v>340</v>
      </c>
      <c r="C3534" t="s">
        <v>202</v>
      </c>
      <c r="D3534">
        <v>0.5</v>
      </c>
      <c r="E3534" t="s">
        <v>156</v>
      </c>
      <c r="F3534" t="s">
        <v>31</v>
      </c>
      <c r="G3534" t="s">
        <v>2493</v>
      </c>
      <c r="H3534" t="s">
        <v>16</v>
      </c>
      <c r="I3534" s="26" t="s">
        <v>897</v>
      </c>
    </row>
    <row r="3535" spans="1:9" x14ac:dyDescent="0.3">
      <c r="A3535" s="24">
        <v>45372</v>
      </c>
      <c r="B3535" t="s">
        <v>340</v>
      </c>
      <c r="C3535" t="s">
        <v>202</v>
      </c>
      <c r="D3535">
        <v>2</v>
      </c>
      <c r="E3535" t="s">
        <v>1216</v>
      </c>
      <c r="F3535" t="s">
        <v>31</v>
      </c>
      <c r="G3535" t="s">
        <v>2494</v>
      </c>
      <c r="H3535" t="s">
        <v>16</v>
      </c>
      <c r="I3535" s="26" t="s">
        <v>897</v>
      </c>
    </row>
    <row r="3536" spans="1:9" x14ac:dyDescent="0.3">
      <c r="A3536" s="24">
        <v>45372</v>
      </c>
      <c r="B3536" t="s">
        <v>340</v>
      </c>
      <c r="C3536" t="s">
        <v>53</v>
      </c>
      <c r="D3536">
        <v>1</v>
      </c>
      <c r="E3536" t="s">
        <v>54</v>
      </c>
      <c r="F3536" t="s">
        <v>55</v>
      </c>
      <c r="G3536" t="s">
        <v>2495</v>
      </c>
      <c r="H3536" t="s">
        <v>16</v>
      </c>
      <c r="I3536" s="26" t="s">
        <v>897</v>
      </c>
    </row>
    <row r="3537" spans="1:9" x14ac:dyDescent="0.3">
      <c r="A3537" s="24">
        <v>45372</v>
      </c>
      <c r="B3537" t="s">
        <v>340</v>
      </c>
      <c r="C3537" t="s">
        <v>491</v>
      </c>
      <c r="D3537">
        <v>0.25</v>
      </c>
      <c r="E3537" t="s">
        <v>1754</v>
      </c>
      <c r="F3537" t="s">
        <v>31</v>
      </c>
      <c r="G3537" t="s">
        <v>2496</v>
      </c>
      <c r="H3537" t="s">
        <v>16</v>
      </c>
      <c r="I3537" s="26" t="s">
        <v>897</v>
      </c>
    </row>
    <row r="3538" spans="1:9" x14ac:dyDescent="0.3">
      <c r="A3538" s="24">
        <v>45372</v>
      </c>
      <c r="B3538" t="s">
        <v>340</v>
      </c>
      <c r="C3538" t="s">
        <v>2310</v>
      </c>
      <c r="D3538">
        <v>0.25</v>
      </c>
      <c r="E3538" t="s">
        <v>1754</v>
      </c>
      <c r="F3538" t="s">
        <v>31</v>
      </c>
      <c r="G3538" t="s">
        <v>2497</v>
      </c>
      <c r="H3538" t="s">
        <v>16</v>
      </c>
      <c r="I3538" s="26" t="s">
        <v>897</v>
      </c>
    </row>
    <row r="3539" spans="1:9" x14ac:dyDescent="0.3">
      <c r="A3539" s="24">
        <v>45372</v>
      </c>
      <c r="B3539" t="s">
        <v>340</v>
      </c>
      <c r="C3539" t="s">
        <v>493</v>
      </c>
      <c r="D3539">
        <v>0.25</v>
      </c>
      <c r="E3539" t="s">
        <v>1754</v>
      </c>
      <c r="F3539" t="s">
        <v>31</v>
      </c>
      <c r="G3539" t="s">
        <v>2498</v>
      </c>
      <c r="H3539" t="s">
        <v>16</v>
      </c>
      <c r="I3539" s="26" t="s">
        <v>897</v>
      </c>
    </row>
    <row r="3540" spans="1:9" x14ac:dyDescent="0.3">
      <c r="A3540" s="24">
        <v>45372</v>
      </c>
      <c r="B3540" t="s">
        <v>340</v>
      </c>
      <c r="C3540" t="s">
        <v>232</v>
      </c>
      <c r="D3540">
        <v>0.25</v>
      </c>
      <c r="E3540" t="s">
        <v>1754</v>
      </c>
      <c r="F3540" t="s">
        <v>31</v>
      </c>
      <c r="G3540" t="s">
        <v>2499</v>
      </c>
      <c r="H3540" t="s">
        <v>16</v>
      </c>
      <c r="I3540" s="26" t="s">
        <v>897</v>
      </c>
    </row>
    <row r="3541" spans="1:9" x14ac:dyDescent="0.3">
      <c r="A3541" s="24">
        <v>45372</v>
      </c>
      <c r="B3541" t="s">
        <v>340</v>
      </c>
      <c r="C3541" t="s">
        <v>232</v>
      </c>
      <c r="D3541">
        <v>0.25</v>
      </c>
      <c r="E3541" t="s">
        <v>1754</v>
      </c>
      <c r="F3541" t="s">
        <v>31</v>
      </c>
      <c r="G3541" t="s">
        <v>2500</v>
      </c>
      <c r="H3541" t="s">
        <v>16</v>
      </c>
      <c r="I3541" s="26" t="s">
        <v>897</v>
      </c>
    </row>
    <row r="3542" spans="1:9" x14ac:dyDescent="0.3">
      <c r="A3542" s="24">
        <v>45372</v>
      </c>
      <c r="B3542" t="s">
        <v>340</v>
      </c>
      <c r="C3542" t="s">
        <v>232</v>
      </c>
      <c r="D3542">
        <v>0.25</v>
      </c>
      <c r="E3542" t="s">
        <v>114</v>
      </c>
      <c r="F3542" t="s">
        <v>31</v>
      </c>
      <c r="G3542" t="s">
        <v>2500</v>
      </c>
      <c r="H3542" t="s">
        <v>16</v>
      </c>
      <c r="I3542" s="26" t="s">
        <v>897</v>
      </c>
    </row>
    <row r="3543" spans="1:9" x14ac:dyDescent="0.3">
      <c r="A3543" s="24">
        <v>45372</v>
      </c>
      <c r="B3543" t="s">
        <v>340</v>
      </c>
      <c r="C3543" t="s">
        <v>232</v>
      </c>
      <c r="D3543">
        <v>0.33</v>
      </c>
      <c r="E3543" t="s">
        <v>106</v>
      </c>
      <c r="F3543" t="s">
        <v>31</v>
      </c>
      <c r="G3543" t="s">
        <v>347</v>
      </c>
      <c r="H3543" t="s">
        <v>16</v>
      </c>
      <c r="I3543" s="26" t="s">
        <v>897</v>
      </c>
    </row>
    <row r="3544" spans="1:9" x14ac:dyDescent="0.3">
      <c r="A3544" s="24">
        <v>45372</v>
      </c>
      <c r="B3544" t="s">
        <v>340</v>
      </c>
      <c r="C3544" t="s">
        <v>58</v>
      </c>
      <c r="D3544">
        <v>0.5</v>
      </c>
      <c r="E3544" t="s">
        <v>54</v>
      </c>
      <c r="F3544" t="s">
        <v>55</v>
      </c>
      <c r="G3544" t="s">
        <v>2501</v>
      </c>
      <c r="H3544" t="s">
        <v>16</v>
      </c>
      <c r="I3544" s="26" t="s">
        <v>897</v>
      </c>
    </row>
    <row r="3545" spans="1:9" x14ac:dyDescent="0.3">
      <c r="A3545" s="24">
        <v>45372</v>
      </c>
      <c r="B3545" t="s">
        <v>351</v>
      </c>
      <c r="C3545" t="s">
        <v>250</v>
      </c>
      <c r="D3545">
        <v>2.75</v>
      </c>
      <c r="E3545" t="s">
        <v>81</v>
      </c>
      <c r="F3545" t="s">
        <v>55</v>
      </c>
      <c r="G3545" t="s">
        <v>2502</v>
      </c>
      <c r="H3545" t="s">
        <v>16</v>
      </c>
      <c r="I3545" s="26" t="s">
        <v>897</v>
      </c>
    </row>
    <row r="3546" spans="1:9" x14ac:dyDescent="0.3">
      <c r="A3546" s="24">
        <v>45372</v>
      </c>
      <c r="B3546" t="s">
        <v>351</v>
      </c>
      <c r="C3546" t="s">
        <v>29</v>
      </c>
      <c r="D3546">
        <v>0.25</v>
      </c>
      <c r="E3546" t="s">
        <v>81</v>
      </c>
      <c r="F3546" t="s">
        <v>31</v>
      </c>
      <c r="G3546" t="s">
        <v>564</v>
      </c>
      <c r="H3546" t="s">
        <v>16</v>
      </c>
      <c r="I3546" s="26" t="s">
        <v>897</v>
      </c>
    </row>
    <row r="3547" spans="1:9" x14ac:dyDescent="0.3">
      <c r="A3547" s="24">
        <v>45372</v>
      </c>
      <c r="B3547" t="s">
        <v>351</v>
      </c>
      <c r="C3547" t="s">
        <v>29</v>
      </c>
      <c r="D3547">
        <v>4</v>
      </c>
      <c r="E3547" t="s">
        <v>81</v>
      </c>
      <c r="F3547" t="s">
        <v>31</v>
      </c>
      <c r="G3547" t="s">
        <v>560</v>
      </c>
      <c r="H3547" t="s">
        <v>16</v>
      </c>
      <c r="I3547" s="26" t="s">
        <v>897</v>
      </c>
    </row>
    <row r="3548" spans="1:9" x14ac:dyDescent="0.3">
      <c r="A3548" s="24">
        <v>45372</v>
      </c>
      <c r="B3548" t="s">
        <v>351</v>
      </c>
      <c r="C3548" t="s">
        <v>53</v>
      </c>
      <c r="D3548">
        <v>1</v>
      </c>
      <c r="E3548" t="s">
        <v>54</v>
      </c>
      <c r="F3548" t="s">
        <v>55</v>
      </c>
      <c r="G3548" t="s">
        <v>2503</v>
      </c>
      <c r="H3548" t="s">
        <v>16</v>
      </c>
      <c r="I3548" s="26" t="s">
        <v>897</v>
      </c>
    </row>
    <row r="3549" spans="1:9" x14ac:dyDescent="0.3">
      <c r="A3549" s="24">
        <v>45372</v>
      </c>
      <c r="B3549" t="s">
        <v>355</v>
      </c>
      <c r="C3549" t="s">
        <v>73</v>
      </c>
      <c r="D3549">
        <v>7.6</v>
      </c>
      <c r="E3549" t="s">
        <v>54</v>
      </c>
      <c r="F3549" t="s">
        <v>55</v>
      </c>
      <c r="H3549" t="s">
        <v>16</v>
      </c>
      <c r="I3549" s="26" t="s">
        <v>897</v>
      </c>
    </row>
    <row r="3550" spans="1:9" x14ac:dyDescent="0.3">
      <c r="A3550" s="24">
        <v>45372</v>
      </c>
      <c r="B3550" t="s">
        <v>374</v>
      </c>
      <c r="C3550" t="s">
        <v>123</v>
      </c>
      <c r="D3550">
        <v>3</v>
      </c>
      <c r="E3550" t="s">
        <v>54</v>
      </c>
      <c r="F3550" t="s">
        <v>55</v>
      </c>
      <c r="G3550" t="e">
        <f>- General Admin - submit profiles of New incoming Manila Team members - coordinate payment to Seek PH with Jordan and Mel - Follow up Background check result to Talentprobe</f>
        <v>#NAME?</v>
      </c>
      <c r="H3550" t="s">
        <v>16</v>
      </c>
      <c r="I3550" s="26" t="s">
        <v>897</v>
      </c>
    </row>
    <row r="3551" spans="1:9" x14ac:dyDescent="0.3">
      <c r="A3551" s="24">
        <v>45372</v>
      </c>
      <c r="B3551" t="s">
        <v>374</v>
      </c>
      <c r="C3551" t="s">
        <v>123</v>
      </c>
      <c r="D3551">
        <v>5</v>
      </c>
      <c r="E3551" t="s">
        <v>54</v>
      </c>
      <c r="F3551" t="s">
        <v>55</v>
      </c>
      <c r="G3551" t="s">
        <v>2504</v>
      </c>
      <c r="H3551" t="s">
        <v>16</v>
      </c>
      <c r="I3551" s="26" t="s">
        <v>897</v>
      </c>
    </row>
    <row r="3552" spans="1:9" x14ac:dyDescent="0.3">
      <c r="A3552" s="24">
        <v>45373</v>
      </c>
      <c r="B3552" t="s">
        <v>28</v>
      </c>
      <c r="C3552" t="s">
        <v>29</v>
      </c>
      <c r="D3552">
        <v>0.03</v>
      </c>
      <c r="E3552" t="s">
        <v>62</v>
      </c>
      <c r="F3552" t="s">
        <v>31</v>
      </c>
      <c r="H3552" t="s">
        <v>16</v>
      </c>
      <c r="I3552" s="26" t="s">
        <v>33</v>
      </c>
    </row>
    <row r="3553" spans="1:9" x14ac:dyDescent="0.3">
      <c r="A3553" s="24">
        <v>45373</v>
      </c>
      <c r="B3553" t="s">
        <v>28</v>
      </c>
      <c r="C3553" t="s">
        <v>29</v>
      </c>
      <c r="D3553">
        <v>7.0000000000000007E-2</v>
      </c>
      <c r="E3553" t="s">
        <v>61</v>
      </c>
      <c r="F3553" t="s">
        <v>31</v>
      </c>
      <c r="G3553" t="s">
        <v>32</v>
      </c>
      <c r="H3553" t="s">
        <v>16</v>
      </c>
      <c r="I3553" s="26" t="s">
        <v>33</v>
      </c>
    </row>
    <row r="3554" spans="1:9" x14ac:dyDescent="0.3">
      <c r="A3554" s="24">
        <v>45373</v>
      </c>
      <c r="B3554" t="s">
        <v>28</v>
      </c>
      <c r="C3554" t="s">
        <v>29</v>
      </c>
      <c r="D3554">
        <v>7.0000000000000007E-2</v>
      </c>
      <c r="E3554" t="s">
        <v>61</v>
      </c>
      <c r="F3554" t="s">
        <v>31</v>
      </c>
      <c r="G3554" t="s">
        <v>243</v>
      </c>
      <c r="H3554" t="s">
        <v>16</v>
      </c>
      <c r="I3554" s="26" t="s">
        <v>33</v>
      </c>
    </row>
    <row r="3555" spans="1:9" x14ac:dyDescent="0.3">
      <c r="A3555" s="24">
        <v>45373</v>
      </c>
      <c r="B3555" t="s">
        <v>28</v>
      </c>
      <c r="C3555" t="s">
        <v>29</v>
      </c>
      <c r="D3555">
        <v>0.08</v>
      </c>
      <c r="E3555" t="s">
        <v>30</v>
      </c>
      <c r="F3555" t="s">
        <v>31</v>
      </c>
      <c r="G3555" t="s">
        <v>38</v>
      </c>
      <c r="H3555" t="s">
        <v>16</v>
      </c>
      <c r="I3555" s="26" t="s">
        <v>33</v>
      </c>
    </row>
    <row r="3556" spans="1:9" x14ac:dyDescent="0.3">
      <c r="A3556" s="24">
        <v>45373</v>
      </c>
      <c r="B3556" t="s">
        <v>28</v>
      </c>
      <c r="C3556" t="s">
        <v>29</v>
      </c>
      <c r="D3556">
        <v>0.13</v>
      </c>
      <c r="E3556" t="s">
        <v>30</v>
      </c>
      <c r="F3556" t="s">
        <v>31</v>
      </c>
      <c r="G3556" t="s">
        <v>34</v>
      </c>
      <c r="H3556" t="s">
        <v>16</v>
      </c>
      <c r="I3556" s="26" t="s">
        <v>33</v>
      </c>
    </row>
    <row r="3557" spans="1:9" x14ac:dyDescent="0.3">
      <c r="A3557" s="24">
        <v>45373</v>
      </c>
      <c r="B3557" t="s">
        <v>28</v>
      </c>
      <c r="C3557" t="s">
        <v>29</v>
      </c>
      <c r="D3557">
        <v>0.2</v>
      </c>
      <c r="E3557" t="s">
        <v>40</v>
      </c>
      <c r="F3557" t="s">
        <v>31</v>
      </c>
      <c r="G3557" t="s">
        <v>579</v>
      </c>
      <c r="H3557" t="s">
        <v>16</v>
      </c>
      <c r="I3557" s="26" t="s">
        <v>33</v>
      </c>
    </row>
    <row r="3558" spans="1:9" x14ac:dyDescent="0.3">
      <c r="A3558" s="24">
        <v>45373</v>
      </c>
      <c r="B3558" t="s">
        <v>28</v>
      </c>
      <c r="C3558" t="s">
        <v>29</v>
      </c>
      <c r="D3558">
        <v>0.22</v>
      </c>
      <c r="E3558" t="s">
        <v>61</v>
      </c>
      <c r="F3558" t="s">
        <v>31</v>
      </c>
      <c r="G3558" t="s">
        <v>2505</v>
      </c>
      <c r="H3558" t="s">
        <v>16</v>
      </c>
      <c r="I3558" s="26" t="s">
        <v>33</v>
      </c>
    </row>
    <row r="3559" spans="1:9" x14ac:dyDescent="0.3">
      <c r="A3559" s="24">
        <v>45373</v>
      </c>
      <c r="B3559" t="s">
        <v>28</v>
      </c>
      <c r="C3559" t="s">
        <v>29</v>
      </c>
      <c r="D3559">
        <v>0.27</v>
      </c>
      <c r="E3559" t="s">
        <v>42</v>
      </c>
      <c r="F3559" t="s">
        <v>31</v>
      </c>
      <c r="G3559" t="s">
        <v>579</v>
      </c>
      <c r="H3559" t="s">
        <v>16</v>
      </c>
      <c r="I3559" s="26" t="s">
        <v>33</v>
      </c>
    </row>
    <row r="3560" spans="1:9" x14ac:dyDescent="0.3">
      <c r="A3560" s="24">
        <v>45373</v>
      </c>
      <c r="B3560" t="s">
        <v>28</v>
      </c>
      <c r="C3560" t="s">
        <v>29</v>
      </c>
      <c r="D3560">
        <v>0.28000000000000003</v>
      </c>
      <c r="E3560" t="s">
        <v>42</v>
      </c>
      <c r="F3560" t="s">
        <v>31</v>
      </c>
      <c r="G3560" t="s">
        <v>43</v>
      </c>
      <c r="H3560" t="s">
        <v>16</v>
      </c>
      <c r="I3560" s="26" t="s">
        <v>33</v>
      </c>
    </row>
    <row r="3561" spans="1:9" x14ac:dyDescent="0.3">
      <c r="A3561" s="24">
        <v>45373</v>
      </c>
      <c r="B3561" t="s">
        <v>28</v>
      </c>
      <c r="C3561" t="s">
        <v>29</v>
      </c>
      <c r="D3561">
        <v>0.3</v>
      </c>
      <c r="E3561" t="s">
        <v>40</v>
      </c>
      <c r="F3561" t="s">
        <v>31</v>
      </c>
      <c r="G3561" t="s">
        <v>2506</v>
      </c>
      <c r="H3561" t="s">
        <v>16</v>
      </c>
      <c r="I3561" s="26" t="s">
        <v>33</v>
      </c>
    </row>
    <row r="3562" spans="1:9" x14ac:dyDescent="0.3">
      <c r="A3562" s="24">
        <v>45373</v>
      </c>
      <c r="B3562" t="s">
        <v>28</v>
      </c>
      <c r="C3562" t="s">
        <v>29</v>
      </c>
      <c r="D3562">
        <v>0.3</v>
      </c>
      <c r="E3562" t="s">
        <v>49</v>
      </c>
      <c r="F3562" t="s">
        <v>31</v>
      </c>
      <c r="G3562" t="s">
        <v>43</v>
      </c>
      <c r="H3562" t="s">
        <v>16</v>
      </c>
      <c r="I3562" s="26" t="s">
        <v>33</v>
      </c>
    </row>
    <row r="3563" spans="1:9" x14ac:dyDescent="0.3">
      <c r="A3563" s="24">
        <v>45373</v>
      </c>
      <c r="B3563" t="s">
        <v>28</v>
      </c>
      <c r="C3563" t="s">
        <v>29</v>
      </c>
      <c r="D3563">
        <v>0.3</v>
      </c>
      <c r="E3563" t="s">
        <v>35</v>
      </c>
      <c r="F3563" t="s">
        <v>31</v>
      </c>
      <c r="G3563" t="s">
        <v>47</v>
      </c>
      <c r="H3563" t="s">
        <v>16</v>
      </c>
      <c r="I3563" s="26" t="s">
        <v>33</v>
      </c>
    </row>
    <row r="3564" spans="1:9" x14ac:dyDescent="0.3">
      <c r="A3564" s="24">
        <v>45373</v>
      </c>
      <c r="B3564" t="s">
        <v>28</v>
      </c>
      <c r="C3564" t="s">
        <v>29</v>
      </c>
      <c r="D3564">
        <v>0.45</v>
      </c>
      <c r="E3564" t="s">
        <v>44</v>
      </c>
      <c r="F3564" t="s">
        <v>31</v>
      </c>
      <c r="G3564" t="s">
        <v>579</v>
      </c>
      <c r="H3564" t="s">
        <v>16</v>
      </c>
      <c r="I3564" s="26" t="s">
        <v>33</v>
      </c>
    </row>
    <row r="3565" spans="1:9" x14ac:dyDescent="0.3">
      <c r="A3565" s="24">
        <v>45373</v>
      </c>
      <c r="B3565" t="s">
        <v>28</v>
      </c>
      <c r="C3565" t="s">
        <v>29</v>
      </c>
      <c r="D3565">
        <v>0.47</v>
      </c>
      <c r="E3565" t="s">
        <v>48</v>
      </c>
      <c r="F3565" t="s">
        <v>31</v>
      </c>
      <c r="G3565" t="s">
        <v>38</v>
      </c>
      <c r="H3565" t="s">
        <v>16</v>
      </c>
      <c r="I3565" s="26" t="s">
        <v>33</v>
      </c>
    </row>
    <row r="3566" spans="1:9" x14ac:dyDescent="0.3">
      <c r="A3566" s="24">
        <v>45373</v>
      </c>
      <c r="B3566" t="s">
        <v>28</v>
      </c>
      <c r="C3566" t="s">
        <v>29</v>
      </c>
      <c r="D3566">
        <v>0.77</v>
      </c>
      <c r="E3566" t="s">
        <v>44</v>
      </c>
      <c r="F3566" t="s">
        <v>31</v>
      </c>
      <c r="G3566" t="s">
        <v>38</v>
      </c>
      <c r="H3566" t="s">
        <v>16</v>
      </c>
      <c r="I3566" s="26" t="s">
        <v>33</v>
      </c>
    </row>
    <row r="3567" spans="1:9" x14ac:dyDescent="0.3">
      <c r="A3567" s="24">
        <v>45373</v>
      </c>
      <c r="B3567" t="s">
        <v>28</v>
      </c>
      <c r="C3567" t="s">
        <v>29</v>
      </c>
      <c r="D3567">
        <v>0.88</v>
      </c>
      <c r="E3567" t="s">
        <v>30</v>
      </c>
      <c r="F3567" t="s">
        <v>55</v>
      </c>
      <c r="G3567" t="s">
        <v>2507</v>
      </c>
      <c r="H3567" t="s">
        <v>16</v>
      </c>
      <c r="I3567" s="26" t="s">
        <v>33</v>
      </c>
    </row>
    <row r="3568" spans="1:9" x14ac:dyDescent="0.3">
      <c r="A3568" s="24">
        <v>45373</v>
      </c>
      <c r="B3568" t="s">
        <v>28</v>
      </c>
      <c r="C3568" t="s">
        <v>29</v>
      </c>
      <c r="D3568">
        <v>1.62</v>
      </c>
      <c r="E3568" t="s">
        <v>49</v>
      </c>
      <c r="F3568" t="s">
        <v>31</v>
      </c>
      <c r="G3568" t="s">
        <v>579</v>
      </c>
      <c r="H3568" t="s">
        <v>16</v>
      </c>
      <c r="I3568" s="26" t="s">
        <v>33</v>
      </c>
    </row>
    <row r="3569" spans="1:9" x14ac:dyDescent="0.3">
      <c r="A3569" s="24">
        <v>45373</v>
      </c>
      <c r="B3569" t="s">
        <v>28</v>
      </c>
      <c r="C3569" t="s">
        <v>53</v>
      </c>
      <c r="D3569">
        <v>0.25</v>
      </c>
      <c r="E3569" t="s">
        <v>54</v>
      </c>
      <c r="F3569" t="s">
        <v>55</v>
      </c>
      <c r="G3569" t="s">
        <v>56</v>
      </c>
      <c r="H3569" t="s">
        <v>16</v>
      </c>
      <c r="I3569" s="26" t="s">
        <v>33</v>
      </c>
    </row>
    <row r="3570" spans="1:9" x14ac:dyDescent="0.3">
      <c r="A3570" s="24">
        <v>45373</v>
      </c>
      <c r="B3570" t="s">
        <v>28</v>
      </c>
      <c r="C3570" t="s">
        <v>53</v>
      </c>
      <c r="D3570">
        <v>0.25</v>
      </c>
      <c r="E3570" t="s">
        <v>54</v>
      </c>
      <c r="F3570" t="s">
        <v>55</v>
      </c>
      <c r="G3570" t="s">
        <v>57</v>
      </c>
      <c r="H3570" t="s">
        <v>16</v>
      </c>
      <c r="I3570" s="26" t="s">
        <v>33</v>
      </c>
    </row>
    <row r="3571" spans="1:9" x14ac:dyDescent="0.3">
      <c r="A3571" s="24">
        <v>45373</v>
      </c>
      <c r="B3571" t="s">
        <v>28</v>
      </c>
      <c r="C3571" t="s">
        <v>58</v>
      </c>
      <c r="D3571">
        <v>1.07</v>
      </c>
      <c r="E3571" t="s">
        <v>54</v>
      </c>
      <c r="F3571" t="s">
        <v>55</v>
      </c>
      <c r="G3571" t="s">
        <v>59</v>
      </c>
      <c r="H3571" t="s">
        <v>16</v>
      </c>
      <c r="I3571" s="26" t="s">
        <v>33</v>
      </c>
    </row>
    <row r="3572" spans="1:9" x14ac:dyDescent="0.3">
      <c r="A3572" s="24">
        <v>45373</v>
      </c>
      <c r="B3572" t="s">
        <v>64</v>
      </c>
      <c r="C3572" t="s">
        <v>173</v>
      </c>
      <c r="D3572">
        <v>2.33</v>
      </c>
      <c r="E3572" t="s">
        <v>162</v>
      </c>
      <c r="F3572" t="s">
        <v>31</v>
      </c>
      <c r="G3572" t="s">
        <v>2508</v>
      </c>
      <c r="H3572" t="s">
        <v>16</v>
      </c>
      <c r="I3572" s="26" t="s">
        <v>33</v>
      </c>
    </row>
    <row r="3573" spans="1:9" x14ac:dyDescent="0.3">
      <c r="A3573" s="24">
        <v>45373</v>
      </c>
      <c r="B3573" t="s">
        <v>64</v>
      </c>
      <c r="C3573" t="s">
        <v>65</v>
      </c>
      <c r="D3573">
        <v>0.67</v>
      </c>
      <c r="E3573" t="s">
        <v>66</v>
      </c>
      <c r="F3573" t="s">
        <v>31</v>
      </c>
      <c r="G3573" t="s">
        <v>2509</v>
      </c>
      <c r="H3573" t="s">
        <v>16</v>
      </c>
      <c r="I3573" s="26" t="s">
        <v>33</v>
      </c>
    </row>
    <row r="3574" spans="1:9" x14ac:dyDescent="0.3">
      <c r="A3574" s="24">
        <v>45373</v>
      </c>
      <c r="B3574" t="s">
        <v>64</v>
      </c>
      <c r="C3574" t="s">
        <v>379</v>
      </c>
      <c r="D3574">
        <v>1.33</v>
      </c>
      <c r="E3574" t="s">
        <v>66</v>
      </c>
      <c r="F3574" t="s">
        <v>31</v>
      </c>
      <c r="G3574" t="s">
        <v>2510</v>
      </c>
      <c r="H3574" t="s">
        <v>16</v>
      </c>
      <c r="I3574" s="26" t="s">
        <v>33</v>
      </c>
    </row>
    <row r="3575" spans="1:9" x14ac:dyDescent="0.3">
      <c r="A3575" s="24">
        <v>45373</v>
      </c>
      <c r="B3575" t="s">
        <v>64</v>
      </c>
      <c r="C3575" t="s">
        <v>68</v>
      </c>
      <c r="D3575">
        <v>0.5</v>
      </c>
      <c r="E3575" t="s">
        <v>66</v>
      </c>
      <c r="F3575" t="s">
        <v>31</v>
      </c>
      <c r="G3575" t="s">
        <v>2511</v>
      </c>
      <c r="H3575" t="s">
        <v>16</v>
      </c>
      <c r="I3575" s="26" t="s">
        <v>33</v>
      </c>
    </row>
    <row r="3576" spans="1:9" x14ac:dyDescent="0.3">
      <c r="A3576" s="24">
        <v>45373</v>
      </c>
      <c r="B3576" t="s">
        <v>64</v>
      </c>
      <c r="C3576" t="s">
        <v>70</v>
      </c>
      <c r="D3576">
        <v>0.83</v>
      </c>
      <c r="E3576" t="s">
        <v>66</v>
      </c>
      <c r="F3576" t="s">
        <v>31</v>
      </c>
      <c r="G3576" t="s">
        <v>2512</v>
      </c>
      <c r="H3576" t="s">
        <v>16</v>
      </c>
      <c r="I3576" s="26" t="s">
        <v>33</v>
      </c>
    </row>
    <row r="3577" spans="1:9" x14ac:dyDescent="0.3">
      <c r="A3577" s="24">
        <v>45373</v>
      </c>
      <c r="B3577" t="s">
        <v>72</v>
      </c>
      <c r="C3577" t="s">
        <v>29</v>
      </c>
      <c r="D3577">
        <v>1.08</v>
      </c>
      <c r="E3577" t="s">
        <v>271</v>
      </c>
      <c r="F3577" t="s">
        <v>31</v>
      </c>
      <c r="H3577" t="s">
        <v>16</v>
      </c>
      <c r="I3577" s="26" t="s">
        <v>33</v>
      </c>
    </row>
    <row r="3578" spans="1:9" x14ac:dyDescent="0.3">
      <c r="A3578" s="24">
        <v>45373</v>
      </c>
      <c r="B3578" t="s">
        <v>72</v>
      </c>
      <c r="C3578" t="s">
        <v>29</v>
      </c>
      <c r="D3578">
        <v>1.57</v>
      </c>
      <c r="E3578" t="s">
        <v>358</v>
      </c>
      <c r="F3578" t="s">
        <v>31</v>
      </c>
      <c r="G3578" t="s">
        <v>2513</v>
      </c>
      <c r="H3578" t="s">
        <v>16</v>
      </c>
      <c r="I3578" s="26" t="s">
        <v>33</v>
      </c>
    </row>
    <row r="3579" spans="1:9" x14ac:dyDescent="0.3">
      <c r="A3579" s="24">
        <v>45373</v>
      </c>
      <c r="B3579" t="s">
        <v>72</v>
      </c>
      <c r="C3579" t="s">
        <v>53</v>
      </c>
      <c r="D3579">
        <v>0.45</v>
      </c>
      <c r="E3579" t="s">
        <v>54</v>
      </c>
      <c r="F3579" t="s">
        <v>55</v>
      </c>
      <c r="G3579" t="s">
        <v>2514</v>
      </c>
      <c r="H3579" t="s">
        <v>16</v>
      </c>
      <c r="I3579" s="26" t="s">
        <v>33</v>
      </c>
    </row>
    <row r="3580" spans="1:9" x14ac:dyDescent="0.3">
      <c r="A3580" s="24">
        <v>45373</v>
      </c>
      <c r="B3580" t="s">
        <v>72</v>
      </c>
      <c r="C3580" t="s">
        <v>53</v>
      </c>
      <c r="D3580">
        <v>0.6</v>
      </c>
      <c r="E3580" t="s">
        <v>54</v>
      </c>
      <c r="F3580" t="s">
        <v>55</v>
      </c>
      <c r="G3580" t="s">
        <v>2515</v>
      </c>
      <c r="H3580" t="s">
        <v>16</v>
      </c>
      <c r="I3580" s="26" t="s">
        <v>33</v>
      </c>
    </row>
    <row r="3581" spans="1:9" x14ac:dyDescent="0.3">
      <c r="A3581" s="24">
        <v>45373</v>
      </c>
      <c r="B3581" t="s">
        <v>72</v>
      </c>
      <c r="C3581" t="s">
        <v>53</v>
      </c>
      <c r="D3581">
        <v>0.63</v>
      </c>
      <c r="E3581" t="s">
        <v>54</v>
      </c>
      <c r="F3581" t="s">
        <v>55</v>
      </c>
      <c r="G3581" t="s">
        <v>2516</v>
      </c>
      <c r="H3581" t="s">
        <v>16</v>
      </c>
      <c r="I3581" s="26" t="s">
        <v>33</v>
      </c>
    </row>
    <row r="3582" spans="1:9" x14ac:dyDescent="0.3">
      <c r="A3582" s="24">
        <v>45373</v>
      </c>
      <c r="B3582" t="s">
        <v>72</v>
      </c>
      <c r="C3582" t="s">
        <v>53</v>
      </c>
      <c r="D3582">
        <v>1.17</v>
      </c>
      <c r="E3582" t="s">
        <v>54</v>
      </c>
      <c r="F3582" t="s">
        <v>55</v>
      </c>
      <c r="G3582" t="s">
        <v>2517</v>
      </c>
      <c r="H3582" t="s">
        <v>16</v>
      </c>
      <c r="I3582" s="26" t="s">
        <v>33</v>
      </c>
    </row>
    <row r="3583" spans="1:9" x14ac:dyDescent="0.3">
      <c r="A3583" s="24">
        <v>45373</v>
      </c>
      <c r="B3583" t="s">
        <v>72</v>
      </c>
      <c r="C3583" t="s">
        <v>53</v>
      </c>
      <c r="D3583">
        <v>1.43</v>
      </c>
      <c r="E3583" t="s">
        <v>54</v>
      </c>
      <c r="F3583" t="s">
        <v>55</v>
      </c>
      <c r="G3583" t="s">
        <v>2518</v>
      </c>
      <c r="H3583" t="s">
        <v>16</v>
      </c>
      <c r="I3583" s="26" t="s">
        <v>33</v>
      </c>
    </row>
    <row r="3584" spans="1:9" x14ac:dyDescent="0.3">
      <c r="A3584" s="24">
        <v>45373</v>
      </c>
      <c r="B3584" t="s">
        <v>72</v>
      </c>
      <c r="C3584" t="s">
        <v>58</v>
      </c>
      <c r="D3584">
        <v>1.07</v>
      </c>
      <c r="E3584" t="s">
        <v>54</v>
      </c>
      <c r="F3584" t="s">
        <v>55</v>
      </c>
      <c r="G3584" t="s">
        <v>111</v>
      </c>
      <c r="H3584" t="s">
        <v>16</v>
      </c>
      <c r="I3584" s="26" t="s">
        <v>33</v>
      </c>
    </row>
    <row r="3585" spans="1:9" x14ac:dyDescent="0.3">
      <c r="A3585" s="24">
        <v>45373</v>
      </c>
      <c r="B3585" t="s">
        <v>75</v>
      </c>
      <c r="C3585" t="s">
        <v>148</v>
      </c>
      <c r="D3585">
        <v>8</v>
      </c>
      <c r="E3585" t="s">
        <v>54</v>
      </c>
      <c r="F3585" t="s">
        <v>55</v>
      </c>
      <c r="G3585" t="s">
        <v>2519</v>
      </c>
      <c r="H3585" t="s">
        <v>16</v>
      </c>
      <c r="I3585" s="26" t="s">
        <v>33</v>
      </c>
    </row>
    <row r="3586" spans="1:9" x14ac:dyDescent="0.3">
      <c r="A3586" s="24">
        <v>45373</v>
      </c>
      <c r="B3586" t="s">
        <v>79</v>
      </c>
      <c r="C3586" t="s">
        <v>53</v>
      </c>
      <c r="D3586">
        <v>5</v>
      </c>
      <c r="E3586" t="s">
        <v>54</v>
      </c>
      <c r="F3586" t="s">
        <v>55</v>
      </c>
      <c r="H3586" t="s">
        <v>16</v>
      </c>
      <c r="I3586" s="26" t="s">
        <v>33</v>
      </c>
    </row>
    <row r="3587" spans="1:9" x14ac:dyDescent="0.3">
      <c r="A3587" s="24">
        <v>45373</v>
      </c>
      <c r="B3587" t="s">
        <v>79</v>
      </c>
      <c r="C3587" t="s">
        <v>442</v>
      </c>
      <c r="D3587">
        <v>2</v>
      </c>
      <c r="E3587" t="s">
        <v>54</v>
      </c>
      <c r="F3587" t="s">
        <v>55</v>
      </c>
      <c r="G3587" t="s">
        <v>2520</v>
      </c>
      <c r="H3587" t="s">
        <v>16</v>
      </c>
      <c r="I3587" s="26" t="s">
        <v>33</v>
      </c>
    </row>
    <row r="3588" spans="1:9" x14ac:dyDescent="0.3">
      <c r="A3588" s="24">
        <v>45373</v>
      </c>
      <c r="B3588" t="s">
        <v>80</v>
      </c>
      <c r="C3588" t="s">
        <v>238</v>
      </c>
      <c r="D3588">
        <v>8</v>
      </c>
      <c r="E3588" t="s">
        <v>54</v>
      </c>
      <c r="F3588" t="s">
        <v>55</v>
      </c>
      <c r="H3588" t="s">
        <v>16</v>
      </c>
      <c r="I3588" s="26" t="s">
        <v>33</v>
      </c>
    </row>
    <row r="3589" spans="1:9" x14ac:dyDescent="0.3">
      <c r="A3589" s="24">
        <v>45373</v>
      </c>
      <c r="B3589" t="s">
        <v>88</v>
      </c>
      <c r="C3589" t="s">
        <v>394</v>
      </c>
      <c r="D3589">
        <v>8</v>
      </c>
      <c r="E3589" t="s">
        <v>54</v>
      </c>
      <c r="F3589" t="s">
        <v>55</v>
      </c>
      <c r="G3589" t="s">
        <v>2521</v>
      </c>
      <c r="H3589" t="s">
        <v>16</v>
      </c>
      <c r="I3589" s="26" t="s">
        <v>33</v>
      </c>
    </row>
    <row r="3590" spans="1:9" x14ac:dyDescent="0.3">
      <c r="A3590" s="24">
        <v>45373</v>
      </c>
      <c r="B3590" t="s">
        <v>99</v>
      </c>
      <c r="C3590" t="s">
        <v>89</v>
      </c>
      <c r="D3590">
        <v>9.18</v>
      </c>
      <c r="E3590" t="s">
        <v>54</v>
      </c>
      <c r="F3590" t="s">
        <v>55</v>
      </c>
      <c r="G3590" t="s">
        <v>2522</v>
      </c>
      <c r="H3590" t="s">
        <v>16</v>
      </c>
      <c r="I3590" s="26" t="s">
        <v>33</v>
      </c>
    </row>
    <row r="3591" spans="1:9" x14ac:dyDescent="0.3">
      <c r="A3591" s="24">
        <v>45373</v>
      </c>
      <c r="B3591" t="s">
        <v>101</v>
      </c>
      <c r="C3591" t="s">
        <v>73</v>
      </c>
      <c r="D3591">
        <v>4</v>
      </c>
      <c r="E3591" t="s">
        <v>54</v>
      </c>
      <c r="F3591" t="s">
        <v>55</v>
      </c>
      <c r="G3591" t="s">
        <v>2523</v>
      </c>
      <c r="H3591" t="s">
        <v>16</v>
      </c>
      <c r="I3591" s="26" t="s">
        <v>33</v>
      </c>
    </row>
    <row r="3592" spans="1:9" x14ac:dyDescent="0.3">
      <c r="A3592" s="24">
        <v>45373</v>
      </c>
      <c r="B3592" t="s">
        <v>101</v>
      </c>
      <c r="C3592" t="s">
        <v>29</v>
      </c>
      <c r="D3592">
        <v>0.25</v>
      </c>
      <c r="E3592" t="s">
        <v>108</v>
      </c>
      <c r="F3592" t="s">
        <v>31</v>
      </c>
      <c r="G3592" t="s">
        <v>2524</v>
      </c>
      <c r="H3592" t="s">
        <v>16</v>
      </c>
      <c r="I3592" s="26" t="s">
        <v>33</v>
      </c>
    </row>
    <row r="3593" spans="1:9" x14ac:dyDescent="0.3">
      <c r="A3593" s="24">
        <v>45373</v>
      </c>
      <c r="B3593" t="s">
        <v>101</v>
      </c>
      <c r="C3593" t="s">
        <v>29</v>
      </c>
      <c r="D3593">
        <v>0.25</v>
      </c>
      <c r="E3593" t="s">
        <v>195</v>
      </c>
      <c r="F3593" t="s">
        <v>31</v>
      </c>
      <c r="G3593" t="s">
        <v>2524</v>
      </c>
      <c r="H3593" t="s">
        <v>16</v>
      </c>
      <c r="I3593" s="26" t="s">
        <v>33</v>
      </c>
    </row>
    <row r="3594" spans="1:9" x14ac:dyDescent="0.3">
      <c r="A3594" s="24">
        <v>45373</v>
      </c>
      <c r="B3594" t="s">
        <v>101</v>
      </c>
      <c r="C3594" t="s">
        <v>29</v>
      </c>
      <c r="D3594">
        <v>0.83</v>
      </c>
      <c r="E3594" t="s">
        <v>953</v>
      </c>
      <c r="F3594" t="s">
        <v>31</v>
      </c>
      <c r="G3594" t="s">
        <v>2525</v>
      </c>
      <c r="H3594" t="s">
        <v>16</v>
      </c>
      <c r="I3594" s="26" t="s">
        <v>33</v>
      </c>
    </row>
    <row r="3595" spans="1:9" x14ac:dyDescent="0.3">
      <c r="A3595" s="24">
        <v>45373</v>
      </c>
      <c r="B3595" t="s">
        <v>101</v>
      </c>
      <c r="C3595" t="s">
        <v>29</v>
      </c>
      <c r="D3595">
        <v>1.17</v>
      </c>
      <c r="E3595" t="s">
        <v>214</v>
      </c>
      <c r="F3595" t="s">
        <v>31</v>
      </c>
      <c r="G3595" t="s">
        <v>103</v>
      </c>
      <c r="H3595" t="s">
        <v>16</v>
      </c>
      <c r="I3595" s="26" t="s">
        <v>33</v>
      </c>
    </row>
    <row r="3596" spans="1:9" x14ac:dyDescent="0.3">
      <c r="A3596" s="24">
        <v>45373</v>
      </c>
      <c r="B3596" t="s">
        <v>101</v>
      </c>
      <c r="C3596" t="s">
        <v>29</v>
      </c>
      <c r="D3596">
        <v>1.17</v>
      </c>
      <c r="E3596" t="s">
        <v>105</v>
      </c>
      <c r="F3596" t="s">
        <v>31</v>
      </c>
      <c r="G3596" t="s">
        <v>1113</v>
      </c>
      <c r="H3596" t="s">
        <v>16</v>
      </c>
      <c r="I3596" s="26" t="s">
        <v>33</v>
      </c>
    </row>
    <row r="3597" spans="1:9" x14ac:dyDescent="0.3">
      <c r="A3597" s="24">
        <v>45373</v>
      </c>
      <c r="B3597" t="s">
        <v>101</v>
      </c>
      <c r="C3597" t="s">
        <v>60</v>
      </c>
      <c r="D3597">
        <v>0.17</v>
      </c>
      <c r="E3597" t="s">
        <v>953</v>
      </c>
      <c r="F3597" t="s">
        <v>31</v>
      </c>
      <c r="G3597" t="s">
        <v>774</v>
      </c>
      <c r="H3597" t="s">
        <v>16</v>
      </c>
      <c r="I3597" s="26" t="s">
        <v>33</v>
      </c>
    </row>
    <row r="3598" spans="1:9" x14ac:dyDescent="0.3">
      <c r="A3598" s="24">
        <v>45373</v>
      </c>
      <c r="B3598" t="s">
        <v>101</v>
      </c>
      <c r="C3598" t="s">
        <v>60</v>
      </c>
      <c r="D3598">
        <v>0.17</v>
      </c>
      <c r="E3598" t="s">
        <v>214</v>
      </c>
      <c r="F3598" t="s">
        <v>31</v>
      </c>
      <c r="G3598" t="s">
        <v>774</v>
      </c>
      <c r="H3598" t="s">
        <v>16</v>
      </c>
      <c r="I3598" s="26" t="s">
        <v>33</v>
      </c>
    </row>
    <row r="3599" spans="1:9" x14ac:dyDescent="0.3">
      <c r="A3599" s="24">
        <v>45373</v>
      </c>
      <c r="B3599" t="s">
        <v>113</v>
      </c>
      <c r="C3599" t="s">
        <v>29</v>
      </c>
      <c r="D3599">
        <v>0.42</v>
      </c>
      <c r="E3599" t="s">
        <v>437</v>
      </c>
      <c r="F3599" t="s">
        <v>31</v>
      </c>
      <c r="G3599" t="s">
        <v>2526</v>
      </c>
      <c r="H3599" t="s">
        <v>16</v>
      </c>
      <c r="I3599" s="26" t="s">
        <v>33</v>
      </c>
    </row>
    <row r="3600" spans="1:9" x14ac:dyDescent="0.3">
      <c r="A3600" s="24">
        <v>45373</v>
      </c>
      <c r="B3600" t="s">
        <v>113</v>
      </c>
      <c r="C3600" t="s">
        <v>53</v>
      </c>
      <c r="D3600">
        <v>0.42</v>
      </c>
      <c r="E3600" t="s">
        <v>54</v>
      </c>
      <c r="F3600" t="s">
        <v>55</v>
      </c>
      <c r="G3600" t="s">
        <v>2527</v>
      </c>
      <c r="H3600" t="s">
        <v>16</v>
      </c>
      <c r="I3600" s="26" t="s">
        <v>33</v>
      </c>
    </row>
    <row r="3601" spans="1:9" x14ac:dyDescent="0.3">
      <c r="A3601" s="24">
        <v>45373</v>
      </c>
      <c r="B3601" t="s">
        <v>113</v>
      </c>
      <c r="C3601" t="s">
        <v>148</v>
      </c>
      <c r="D3601">
        <v>1.52</v>
      </c>
      <c r="E3601" t="s">
        <v>54</v>
      </c>
      <c r="F3601" t="s">
        <v>55</v>
      </c>
      <c r="G3601" t="s">
        <v>2528</v>
      </c>
      <c r="H3601" t="s">
        <v>16</v>
      </c>
      <c r="I3601" s="26" t="s">
        <v>33</v>
      </c>
    </row>
    <row r="3602" spans="1:9" x14ac:dyDescent="0.3">
      <c r="A3602" s="24">
        <v>45373</v>
      </c>
      <c r="B3602" t="s">
        <v>113</v>
      </c>
      <c r="C3602" t="s">
        <v>58</v>
      </c>
      <c r="D3602">
        <v>1</v>
      </c>
      <c r="E3602" t="s">
        <v>54</v>
      </c>
      <c r="F3602" t="s">
        <v>55</v>
      </c>
      <c r="G3602" t="s">
        <v>111</v>
      </c>
      <c r="H3602" t="s">
        <v>16</v>
      </c>
      <c r="I3602" s="26" t="s">
        <v>33</v>
      </c>
    </row>
    <row r="3603" spans="1:9" x14ac:dyDescent="0.3">
      <c r="A3603" s="24">
        <v>45373</v>
      </c>
      <c r="B3603" t="s">
        <v>113</v>
      </c>
      <c r="C3603" t="s">
        <v>60</v>
      </c>
      <c r="D3603">
        <v>0.65</v>
      </c>
      <c r="E3603" t="s">
        <v>81</v>
      </c>
      <c r="F3603" t="s">
        <v>31</v>
      </c>
      <c r="G3603" t="s">
        <v>412</v>
      </c>
      <c r="H3603" t="s">
        <v>16</v>
      </c>
      <c r="I3603" s="26" t="s">
        <v>33</v>
      </c>
    </row>
    <row r="3604" spans="1:9" x14ac:dyDescent="0.3">
      <c r="A3604" s="24">
        <v>45373</v>
      </c>
      <c r="B3604" t="s">
        <v>113</v>
      </c>
      <c r="C3604" t="s">
        <v>442</v>
      </c>
      <c r="D3604">
        <v>4</v>
      </c>
      <c r="E3604" t="s">
        <v>54</v>
      </c>
      <c r="F3604" t="s">
        <v>55</v>
      </c>
      <c r="G3604" t="s">
        <v>2529</v>
      </c>
      <c r="H3604" t="s">
        <v>16</v>
      </c>
      <c r="I3604" s="26" t="s">
        <v>33</v>
      </c>
    </row>
    <row r="3605" spans="1:9" x14ac:dyDescent="0.3">
      <c r="A3605" s="24">
        <v>45373</v>
      </c>
      <c r="B3605" t="s">
        <v>132</v>
      </c>
      <c r="C3605" t="s">
        <v>29</v>
      </c>
      <c r="D3605">
        <v>0.33</v>
      </c>
      <c r="E3605" t="s">
        <v>81</v>
      </c>
      <c r="F3605" t="s">
        <v>31</v>
      </c>
      <c r="G3605" t="s">
        <v>2530</v>
      </c>
      <c r="H3605" t="s">
        <v>16</v>
      </c>
      <c r="I3605" s="26" t="s">
        <v>33</v>
      </c>
    </row>
    <row r="3606" spans="1:9" x14ac:dyDescent="0.3">
      <c r="A3606" s="24">
        <v>45373</v>
      </c>
      <c r="B3606" t="s">
        <v>132</v>
      </c>
      <c r="C3606" t="s">
        <v>53</v>
      </c>
      <c r="D3606">
        <v>9.17</v>
      </c>
      <c r="E3606" t="s">
        <v>54</v>
      </c>
      <c r="F3606" t="s">
        <v>55</v>
      </c>
      <c r="G3606" t="s">
        <v>2531</v>
      </c>
      <c r="H3606" t="s">
        <v>16</v>
      </c>
      <c r="I3606" s="26" t="s">
        <v>33</v>
      </c>
    </row>
    <row r="3607" spans="1:9" x14ac:dyDescent="0.3">
      <c r="A3607" s="24">
        <v>45373</v>
      </c>
      <c r="B3607" t="s">
        <v>134</v>
      </c>
      <c r="C3607" t="s">
        <v>29</v>
      </c>
      <c r="D3607">
        <v>0.33</v>
      </c>
      <c r="E3607" t="s">
        <v>139</v>
      </c>
      <c r="F3607" t="s">
        <v>31</v>
      </c>
      <c r="G3607" t="s">
        <v>2532</v>
      </c>
      <c r="H3607" t="s">
        <v>16</v>
      </c>
      <c r="I3607" s="26" t="s">
        <v>33</v>
      </c>
    </row>
    <row r="3608" spans="1:9" x14ac:dyDescent="0.3">
      <c r="A3608" s="24">
        <v>45373</v>
      </c>
      <c r="B3608" t="s">
        <v>134</v>
      </c>
      <c r="C3608" t="s">
        <v>29</v>
      </c>
      <c r="D3608">
        <v>0.88</v>
      </c>
      <c r="E3608" t="s">
        <v>137</v>
      </c>
      <c r="F3608" t="s">
        <v>31</v>
      </c>
      <c r="G3608" t="s">
        <v>2533</v>
      </c>
      <c r="H3608" t="s">
        <v>16</v>
      </c>
      <c r="I3608" s="26" t="s">
        <v>33</v>
      </c>
    </row>
    <row r="3609" spans="1:9" x14ac:dyDescent="0.3">
      <c r="A3609" s="24">
        <v>45373</v>
      </c>
      <c r="B3609" t="s">
        <v>134</v>
      </c>
      <c r="C3609" t="s">
        <v>29</v>
      </c>
      <c r="D3609">
        <v>1.1499999999999999</v>
      </c>
      <c r="E3609" t="s">
        <v>139</v>
      </c>
      <c r="F3609" t="s">
        <v>31</v>
      </c>
      <c r="G3609" t="s">
        <v>2534</v>
      </c>
      <c r="H3609" t="s">
        <v>16</v>
      </c>
      <c r="I3609" s="26" t="s">
        <v>33</v>
      </c>
    </row>
    <row r="3610" spans="1:9" x14ac:dyDescent="0.3">
      <c r="A3610" s="24">
        <v>45373</v>
      </c>
      <c r="B3610" t="s">
        <v>134</v>
      </c>
      <c r="C3610" t="s">
        <v>29</v>
      </c>
      <c r="D3610">
        <v>1.45</v>
      </c>
      <c r="E3610" t="s">
        <v>420</v>
      </c>
      <c r="F3610" t="s">
        <v>31</v>
      </c>
      <c r="G3610" t="s">
        <v>427</v>
      </c>
      <c r="H3610" t="s">
        <v>16</v>
      </c>
      <c r="I3610" s="26" t="s">
        <v>33</v>
      </c>
    </row>
    <row r="3611" spans="1:9" x14ac:dyDescent="0.3">
      <c r="A3611" s="24">
        <v>45373</v>
      </c>
      <c r="B3611" t="s">
        <v>134</v>
      </c>
      <c r="C3611" t="s">
        <v>142</v>
      </c>
      <c r="D3611">
        <v>0.78</v>
      </c>
      <c r="E3611" t="s">
        <v>143</v>
      </c>
      <c r="F3611" t="s">
        <v>31</v>
      </c>
      <c r="G3611" t="s">
        <v>2535</v>
      </c>
      <c r="H3611" t="s">
        <v>16</v>
      </c>
      <c r="I3611" s="26" t="s">
        <v>33</v>
      </c>
    </row>
    <row r="3612" spans="1:9" x14ac:dyDescent="0.3">
      <c r="A3612" s="24">
        <v>45373</v>
      </c>
      <c r="B3612" t="s">
        <v>134</v>
      </c>
      <c r="C3612" t="s">
        <v>142</v>
      </c>
      <c r="D3612">
        <v>1.35</v>
      </c>
      <c r="E3612" t="s">
        <v>143</v>
      </c>
      <c r="F3612" t="s">
        <v>31</v>
      </c>
      <c r="G3612" t="s">
        <v>2536</v>
      </c>
      <c r="H3612" t="s">
        <v>16</v>
      </c>
      <c r="I3612" s="26" t="s">
        <v>33</v>
      </c>
    </row>
    <row r="3613" spans="1:9" x14ac:dyDescent="0.3">
      <c r="A3613" s="24">
        <v>45373</v>
      </c>
      <c r="B3613" t="s">
        <v>134</v>
      </c>
      <c r="C3613" t="s">
        <v>53</v>
      </c>
      <c r="D3613">
        <v>0.5</v>
      </c>
      <c r="E3613" t="s">
        <v>54</v>
      </c>
      <c r="F3613" t="s">
        <v>55</v>
      </c>
      <c r="G3613" t="s">
        <v>110</v>
      </c>
      <c r="H3613" t="s">
        <v>16</v>
      </c>
      <c r="I3613" s="26" t="s">
        <v>33</v>
      </c>
    </row>
    <row r="3614" spans="1:9" x14ac:dyDescent="0.3">
      <c r="A3614" s="24">
        <v>45373</v>
      </c>
      <c r="B3614" t="s">
        <v>134</v>
      </c>
      <c r="C3614" t="s">
        <v>148</v>
      </c>
      <c r="D3614">
        <v>0.47</v>
      </c>
      <c r="E3614" t="s">
        <v>54</v>
      </c>
      <c r="F3614" t="s">
        <v>55</v>
      </c>
      <c r="G3614" t="s">
        <v>2537</v>
      </c>
      <c r="H3614" t="s">
        <v>16</v>
      </c>
      <c r="I3614" s="26" t="s">
        <v>33</v>
      </c>
    </row>
    <row r="3615" spans="1:9" x14ac:dyDescent="0.3">
      <c r="A3615" s="24">
        <v>45373</v>
      </c>
      <c r="B3615" t="s">
        <v>134</v>
      </c>
      <c r="C3615" t="s">
        <v>58</v>
      </c>
      <c r="D3615">
        <v>1.08</v>
      </c>
      <c r="E3615" t="s">
        <v>54</v>
      </c>
      <c r="F3615" t="s">
        <v>55</v>
      </c>
      <c r="G3615" t="s">
        <v>111</v>
      </c>
      <c r="H3615" t="s">
        <v>16</v>
      </c>
      <c r="I3615" s="26" t="s">
        <v>33</v>
      </c>
    </row>
    <row r="3616" spans="1:9" x14ac:dyDescent="0.3">
      <c r="A3616" s="24">
        <v>45373</v>
      </c>
      <c r="B3616" t="s">
        <v>150</v>
      </c>
      <c r="C3616" t="s">
        <v>29</v>
      </c>
      <c r="D3616">
        <v>7.0000000000000007E-2</v>
      </c>
      <c r="E3616" t="s">
        <v>151</v>
      </c>
      <c r="F3616" t="s">
        <v>31</v>
      </c>
      <c r="G3616" t="s">
        <v>2538</v>
      </c>
      <c r="H3616" t="s">
        <v>16</v>
      </c>
      <c r="I3616" s="26" t="s">
        <v>33</v>
      </c>
    </row>
    <row r="3617" spans="1:9" x14ac:dyDescent="0.3">
      <c r="A3617" s="24">
        <v>45373</v>
      </c>
      <c r="B3617" t="s">
        <v>150</v>
      </c>
      <c r="C3617" t="s">
        <v>29</v>
      </c>
      <c r="D3617">
        <v>0.68</v>
      </c>
      <c r="E3617" t="s">
        <v>437</v>
      </c>
      <c r="F3617" t="s">
        <v>31</v>
      </c>
      <c r="G3617" t="s">
        <v>152</v>
      </c>
      <c r="H3617" t="s">
        <v>16</v>
      </c>
      <c r="I3617" s="26" t="s">
        <v>33</v>
      </c>
    </row>
    <row r="3618" spans="1:9" x14ac:dyDescent="0.3">
      <c r="A3618" s="24">
        <v>45373</v>
      </c>
      <c r="B3618" t="s">
        <v>150</v>
      </c>
      <c r="C3618" t="s">
        <v>29</v>
      </c>
      <c r="D3618">
        <v>0.98</v>
      </c>
      <c r="E3618" t="s">
        <v>151</v>
      </c>
      <c r="F3618" t="s">
        <v>31</v>
      </c>
      <c r="G3618" t="s">
        <v>2539</v>
      </c>
      <c r="H3618" t="s">
        <v>16</v>
      </c>
      <c r="I3618" s="26" t="s">
        <v>33</v>
      </c>
    </row>
    <row r="3619" spans="1:9" x14ac:dyDescent="0.3">
      <c r="A3619" s="24">
        <v>45373</v>
      </c>
      <c r="B3619" t="s">
        <v>150</v>
      </c>
      <c r="C3619" t="s">
        <v>29</v>
      </c>
      <c r="D3619">
        <v>1.42</v>
      </c>
      <c r="E3619" t="s">
        <v>437</v>
      </c>
      <c r="F3619" t="s">
        <v>31</v>
      </c>
      <c r="G3619" t="s">
        <v>2001</v>
      </c>
      <c r="H3619" t="s">
        <v>16</v>
      </c>
      <c r="I3619" s="26" t="s">
        <v>33</v>
      </c>
    </row>
    <row r="3620" spans="1:9" x14ac:dyDescent="0.3">
      <c r="A3620" s="24">
        <v>45373</v>
      </c>
      <c r="B3620" t="s">
        <v>150</v>
      </c>
      <c r="C3620" t="s">
        <v>29</v>
      </c>
      <c r="D3620">
        <v>1.55</v>
      </c>
      <c r="E3620" t="s">
        <v>437</v>
      </c>
      <c r="F3620" t="s">
        <v>31</v>
      </c>
      <c r="G3620" t="s">
        <v>2540</v>
      </c>
      <c r="H3620" t="s">
        <v>16</v>
      </c>
      <c r="I3620" s="26" t="s">
        <v>33</v>
      </c>
    </row>
    <row r="3621" spans="1:9" x14ac:dyDescent="0.3">
      <c r="A3621" s="24">
        <v>45373</v>
      </c>
      <c r="B3621" t="s">
        <v>150</v>
      </c>
      <c r="C3621" t="s">
        <v>53</v>
      </c>
      <c r="D3621">
        <v>0.23</v>
      </c>
      <c r="E3621" t="s">
        <v>54</v>
      </c>
      <c r="F3621" t="s">
        <v>55</v>
      </c>
      <c r="G3621" t="s">
        <v>1418</v>
      </c>
      <c r="H3621" t="s">
        <v>16</v>
      </c>
      <c r="I3621" s="26" t="s">
        <v>33</v>
      </c>
    </row>
    <row r="3622" spans="1:9" x14ac:dyDescent="0.3">
      <c r="A3622" s="24">
        <v>45373</v>
      </c>
      <c r="B3622" t="s">
        <v>150</v>
      </c>
      <c r="C3622" t="s">
        <v>159</v>
      </c>
      <c r="D3622">
        <v>0.75</v>
      </c>
      <c r="E3622" t="s">
        <v>114</v>
      </c>
      <c r="F3622" t="s">
        <v>31</v>
      </c>
      <c r="G3622" t="s">
        <v>1261</v>
      </c>
      <c r="H3622" t="s">
        <v>16</v>
      </c>
      <c r="I3622" s="26" t="s">
        <v>33</v>
      </c>
    </row>
    <row r="3623" spans="1:9" x14ac:dyDescent="0.3">
      <c r="A3623" s="24">
        <v>45373</v>
      </c>
      <c r="B3623" t="s">
        <v>150</v>
      </c>
      <c r="C3623" t="s">
        <v>58</v>
      </c>
      <c r="D3623">
        <v>1.05</v>
      </c>
      <c r="E3623" t="s">
        <v>54</v>
      </c>
      <c r="F3623" t="s">
        <v>55</v>
      </c>
      <c r="G3623" t="s">
        <v>59</v>
      </c>
      <c r="H3623" t="s">
        <v>16</v>
      </c>
      <c r="I3623" s="26" t="s">
        <v>33</v>
      </c>
    </row>
    <row r="3624" spans="1:9" x14ac:dyDescent="0.3">
      <c r="A3624" s="24">
        <v>45373</v>
      </c>
      <c r="B3624" t="s">
        <v>150</v>
      </c>
      <c r="C3624" t="s">
        <v>60</v>
      </c>
      <c r="D3624">
        <v>0.62</v>
      </c>
      <c r="E3624" t="s">
        <v>156</v>
      </c>
      <c r="F3624" t="s">
        <v>31</v>
      </c>
      <c r="G3624" t="s">
        <v>2541</v>
      </c>
      <c r="H3624" t="s">
        <v>16</v>
      </c>
      <c r="I3624" s="26" t="s">
        <v>33</v>
      </c>
    </row>
    <row r="3625" spans="1:9" x14ac:dyDescent="0.3">
      <c r="A3625" s="24">
        <v>45373</v>
      </c>
      <c r="B3625" t="s">
        <v>150</v>
      </c>
      <c r="C3625" t="s">
        <v>60</v>
      </c>
      <c r="D3625">
        <v>1.25</v>
      </c>
      <c r="E3625" t="s">
        <v>162</v>
      </c>
      <c r="F3625" t="s">
        <v>31</v>
      </c>
      <c r="G3625" t="s">
        <v>2542</v>
      </c>
      <c r="H3625" t="s">
        <v>16</v>
      </c>
      <c r="I3625" s="26" t="s">
        <v>33</v>
      </c>
    </row>
    <row r="3626" spans="1:9" x14ac:dyDescent="0.3">
      <c r="A3626" s="24">
        <v>45373</v>
      </c>
      <c r="B3626" t="s">
        <v>164</v>
      </c>
      <c r="C3626" t="s">
        <v>29</v>
      </c>
      <c r="D3626">
        <v>0.23</v>
      </c>
      <c r="E3626" t="s">
        <v>102</v>
      </c>
      <c r="F3626" t="s">
        <v>31</v>
      </c>
      <c r="H3626" t="s">
        <v>16</v>
      </c>
      <c r="I3626" s="26" t="s">
        <v>33</v>
      </c>
    </row>
    <row r="3627" spans="1:9" x14ac:dyDescent="0.3">
      <c r="A3627" s="24">
        <v>45373</v>
      </c>
      <c r="B3627" t="s">
        <v>164</v>
      </c>
      <c r="C3627" t="s">
        <v>29</v>
      </c>
      <c r="D3627">
        <v>1.1200000000000001</v>
      </c>
      <c r="E3627" t="s">
        <v>227</v>
      </c>
      <c r="F3627" t="s">
        <v>31</v>
      </c>
      <c r="G3627" t="s">
        <v>2543</v>
      </c>
      <c r="H3627" t="s">
        <v>16</v>
      </c>
      <c r="I3627" s="26" t="s">
        <v>33</v>
      </c>
    </row>
    <row r="3628" spans="1:9" x14ac:dyDescent="0.3">
      <c r="A3628" s="24">
        <v>45373</v>
      </c>
      <c r="B3628" t="s">
        <v>164</v>
      </c>
      <c r="C3628" t="s">
        <v>29</v>
      </c>
      <c r="D3628">
        <v>1.4</v>
      </c>
      <c r="E3628" t="s">
        <v>104</v>
      </c>
      <c r="F3628" t="s">
        <v>31</v>
      </c>
      <c r="G3628" t="s">
        <v>2544</v>
      </c>
      <c r="H3628" t="s">
        <v>16</v>
      </c>
      <c r="I3628" s="26" t="s">
        <v>33</v>
      </c>
    </row>
    <row r="3629" spans="1:9" x14ac:dyDescent="0.3">
      <c r="A3629" s="24">
        <v>45373</v>
      </c>
      <c r="B3629" t="s">
        <v>164</v>
      </c>
      <c r="C3629" t="s">
        <v>29</v>
      </c>
      <c r="D3629">
        <v>1.9</v>
      </c>
      <c r="E3629" t="s">
        <v>229</v>
      </c>
      <c r="F3629" t="s">
        <v>31</v>
      </c>
      <c r="H3629" t="s">
        <v>16</v>
      </c>
      <c r="I3629" s="26" t="s">
        <v>33</v>
      </c>
    </row>
    <row r="3630" spans="1:9" x14ac:dyDescent="0.3">
      <c r="A3630" s="24">
        <v>45373</v>
      </c>
      <c r="B3630" t="s">
        <v>164</v>
      </c>
      <c r="C3630" t="s">
        <v>53</v>
      </c>
      <c r="D3630">
        <v>0.38</v>
      </c>
      <c r="E3630" t="s">
        <v>54</v>
      </c>
      <c r="F3630" t="s">
        <v>55</v>
      </c>
      <c r="G3630" t="s">
        <v>2545</v>
      </c>
      <c r="H3630" t="s">
        <v>16</v>
      </c>
      <c r="I3630" s="26" t="s">
        <v>33</v>
      </c>
    </row>
    <row r="3631" spans="1:9" x14ac:dyDescent="0.3">
      <c r="A3631" s="24">
        <v>45373</v>
      </c>
      <c r="B3631" t="s">
        <v>164</v>
      </c>
      <c r="C3631" t="s">
        <v>53</v>
      </c>
      <c r="D3631">
        <v>0.67</v>
      </c>
      <c r="E3631" t="s">
        <v>54</v>
      </c>
      <c r="F3631" t="s">
        <v>55</v>
      </c>
      <c r="G3631" t="s">
        <v>2546</v>
      </c>
      <c r="H3631" t="s">
        <v>16</v>
      </c>
      <c r="I3631" s="26" t="s">
        <v>33</v>
      </c>
    </row>
    <row r="3632" spans="1:9" x14ac:dyDescent="0.3">
      <c r="A3632" s="24">
        <v>45373</v>
      </c>
      <c r="B3632" t="s">
        <v>164</v>
      </c>
      <c r="C3632" t="s">
        <v>53</v>
      </c>
      <c r="D3632">
        <v>0.82</v>
      </c>
      <c r="E3632" t="s">
        <v>54</v>
      </c>
      <c r="F3632" t="s">
        <v>55</v>
      </c>
      <c r="G3632" t="s">
        <v>2547</v>
      </c>
      <c r="H3632" t="s">
        <v>16</v>
      </c>
      <c r="I3632" s="26" t="s">
        <v>33</v>
      </c>
    </row>
    <row r="3633" spans="1:9" x14ac:dyDescent="0.3">
      <c r="A3633" s="24">
        <v>45373</v>
      </c>
      <c r="B3633" t="s">
        <v>164</v>
      </c>
      <c r="C3633" t="s">
        <v>148</v>
      </c>
      <c r="D3633">
        <v>1.3</v>
      </c>
      <c r="E3633" t="s">
        <v>54</v>
      </c>
      <c r="F3633" t="s">
        <v>55</v>
      </c>
      <c r="G3633" t="s">
        <v>2548</v>
      </c>
      <c r="H3633" t="s">
        <v>16</v>
      </c>
      <c r="I3633" s="26" t="s">
        <v>33</v>
      </c>
    </row>
    <row r="3634" spans="1:9" x14ac:dyDescent="0.3">
      <c r="A3634" s="24">
        <v>45373</v>
      </c>
      <c r="B3634" t="s">
        <v>169</v>
      </c>
      <c r="C3634" t="s">
        <v>29</v>
      </c>
      <c r="D3634">
        <v>8.15</v>
      </c>
      <c r="E3634" t="s">
        <v>170</v>
      </c>
      <c r="F3634" t="s">
        <v>31</v>
      </c>
      <c r="H3634" t="s">
        <v>16</v>
      </c>
      <c r="I3634" s="26" t="s">
        <v>33</v>
      </c>
    </row>
    <row r="3635" spans="1:9" x14ac:dyDescent="0.3">
      <c r="A3635" s="24">
        <v>45373</v>
      </c>
      <c r="B3635" t="s">
        <v>175</v>
      </c>
      <c r="C3635" t="s">
        <v>29</v>
      </c>
      <c r="D3635">
        <v>0.45</v>
      </c>
      <c r="E3635" t="s">
        <v>179</v>
      </c>
      <c r="F3635" t="s">
        <v>31</v>
      </c>
      <c r="H3635" t="s">
        <v>16</v>
      </c>
      <c r="I3635" s="26" t="s">
        <v>33</v>
      </c>
    </row>
    <row r="3636" spans="1:9" x14ac:dyDescent="0.3">
      <c r="A3636" s="24">
        <v>45373</v>
      </c>
      <c r="B3636" t="s">
        <v>175</v>
      </c>
      <c r="C3636" t="s">
        <v>29</v>
      </c>
      <c r="D3636">
        <v>0.5</v>
      </c>
      <c r="E3636" t="s">
        <v>177</v>
      </c>
      <c r="F3636" t="s">
        <v>31</v>
      </c>
      <c r="H3636" t="s">
        <v>16</v>
      </c>
      <c r="I3636" s="26" t="s">
        <v>33</v>
      </c>
    </row>
    <row r="3637" spans="1:9" x14ac:dyDescent="0.3">
      <c r="A3637" s="24">
        <v>45373</v>
      </c>
      <c r="B3637" t="s">
        <v>175</v>
      </c>
      <c r="C3637" t="s">
        <v>29</v>
      </c>
      <c r="D3637">
        <v>0.5</v>
      </c>
      <c r="E3637" t="s">
        <v>178</v>
      </c>
      <c r="F3637" t="s">
        <v>31</v>
      </c>
      <c r="H3637" t="s">
        <v>16</v>
      </c>
      <c r="I3637" s="26" t="s">
        <v>33</v>
      </c>
    </row>
    <row r="3638" spans="1:9" x14ac:dyDescent="0.3">
      <c r="A3638" s="24">
        <v>45373</v>
      </c>
      <c r="B3638" t="s">
        <v>175</v>
      </c>
      <c r="C3638" t="s">
        <v>29</v>
      </c>
      <c r="D3638">
        <v>1.4</v>
      </c>
      <c r="E3638" t="s">
        <v>185</v>
      </c>
      <c r="F3638" t="s">
        <v>31</v>
      </c>
      <c r="G3638" t="s">
        <v>2549</v>
      </c>
      <c r="H3638" t="s">
        <v>16</v>
      </c>
      <c r="I3638" s="26" t="s">
        <v>33</v>
      </c>
    </row>
    <row r="3639" spans="1:9" x14ac:dyDescent="0.3">
      <c r="A3639" s="24">
        <v>45373</v>
      </c>
      <c r="B3639" t="s">
        <v>175</v>
      </c>
      <c r="C3639" t="s">
        <v>29</v>
      </c>
      <c r="D3639">
        <v>1.5</v>
      </c>
      <c r="E3639" t="s">
        <v>182</v>
      </c>
      <c r="F3639" t="s">
        <v>31</v>
      </c>
      <c r="H3639" t="s">
        <v>16</v>
      </c>
      <c r="I3639" s="26" t="s">
        <v>33</v>
      </c>
    </row>
    <row r="3640" spans="1:9" x14ac:dyDescent="0.3">
      <c r="A3640" s="24">
        <v>45373</v>
      </c>
      <c r="B3640" t="s">
        <v>175</v>
      </c>
      <c r="C3640" t="s">
        <v>29</v>
      </c>
      <c r="D3640">
        <v>2.0299999999999998</v>
      </c>
      <c r="E3640" t="s">
        <v>127</v>
      </c>
      <c r="F3640" t="s">
        <v>31</v>
      </c>
      <c r="H3640" t="s">
        <v>16</v>
      </c>
      <c r="I3640" s="26" t="s">
        <v>33</v>
      </c>
    </row>
    <row r="3641" spans="1:9" x14ac:dyDescent="0.3">
      <c r="A3641" s="24">
        <v>45373</v>
      </c>
      <c r="B3641" t="s">
        <v>175</v>
      </c>
      <c r="C3641" t="s">
        <v>53</v>
      </c>
      <c r="D3641">
        <v>0.5</v>
      </c>
      <c r="E3641" t="s">
        <v>54</v>
      </c>
      <c r="F3641" t="s">
        <v>55</v>
      </c>
      <c r="G3641" t="s">
        <v>2550</v>
      </c>
      <c r="H3641" t="s">
        <v>16</v>
      </c>
      <c r="I3641" s="26" t="s">
        <v>33</v>
      </c>
    </row>
    <row r="3642" spans="1:9" x14ac:dyDescent="0.3">
      <c r="A3642" s="24">
        <v>45373</v>
      </c>
      <c r="B3642" t="s">
        <v>175</v>
      </c>
      <c r="C3642" t="s">
        <v>53</v>
      </c>
      <c r="D3642">
        <v>0.62</v>
      </c>
      <c r="E3642" t="s">
        <v>54</v>
      </c>
      <c r="F3642" t="s">
        <v>55</v>
      </c>
      <c r="G3642" t="s">
        <v>2551</v>
      </c>
      <c r="H3642" t="s">
        <v>16</v>
      </c>
      <c r="I3642" s="26" t="s">
        <v>33</v>
      </c>
    </row>
    <row r="3643" spans="1:9" x14ac:dyDescent="0.3">
      <c r="A3643" s="24">
        <v>45373</v>
      </c>
      <c r="B3643" t="s">
        <v>175</v>
      </c>
      <c r="C3643" t="s">
        <v>148</v>
      </c>
      <c r="D3643">
        <v>0.5</v>
      </c>
      <c r="E3643" t="s">
        <v>54</v>
      </c>
      <c r="F3643" t="s">
        <v>55</v>
      </c>
      <c r="G3643" t="s">
        <v>2552</v>
      </c>
      <c r="H3643" t="s">
        <v>16</v>
      </c>
      <c r="I3643" s="26" t="s">
        <v>33</v>
      </c>
    </row>
    <row r="3644" spans="1:9" x14ac:dyDescent="0.3">
      <c r="A3644" s="24">
        <v>45373</v>
      </c>
      <c r="B3644" t="s">
        <v>188</v>
      </c>
      <c r="C3644" t="s">
        <v>454</v>
      </c>
      <c r="D3644">
        <v>8</v>
      </c>
      <c r="E3644" t="s">
        <v>54</v>
      </c>
      <c r="F3644" t="s">
        <v>55</v>
      </c>
      <c r="G3644" t="s">
        <v>2015</v>
      </c>
      <c r="H3644" t="s">
        <v>16</v>
      </c>
      <c r="I3644" s="26" t="s">
        <v>33</v>
      </c>
    </row>
    <row r="3645" spans="1:9" x14ac:dyDescent="0.3">
      <c r="A3645" s="24">
        <v>45373</v>
      </c>
      <c r="B3645" t="s">
        <v>190</v>
      </c>
      <c r="C3645" t="s">
        <v>89</v>
      </c>
      <c r="D3645">
        <v>8</v>
      </c>
      <c r="E3645" t="s">
        <v>54</v>
      </c>
      <c r="F3645" t="s">
        <v>55</v>
      </c>
      <c r="H3645" t="s">
        <v>16</v>
      </c>
      <c r="I3645" s="26" t="s">
        <v>33</v>
      </c>
    </row>
    <row r="3646" spans="1:9" x14ac:dyDescent="0.3">
      <c r="A3646" s="24">
        <v>45373</v>
      </c>
      <c r="B3646" t="s">
        <v>191</v>
      </c>
      <c r="C3646" t="s">
        <v>89</v>
      </c>
      <c r="D3646">
        <v>8</v>
      </c>
      <c r="E3646" t="s">
        <v>54</v>
      </c>
      <c r="F3646" t="s">
        <v>55</v>
      </c>
      <c r="G3646" t="s">
        <v>2153</v>
      </c>
      <c r="H3646" t="s">
        <v>16</v>
      </c>
      <c r="I3646" s="26" t="s">
        <v>33</v>
      </c>
    </row>
    <row r="3647" spans="1:9" x14ac:dyDescent="0.3">
      <c r="A3647" s="24">
        <v>45373</v>
      </c>
      <c r="B3647" t="s">
        <v>193</v>
      </c>
      <c r="C3647" t="s">
        <v>29</v>
      </c>
      <c r="D3647">
        <v>0.62</v>
      </c>
      <c r="E3647" t="s">
        <v>205</v>
      </c>
      <c r="F3647" t="s">
        <v>31</v>
      </c>
      <c r="G3647" t="s">
        <v>2553</v>
      </c>
      <c r="H3647" t="s">
        <v>16</v>
      </c>
      <c r="I3647" s="26" t="s">
        <v>33</v>
      </c>
    </row>
    <row r="3648" spans="1:9" x14ac:dyDescent="0.3">
      <c r="A3648" s="24">
        <v>45373</v>
      </c>
      <c r="B3648" t="s">
        <v>193</v>
      </c>
      <c r="C3648" t="s">
        <v>29</v>
      </c>
      <c r="D3648">
        <v>0.93</v>
      </c>
      <c r="E3648" t="s">
        <v>953</v>
      </c>
      <c r="F3648" t="s">
        <v>31</v>
      </c>
      <c r="G3648" t="s">
        <v>2554</v>
      </c>
      <c r="H3648" t="s">
        <v>16</v>
      </c>
      <c r="I3648" s="26" t="s">
        <v>33</v>
      </c>
    </row>
    <row r="3649" spans="1:9" x14ac:dyDescent="0.3">
      <c r="A3649" s="24">
        <v>45373</v>
      </c>
      <c r="B3649" t="s">
        <v>193</v>
      </c>
      <c r="C3649" t="s">
        <v>29</v>
      </c>
      <c r="D3649">
        <v>1</v>
      </c>
      <c r="E3649" t="s">
        <v>953</v>
      </c>
      <c r="F3649" t="s">
        <v>31</v>
      </c>
      <c r="G3649" t="s">
        <v>2555</v>
      </c>
      <c r="H3649" t="s">
        <v>16</v>
      </c>
      <c r="I3649" s="26" t="s">
        <v>33</v>
      </c>
    </row>
    <row r="3650" spans="1:9" x14ac:dyDescent="0.3">
      <c r="A3650" s="24">
        <v>45373</v>
      </c>
      <c r="B3650" t="s">
        <v>193</v>
      </c>
      <c r="C3650" t="s">
        <v>197</v>
      </c>
      <c r="D3650">
        <v>0.17</v>
      </c>
      <c r="E3650" t="s">
        <v>54</v>
      </c>
      <c r="F3650" t="s">
        <v>55</v>
      </c>
      <c r="G3650" t="s">
        <v>2556</v>
      </c>
      <c r="H3650" t="s">
        <v>16</v>
      </c>
      <c r="I3650" s="26" t="s">
        <v>33</v>
      </c>
    </row>
    <row r="3651" spans="1:9" x14ac:dyDescent="0.3">
      <c r="A3651" s="24">
        <v>45373</v>
      </c>
      <c r="B3651" t="s">
        <v>193</v>
      </c>
      <c r="C3651" t="s">
        <v>197</v>
      </c>
      <c r="D3651">
        <v>0.33</v>
      </c>
      <c r="E3651" t="s">
        <v>54</v>
      </c>
      <c r="F3651" t="s">
        <v>55</v>
      </c>
      <c r="G3651" t="s">
        <v>2557</v>
      </c>
      <c r="H3651" t="s">
        <v>16</v>
      </c>
      <c r="I3651" s="26" t="s">
        <v>33</v>
      </c>
    </row>
    <row r="3652" spans="1:9" x14ac:dyDescent="0.3">
      <c r="A3652" s="24">
        <v>45373</v>
      </c>
      <c r="B3652" t="s">
        <v>193</v>
      </c>
      <c r="C3652" t="s">
        <v>202</v>
      </c>
      <c r="D3652">
        <v>0.18</v>
      </c>
      <c r="E3652" t="s">
        <v>106</v>
      </c>
      <c r="F3652" t="s">
        <v>31</v>
      </c>
      <c r="G3652" t="s">
        <v>2558</v>
      </c>
      <c r="H3652" t="s">
        <v>16</v>
      </c>
      <c r="I3652" s="26" t="s">
        <v>33</v>
      </c>
    </row>
    <row r="3653" spans="1:9" x14ac:dyDescent="0.3">
      <c r="A3653" s="24">
        <v>45373</v>
      </c>
      <c r="B3653" t="s">
        <v>193</v>
      </c>
      <c r="C3653" t="s">
        <v>202</v>
      </c>
      <c r="D3653">
        <v>0.37</v>
      </c>
      <c r="E3653" t="s">
        <v>203</v>
      </c>
      <c r="F3653" t="s">
        <v>31</v>
      </c>
      <c r="G3653" t="s">
        <v>2559</v>
      </c>
      <c r="H3653" t="s">
        <v>16</v>
      </c>
      <c r="I3653" s="26" t="s">
        <v>33</v>
      </c>
    </row>
    <row r="3654" spans="1:9" x14ac:dyDescent="0.3">
      <c r="A3654" s="24">
        <v>45373</v>
      </c>
      <c r="B3654" t="s">
        <v>193</v>
      </c>
      <c r="C3654" t="s">
        <v>202</v>
      </c>
      <c r="D3654">
        <v>0.67</v>
      </c>
      <c r="E3654" t="s">
        <v>953</v>
      </c>
      <c r="F3654" t="s">
        <v>31</v>
      </c>
      <c r="G3654" t="s">
        <v>2560</v>
      </c>
      <c r="H3654" t="s">
        <v>16</v>
      </c>
      <c r="I3654" s="26" t="s">
        <v>33</v>
      </c>
    </row>
    <row r="3655" spans="1:9" x14ac:dyDescent="0.3">
      <c r="A3655" s="24">
        <v>45373</v>
      </c>
      <c r="B3655" t="s">
        <v>193</v>
      </c>
      <c r="C3655" t="s">
        <v>53</v>
      </c>
      <c r="D3655">
        <v>0.18</v>
      </c>
      <c r="E3655" t="s">
        <v>54</v>
      </c>
      <c r="F3655" t="s">
        <v>55</v>
      </c>
      <c r="G3655" t="s">
        <v>243</v>
      </c>
      <c r="H3655" t="s">
        <v>16</v>
      </c>
      <c r="I3655" s="26" t="s">
        <v>33</v>
      </c>
    </row>
    <row r="3656" spans="1:9" x14ac:dyDescent="0.3">
      <c r="A3656" s="24">
        <v>45373</v>
      </c>
      <c r="B3656" t="s">
        <v>193</v>
      </c>
      <c r="C3656" t="s">
        <v>53</v>
      </c>
      <c r="D3656">
        <v>0.45</v>
      </c>
      <c r="E3656" t="s">
        <v>54</v>
      </c>
      <c r="F3656" t="s">
        <v>55</v>
      </c>
      <c r="G3656" t="s">
        <v>2561</v>
      </c>
      <c r="H3656" t="s">
        <v>16</v>
      </c>
      <c r="I3656" s="26" t="s">
        <v>33</v>
      </c>
    </row>
    <row r="3657" spans="1:9" x14ac:dyDescent="0.3">
      <c r="A3657" s="24">
        <v>45373</v>
      </c>
      <c r="B3657" t="s">
        <v>193</v>
      </c>
      <c r="C3657" t="s">
        <v>148</v>
      </c>
      <c r="D3657">
        <v>0.93</v>
      </c>
      <c r="E3657" t="s">
        <v>54</v>
      </c>
      <c r="F3657" t="s">
        <v>55</v>
      </c>
      <c r="G3657" t="s">
        <v>2562</v>
      </c>
      <c r="H3657" t="s">
        <v>16</v>
      </c>
      <c r="I3657" s="26" t="s">
        <v>33</v>
      </c>
    </row>
    <row r="3658" spans="1:9" x14ac:dyDescent="0.3">
      <c r="A3658" s="24">
        <v>45373</v>
      </c>
      <c r="B3658" t="s">
        <v>193</v>
      </c>
      <c r="C3658" t="s">
        <v>60</v>
      </c>
      <c r="D3658">
        <v>0.23</v>
      </c>
      <c r="E3658" t="s">
        <v>162</v>
      </c>
      <c r="F3658" t="s">
        <v>31</v>
      </c>
      <c r="G3658" t="s">
        <v>2563</v>
      </c>
      <c r="H3658" t="s">
        <v>16</v>
      </c>
      <c r="I3658" s="26" t="s">
        <v>33</v>
      </c>
    </row>
    <row r="3659" spans="1:9" x14ac:dyDescent="0.3">
      <c r="A3659" s="24">
        <v>45373</v>
      </c>
      <c r="B3659" t="s">
        <v>193</v>
      </c>
      <c r="C3659" t="s">
        <v>60</v>
      </c>
      <c r="D3659">
        <v>0.97</v>
      </c>
      <c r="E3659" t="s">
        <v>162</v>
      </c>
      <c r="F3659" t="s">
        <v>31</v>
      </c>
      <c r="G3659" t="s">
        <v>2564</v>
      </c>
      <c r="H3659" t="s">
        <v>16</v>
      </c>
      <c r="I3659" s="26" t="s">
        <v>33</v>
      </c>
    </row>
    <row r="3660" spans="1:9" x14ac:dyDescent="0.3">
      <c r="A3660" s="24">
        <v>45373</v>
      </c>
      <c r="B3660" t="s">
        <v>212</v>
      </c>
      <c r="C3660" t="s">
        <v>85</v>
      </c>
      <c r="D3660">
        <v>0.1</v>
      </c>
      <c r="E3660" t="s">
        <v>139</v>
      </c>
      <c r="F3660" t="s">
        <v>55</v>
      </c>
      <c r="G3660" t="s">
        <v>2027</v>
      </c>
      <c r="H3660" t="s">
        <v>16</v>
      </c>
      <c r="I3660" s="26" t="s">
        <v>33</v>
      </c>
    </row>
    <row r="3661" spans="1:9" x14ac:dyDescent="0.3">
      <c r="A3661" s="24">
        <v>45373</v>
      </c>
      <c r="B3661" t="s">
        <v>212</v>
      </c>
      <c r="C3661" t="s">
        <v>85</v>
      </c>
      <c r="D3661">
        <v>0.17</v>
      </c>
      <c r="E3661" t="s">
        <v>1761</v>
      </c>
      <c r="F3661" t="s">
        <v>55</v>
      </c>
      <c r="G3661" t="s">
        <v>2565</v>
      </c>
      <c r="H3661" t="s">
        <v>16</v>
      </c>
      <c r="I3661" s="26" t="s">
        <v>33</v>
      </c>
    </row>
    <row r="3662" spans="1:9" x14ac:dyDescent="0.3">
      <c r="A3662" s="24">
        <v>45373</v>
      </c>
      <c r="B3662" t="s">
        <v>212</v>
      </c>
      <c r="C3662" t="s">
        <v>85</v>
      </c>
      <c r="D3662">
        <v>0.77</v>
      </c>
      <c r="E3662" t="s">
        <v>54</v>
      </c>
      <c r="F3662" t="s">
        <v>55</v>
      </c>
      <c r="G3662" t="s">
        <v>2566</v>
      </c>
      <c r="H3662" t="s">
        <v>16</v>
      </c>
      <c r="I3662" s="26" t="s">
        <v>33</v>
      </c>
    </row>
    <row r="3663" spans="1:9" x14ac:dyDescent="0.3">
      <c r="A3663" s="24">
        <v>45373</v>
      </c>
      <c r="B3663" t="s">
        <v>212</v>
      </c>
      <c r="C3663" t="s">
        <v>53</v>
      </c>
      <c r="D3663">
        <v>0.25</v>
      </c>
      <c r="E3663" t="s">
        <v>54</v>
      </c>
      <c r="F3663" t="s">
        <v>55</v>
      </c>
      <c r="G3663" t="s">
        <v>1766</v>
      </c>
      <c r="H3663" t="s">
        <v>16</v>
      </c>
      <c r="I3663" s="26" t="s">
        <v>33</v>
      </c>
    </row>
    <row r="3664" spans="1:9" x14ac:dyDescent="0.3">
      <c r="A3664" s="24">
        <v>45373</v>
      </c>
      <c r="B3664" t="s">
        <v>212</v>
      </c>
      <c r="C3664" t="s">
        <v>53</v>
      </c>
      <c r="D3664">
        <v>0.25</v>
      </c>
      <c r="E3664" t="s">
        <v>54</v>
      </c>
      <c r="F3664" t="s">
        <v>55</v>
      </c>
      <c r="G3664" t="s">
        <v>222</v>
      </c>
      <c r="H3664" t="s">
        <v>16</v>
      </c>
      <c r="I3664" s="26" t="s">
        <v>33</v>
      </c>
    </row>
    <row r="3665" spans="1:9" x14ac:dyDescent="0.3">
      <c r="A3665" s="24">
        <v>45373</v>
      </c>
      <c r="B3665" t="s">
        <v>212</v>
      </c>
      <c r="C3665" t="s">
        <v>53</v>
      </c>
      <c r="D3665">
        <v>0.56999999999999995</v>
      </c>
      <c r="E3665" t="s">
        <v>54</v>
      </c>
      <c r="F3665" t="s">
        <v>55</v>
      </c>
      <c r="G3665" t="s">
        <v>2567</v>
      </c>
      <c r="H3665" t="s">
        <v>16</v>
      </c>
      <c r="I3665" s="26" t="s">
        <v>33</v>
      </c>
    </row>
    <row r="3666" spans="1:9" x14ac:dyDescent="0.3">
      <c r="A3666" s="24">
        <v>45373</v>
      </c>
      <c r="B3666" t="s">
        <v>212</v>
      </c>
      <c r="C3666" t="s">
        <v>53</v>
      </c>
      <c r="D3666">
        <v>0.63</v>
      </c>
      <c r="E3666" t="s">
        <v>54</v>
      </c>
      <c r="F3666" t="s">
        <v>55</v>
      </c>
      <c r="G3666" t="s">
        <v>2568</v>
      </c>
      <c r="H3666" t="s">
        <v>16</v>
      </c>
      <c r="I3666" s="26" t="s">
        <v>33</v>
      </c>
    </row>
    <row r="3667" spans="1:9" x14ac:dyDescent="0.3">
      <c r="A3667" s="24">
        <v>45373</v>
      </c>
      <c r="B3667" t="s">
        <v>212</v>
      </c>
      <c r="C3667" t="s">
        <v>53</v>
      </c>
      <c r="D3667">
        <v>1.17</v>
      </c>
      <c r="E3667" t="s">
        <v>54</v>
      </c>
      <c r="F3667" t="s">
        <v>55</v>
      </c>
      <c r="G3667" t="s">
        <v>2569</v>
      </c>
      <c r="H3667" t="s">
        <v>16</v>
      </c>
      <c r="I3667" s="26" t="s">
        <v>33</v>
      </c>
    </row>
    <row r="3668" spans="1:9" x14ac:dyDescent="0.3">
      <c r="A3668" s="24">
        <v>45373</v>
      </c>
      <c r="B3668" t="s">
        <v>212</v>
      </c>
      <c r="C3668" t="s">
        <v>53</v>
      </c>
      <c r="D3668">
        <v>1.22</v>
      </c>
      <c r="E3668" t="s">
        <v>54</v>
      </c>
      <c r="F3668" t="s">
        <v>55</v>
      </c>
      <c r="H3668" t="s">
        <v>16</v>
      </c>
      <c r="I3668" s="26" t="s">
        <v>33</v>
      </c>
    </row>
    <row r="3669" spans="1:9" x14ac:dyDescent="0.3">
      <c r="A3669" s="24">
        <v>45373</v>
      </c>
      <c r="B3669" t="s">
        <v>212</v>
      </c>
      <c r="C3669" t="s">
        <v>225</v>
      </c>
      <c r="D3669">
        <v>1.43</v>
      </c>
      <c r="E3669" t="s">
        <v>1865</v>
      </c>
      <c r="F3669" t="s">
        <v>31</v>
      </c>
      <c r="G3669" t="s">
        <v>2570</v>
      </c>
      <c r="H3669" t="s">
        <v>16</v>
      </c>
      <c r="I3669" s="26" t="s">
        <v>33</v>
      </c>
    </row>
    <row r="3670" spans="1:9" x14ac:dyDescent="0.3">
      <c r="A3670" s="24">
        <v>45373</v>
      </c>
      <c r="B3670" t="s">
        <v>212</v>
      </c>
      <c r="C3670" t="s">
        <v>232</v>
      </c>
      <c r="D3670">
        <v>0.22</v>
      </c>
      <c r="E3670" t="s">
        <v>1772</v>
      </c>
      <c r="F3670" t="s">
        <v>55</v>
      </c>
      <c r="G3670" t="s">
        <v>2565</v>
      </c>
      <c r="H3670" t="s">
        <v>16</v>
      </c>
      <c r="I3670" s="26" t="s">
        <v>33</v>
      </c>
    </row>
    <row r="3671" spans="1:9" x14ac:dyDescent="0.3">
      <c r="A3671" s="24">
        <v>45373</v>
      </c>
      <c r="B3671" t="s">
        <v>212</v>
      </c>
      <c r="C3671" t="s">
        <v>2218</v>
      </c>
      <c r="D3671">
        <v>0.2</v>
      </c>
      <c r="E3671" t="s">
        <v>1756</v>
      </c>
      <c r="F3671" t="s">
        <v>55</v>
      </c>
      <c r="G3671" t="s">
        <v>2565</v>
      </c>
      <c r="H3671" t="s">
        <v>16</v>
      </c>
      <c r="I3671" s="26" t="s">
        <v>33</v>
      </c>
    </row>
    <row r="3672" spans="1:9" x14ac:dyDescent="0.3">
      <c r="A3672" s="24">
        <v>45373</v>
      </c>
      <c r="B3672" t="s">
        <v>212</v>
      </c>
      <c r="C3672" t="s">
        <v>148</v>
      </c>
      <c r="D3672">
        <v>0.38</v>
      </c>
      <c r="E3672" t="s">
        <v>54</v>
      </c>
      <c r="F3672" t="s">
        <v>55</v>
      </c>
      <c r="G3672" t="s">
        <v>2571</v>
      </c>
      <c r="H3672" t="s">
        <v>16</v>
      </c>
      <c r="I3672" s="26" t="s">
        <v>33</v>
      </c>
    </row>
    <row r="3673" spans="1:9" x14ac:dyDescent="0.3">
      <c r="A3673" s="24">
        <v>45373</v>
      </c>
      <c r="B3673" t="s">
        <v>212</v>
      </c>
      <c r="C3673" t="s">
        <v>58</v>
      </c>
      <c r="D3673">
        <v>0.18</v>
      </c>
      <c r="E3673" t="s">
        <v>54</v>
      </c>
      <c r="F3673" t="s">
        <v>55</v>
      </c>
      <c r="G3673" t="s">
        <v>2572</v>
      </c>
      <c r="H3673" t="s">
        <v>16</v>
      </c>
      <c r="I3673" s="26" t="s">
        <v>33</v>
      </c>
    </row>
    <row r="3674" spans="1:9" x14ac:dyDescent="0.3">
      <c r="A3674" s="24">
        <v>45373</v>
      </c>
      <c r="B3674" t="s">
        <v>212</v>
      </c>
      <c r="C3674" t="s">
        <v>58</v>
      </c>
      <c r="D3674">
        <v>0.48</v>
      </c>
      <c r="E3674" t="s">
        <v>54</v>
      </c>
      <c r="F3674" t="s">
        <v>55</v>
      </c>
      <c r="G3674" t="s">
        <v>2573</v>
      </c>
      <c r="H3674" t="s">
        <v>16</v>
      </c>
      <c r="I3674" s="26" t="s">
        <v>33</v>
      </c>
    </row>
    <row r="3675" spans="1:9" x14ac:dyDescent="0.3">
      <c r="A3675" s="24">
        <v>45373</v>
      </c>
      <c r="B3675" t="s">
        <v>240</v>
      </c>
      <c r="C3675" t="s">
        <v>29</v>
      </c>
      <c r="D3675">
        <v>0.73</v>
      </c>
      <c r="E3675" t="s">
        <v>81</v>
      </c>
      <c r="F3675" t="s">
        <v>31</v>
      </c>
      <c r="G3675" t="s">
        <v>2574</v>
      </c>
      <c r="H3675" t="s">
        <v>16</v>
      </c>
      <c r="I3675" s="26" t="s">
        <v>33</v>
      </c>
    </row>
    <row r="3676" spans="1:9" x14ac:dyDescent="0.3">
      <c r="A3676" s="24">
        <v>45373</v>
      </c>
      <c r="B3676" t="s">
        <v>240</v>
      </c>
      <c r="C3676" t="s">
        <v>29</v>
      </c>
      <c r="D3676">
        <v>7.62</v>
      </c>
      <c r="E3676" t="s">
        <v>81</v>
      </c>
      <c r="F3676" t="s">
        <v>31</v>
      </c>
      <c r="H3676" t="s">
        <v>16</v>
      </c>
      <c r="I3676" s="26" t="s">
        <v>33</v>
      </c>
    </row>
    <row r="3677" spans="1:9" x14ac:dyDescent="0.3">
      <c r="A3677" s="24">
        <v>45373</v>
      </c>
      <c r="B3677" t="s">
        <v>240</v>
      </c>
      <c r="C3677" t="s">
        <v>60</v>
      </c>
      <c r="D3677">
        <v>0.57999999999999996</v>
      </c>
      <c r="E3677" t="s">
        <v>179</v>
      </c>
      <c r="F3677" t="s">
        <v>31</v>
      </c>
      <c r="H3677" t="s">
        <v>16</v>
      </c>
      <c r="I3677" s="26" t="s">
        <v>33</v>
      </c>
    </row>
    <row r="3678" spans="1:9" x14ac:dyDescent="0.3">
      <c r="A3678" s="24">
        <v>45373</v>
      </c>
      <c r="B3678" t="s">
        <v>249</v>
      </c>
      <c r="C3678" t="s">
        <v>252</v>
      </c>
      <c r="D3678">
        <v>0.87</v>
      </c>
      <c r="E3678" t="s">
        <v>54</v>
      </c>
      <c r="F3678" t="s">
        <v>55</v>
      </c>
      <c r="G3678" t="s">
        <v>2575</v>
      </c>
      <c r="H3678" t="s">
        <v>16</v>
      </c>
      <c r="I3678" s="26" t="s">
        <v>33</v>
      </c>
    </row>
    <row r="3679" spans="1:9" x14ac:dyDescent="0.3">
      <c r="A3679" s="24">
        <v>45373</v>
      </c>
      <c r="B3679" t="s">
        <v>249</v>
      </c>
      <c r="C3679" t="s">
        <v>252</v>
      </c>
      <c r="D3679">
        <v>1</v>
      </c>
      <c r="E3679" t="s">
        <v>54</v>
      </c>
      <c r="F3679" t="s">
        <v>55</v>
      </c>
      <c r="H3679" t="s">
        <v>16</v>
      </c>
      <c r="I3679" s="26" t="s">
        <v>33</v>
      </c>
    </row>
    <row r="3680" spans="1:9" x14ac:dyDescent="0.3">
      <c r="A3680" s="24">
        <v>45373</v>
      </c>
      <c r="B3680" t="s">
        <v>249</v>
      </c>
      <c r="C3680" t="s">
        <v>252</v>
      </c>
      <c r="D3680">
        <v>1.5</v>
      </c>
      <c r="E3680" t="s">
        <v>81</v>
      </c>
      <c r="F3680" t="s">
        <v>55</v>
      </c>
      <c r="G3680" t="s">
        <v>2576</v>
      </c>
      <c r="H3680" t="s">
        <v>16</v>
      </c>
      <c r="I3680" s="26" t="s">
        <v>33</v>
      </c>
    </row>
    <row r="3681" spans="1:9" x14ac:dyDescent="0.3">
      <c r="A3681" s="24">
        <v>45373</v>
      </c>
      <c r="B3681" t="s">
        <v>249</v>
      </c>
      <c r="C3681" t="s">
        <v>252</v>
      </c>
      <c r="D3681">
        <v>2.5</v>
      </c>
      <c r="E3681" t="s">
        <v>81</v>
      </c>
      <c r="F3681" t="s">
        <v>31</v>
      </c>
      <c r="H3681" t="s">
        <v>16</v>
      </c>
      <c r="I3681" s="26" t="s">
        <v>33</v>
      </c>
    </row>
    <row r="3682" spans="1:9" x14ac:dyDescent="0.3">
      <c r="A3682" s="24">
        <v>45373</v>
      </c>
      <c r="B3682" t="s">
        <v>249</v>
      </c>
      <c r="C3682" t="s">
        <v>53</v>
      </c>
      <c r="D3682">
        <v>0.5</v>
      </c>
      <c r="E3682" t="s">
        <v>54</v>
      </c>
      <c r="F3682" t="s">
        <v>55</v>
      </c>
      <c r="G3682" t="s">
        <v>110</v>
      </c>
      <c r="H3682" t="s">
        <v>16</v>
      </c>
      <c r="I3682" s="26" t="s">
        <v>33</v>
      </c>
    </row>
    <row r="3683" spans="1:9" x14ac:dyDescent="0.3">
      <c r="A3683" s="24">
        <v>45373</v>
      </c>
      <c r="B3683" t="s">
        <v>249</v>
      </c>
      <c r="C3683" t="s">
        <v>53</v>
      </c>
      <c r="D3683">
        <v>0.57999999999999996</v>
      </c>
      <c r="E3683" t="s">
        <v>54</v>
      </c>
      <c r="F3683" t="s">
        <v>55</v>
      </c>
      <c r="G3683" t="s">
        <v>2577</v>
      </c>
      <c r="H3683" t="s">
        <v>16</v>
      </c>
      <c r="I3683" s="26" t="s">
        <v>33</v>
      </c>
    </row>
    <row r="3684" spans="1:9" x14ac:dyDescent="0.3">
      <c r="A3684" s="24">
        <v>45373</v>
      </c>
      <c r="B3684" t="s">
        <v>249</v>
      </c>
      <c r="C3684" t="s">
        <v>53</v>
      </c>
      <c r="D3684">
        <v>1.05</v>
      </c>
      <c r="E3684" t="s">
        <v>54</v>
      </c>
      <c r="F3684" t="s">
        <v>55</v>
      </c>
      <c r="G3684" t="s">
        <v>1313</v>
      </c>
      <c r="H3684" t="s">
        <v>16</v>
      </c>
      <c r="I3684" s="26" t="s">
        <v>33</v>
      </c>
    </row>
    <row r="3685" spans="1:9" x14ac:dyDescent="0.3">
      <c r="A3685" s="24">
        <v>45373</v>
      </c>
      <c r="B3685" t="s">
        <v>262</v>
      </c>
      <c r="C3685" t="s">
        <v>29</v>
      </c>
      <c r="D3685">
        <v>0.22</v>
      </c>
      <c r="E3685" t="s">
        <v>1180</v>
      </c>
      <c r="F3685" t="s">
        <v>31</v>
      </c>
      <c r="G3685" t="s">
        <v>2578</v>
      </c>
      <c r="H3685" t="s">
        <v>16</v>
      </c>
      <c r="I3685" s="26" t="s">
        <v>33</v>
      </c>
    </row>
    <row r="3686" spans="1:9" x14ac:dyDescent="0.3">
      <c r="A3686" s="24">
        <v>45373</v>
      </c>
      <c r="B3686" t="s">
        <v>262</v>
      </c>
      <c r="C3686" t="s">
        <v>29</v>
      </c>
      <c r="D3686">
        <v>1.05</v>
      </c>
      <c r="E3686" t="s">
        <v>263</v>
      </c>
      <c r="F3686" t="s">
        <v>31</v>
      </c>
      <c r="G3686" t="s">
        <v>2579</v>
      </c>
      <c r="H3686" t="s">
        <v>16</v>
      </c>
      <c r="I3686" s="26" t="s">
        <v>33</v>
      </c>
    </row>
    <row r="3687" spans="1:9" x14ac:dyDescent="0.3">
      <c r="A3687" s="24">
        <v>45373</v>
      </c>
      <c r="B3687" t="s">
        <v>262</v>
      </c>
      <c r="C3687" t="s">
        <v>29</v>
      </c>
      <c r="D3687">
        <v>1.07</v>
      </c>
      <c r="E3687" t="s">
        <v>263</v>
      </c>
      <c r="F3687" t="s">
        <v>31</v>
      </c>
      <c r="G3687" t="s">
        <v>2580</v>
      </c>
      <c r="H3687" t="s">
        <v>16</v>
      </c>
      <c r="I3687" s="26" t="s">
        <v>33</v>
      </c>
    </row>
    <row r="3688" spans="1:9" x14ac:dyDescent="0.3">
      <c r="A3688" s="24">
        <v>45373</v>
      </c>
      <c r="B3688" t="s">
        <v>262</v>
      </c>
      <c r="C3688" t="s">
        <v>29</v>
      </c>
      <c r="D3688">
        <v>5.08</v>
      </c>
      <c r="E3688" t="s">
        <v>263</v>
      </c>
      <c r="F3688" t="s">
        <v>31</v>
      </c>
      <c r="G3688" t="s">
        <v>2581</v>
      </c>
      <c r="H3688" t="s">
        <v>16</v>
      </c>
      <c r="I3688" s="26" t="s">
        <v>33</v>
      </c>
    </row>
    <row r="3689" spans="1:9" x14ac:dyDescent="0.3">
      <c r="A3689" s="24">
        <v>45373</v>
      </c>
      <c r="B3689" t="s">
        <v>262</v>
      </c>
      <c r="C3689" t="s">
        <v>53</v>
      </c>
      <c r="D3689">
        <v>0.5</v>
      </c>
      <c r="E3689" t="s">
        <v>54</v>
      </c>
      <c r="F3689" t="s">
        <v>55</v>
      </c>
      <c r="G3689" t="s">
        <v>253</v>
      </c>
      <c r="H3689" t="s">
        <v>16</v>
      </c>
      <c r="I3689" s="26" t="s">
        <v>33</v>
      </c>
    </row>
    <row r="3690" spans="1:9" x14ac:dyDescent="0.3">
      <c r="A3690" s="24">
        <v>45373</v>
      </c>
      <c r="B3690" t="s">
        <v>262</v>
      </c>
      <c r="C3690" t="s">
        <v>58</v>
      </c>
      <c r="D3690">
        <v>0.08</v>
      </c>
      <c r="E3690" t="s">
        <v>54</v>
      </c>
      <c r="F3690" t="s">
        <v>55</v>
      </c>
      <c r="H3690" t="s">
        <v>16</v>
      </c>
      <c r="I3690" s="26" t="s">
        <v>33</v>
      </c>
    </row>
    <row r="3691" spans="1:9" x14ac:dyDescent="0.3">
      <c r="A3691" s="24">
        <v>45373</v>
      </c>
      <c r="B3691" t="s">
        <v>266</v>
      </c>
      <c r="C3691" t="s">
        <v>73</v>
      </c>
      <c r="D3691">
        <v>8</v>
      </c>
      <c r="E3691" t="s">
        <v>54</v>
      </c>
      <c r="F3691" t="s">
        <v>55</v>
      </c>
      <c r="G3691" t="s">
        <v>2582</v>
      </c>
      <c r="H3691" t="s">
        <v>16</v>
      </c>
      <c r="I3691" s="26" t="s">
        <v>33</v>
      </c>
    </row>
    <row r="3692" spans="1:9" x14ac:dyDescent="0.3">
      <c r="A3692" s="24">
        <v>45373</v>
      </c>
      <c r="B3692" t="s">
        <v>269</v>
      </c>
      <c r="C3692" t="s">
        <v>29</v>
      </c>
      <c r="D3692">
        <v>2.98</v>
      </c>
      <c r="E3692" t="s">
        <v>116</v>
      </c>
      <c r="F3692" t="s">
        <v>31</v>
      </c>
      <c r="G3692" t="s">
        <v>2583</v>
      </c>
      <c r="H3692" t="s">
        <v>16</v>
      </c>
      <c r="I3692" s="26" t="s">
        <v>33</v>
      </c>
    </row>
    <row r="3693" spans="1:9" x14ac:dyDescent="0.3">
      <c r="A3693" s="24">
        <v>45373</v>
      </c>
      <c r="B3693" t="s">
        <v>269</v>
      </c>
      <c r="C3693" t="s">
        <v>29</v>
      </c>
      <c r="D3693">
        <v>3.05</v>
      </c>
      <c r="E3693" t="s">
        <v>271</v>
      </c>
      <c r="F3693" t="s">
        <v>31</v>
      </c>
      <c r="G3693" t="s">
        <v>2584</v>
      </c>
      <c r="H3693" t="s">
        <v>16</v>
      </c>
      <c r="I3693" s="26" t="s">
        <v>33</v>
      </c>
    </row>
    <row r="3694" spans="1:9" x14ac:dyDescent="0.3">
      <c r="A3694" s="24">
        <v>45373</v>
      </c>
      <c r="B3694" t="s">
        <v>269</v>
      </c>
      <c r="C3694" t="s">
        <v>53</v>
      </c>
      <c r="D3694">
        <v>1.05</v>
      </c>
      <c r="E3694" t="s">
        <v>54</v>
      </c>
      <c r="F3694" t="s">
        <v>55</v>
      </c>
      <c r="G3694" t="s">
        <v>1853</v>
      </c>
      <c r="H3694" t="s">
        <v>16</v>
      </c>
      <c r="I3694" s="26" t="s">
        <v>33</v>
      </c>
    </row>
    <row r="3695" spans="1:9" x14ac:dyDescent="0.3">
      <c r="A3695" s="24">
        <v>45373</v>
      </c>
      <c r="B3695" t="s">
        <v>269</v>
      </c>
      <c r="C3695" t="s">
        <v>58</v>
      </c>
      <c r="D3695">
        <v>1.03</v>
      </c>
      <c r="E3695" t="s">
        <v>54</v>
      </c>
      <c r="F3695" t="s">
        <v>55</v>
      </c>
      <c r="G3695" t="s">
        <v>2585</v>
      </c>
      <c r="H3695" t="s">
        <v>16</v>
      </c>
      <c r="I3695" s="26" t="s">
        <v>33</v>
      </c>
    </row>
    <row r="3696" spans="1:9" x14ac:dyDescent="0.3">
      <c r="A3696" s="24">
        <v>45373</v>
      </c>
      <c r="B3696" t="s">
        <v>278</v>
      </c>
      <c r="C3696" t="s">
        <v>279</v>
      </c>
      <c r="D3696">
        <v>0.13</v>
      </c>
      <c r="E3696" t="s">
        <v>54</v>
      </c>
      <c r="F3696" t="s">
        <v>55</v>
      </c>
      <c r="G3696" t="s">
        <v>2586</v>
      </c>
      <c r="H3696" t="s">
        <v>16</v>
      </c>
      <c r="I3696" s="26" t="s">
        <v>33</v>
      </c>
    </row>
    <row r="3697" spans="1:9" x14ac:dyDescent="0.3">
      <c r="A3697" s="24">
        <v>45373</v>
      </c>
      <c r="B3697" t="s">
        <v>278</v>
      </c>
      <c r="C3697" t="s">
        <v>279</v>
      </c>
      <c r="D3697">
        <v>0.56999999999999995</v>
      </c>
      <c r="E3697" t="s">
        <v>254</v>
      </c>
      <c r="F3697" t="s">
        <v>55</v>
      </c>
      <c r="G3697" t="s">
        <v>2587</v>
      </c>
      <c r="H3697" t="s">
        <v>16</v>
      </c>
      <c r="I3697" s="26" t="s">
        <v>33</v>
      </c>
    </row>
    <row r="3698" spans="1:9" x14ac:dyDescent="0.3">
      <c r="A3698" s="24">
        <v>45373</v>
      </c>
      <c r="B3698" t="s">
        <v>278</v>
      </c>
      <c r="C3698" t="s">
        <v>279</v>
      </c>
      <c r="D3698">
        <v>0.68</v>
      </c>
      <c r="E3698" t="s">
        <v>54</v>
      </c>
      <c r="F3698" t="s">
        <v>55</v>
      </c>
      <c r="G3698" t="s">
        <v>2588</v>
      </c>
      <c r="H3698" t="s">
        <v>16</v>
      </c>
      <c r="I3698" s="26" t="s">
        <v>33</v>
      </c>
    </row>
    <row r="3699" spans="1:9" x14ac:dyDescent="0.3">
      <c r="A3699" s="24">
        <v>45373</v>
      </c>
      <c r="B3699" t="s">
        <v>278</v>
      </c>
      <c r="C3699" t="s">
        <v>279</v>
      </c>
      <c r="D3699">
        <v>0.92</v>
      </c>
      <c r="E3699" t="s">
        <v>254</v>
      </c>
      <c r="F3699" t="s">
        <v>55</v>
      </c>
      <c r="G3699" t="s">
        <v>2589</v>
      </c>
      <c r="H3699" t="s">
        <v>16</v>
      </c>
      <c r="I3699" s="26" t="s">
        <v>33</v>
      </c>
    </row>
    <row r="3700" spans="1:9" x14ac:dyDescent="0.3">
      <c r="A3700" s="24">
        <v>45373</v>
      </c>
      <c r="B3700" t="s">
        <v>278</v>
      </c>
      <c r="C3700" t="s">
        <v>279</v>
      </c>
      <c r="D3700">
        <v>2.2200000000000002</v>
      </c>
      <c r="E3700" t="s">
        <v>54</v>
      </c>
      <c r="F3700" t="s">
        <v>55</v>
      </c>
      <c r="G3700" t="s">
        <v>2590</v>
      </c>
      <c r="H3700" t="s">
        <v>16</v>
      </c>
      <c r="I3700" s="26" t="s">
        <v>33</v>
      </c>
    </row>
    <row r="3701" spans="1:9" x14ac:dyDescent="0.3">
      <c r="A3701" s="24">
        <v>45373</v>
      </c>
      <c r="B3701" t="s">
        <v>278</v>
      </c>
      <c r="C3701" t="s">
        <v>29</v>
      </c>
      <c r="D3701">
        <v>0.63</v>
      </c>
      <c r="E3701" t="s">
        <v>54</v>
      </c>
      <c r="F3701" t="s">
        <v>55</v>
      </c>
      <c r="G3701" t="s">
        <v>2591</v>
      </c>
      <c r="H3701" t="s">
        <v>16</v>
      </c>
      <c r="I3701" s="26" t="s">
        <v>33</v>
      </c>
    </row>
    <row r="3702" spans="1:9" x14ac:dyDescent="0.3">
      <c r="A3702" s="24">
        <v>45373</v>
      </c>
      <c r="B3702" t="s">
        <v>278</v>
      </c>
      <c r="C3702" t="s">
        <v>1008</v>
      </c>
      <c r="D3702">
        <v>0.68</v>
      </c>
      <c r="E3702" t="s">
        <v>1011</v>
      </c>
      <c r="F3702" t="s">
        <v>55</v>
      </c>
      <c r="G3702" t="s">
        <v>2592</v>
      </c>
      <c r="H3702" t="s">
        <v>16</v>
      </c>
      <c r="I3702" s="26" t="s">
        <v>33</v>
      </c>
    </row>
    <row r="3703" spans="1:9" x14ac:dyDescent="0.3">
      <c r="A3703" s="24">
        <v>45373</v>
      </c>
      <c r="B3703" t="s">
        <v>278</v>
      </c>
      <c r="C3703" t="s">
        <v>1008</v>
      </c>
      <c r="D3703">
        <v>2.2000000000000002</v>
      </c>
      <c r="E3703" t="s">
        <v>1011</v>
      </c>
      <c r="F3703" t="s">
        <v>55</v>
      </c>
      <c r="G3703" t="s">
        <v>2593</v>
      </c>
      <c r="H3703" t="s">
        <v>16</v>
      </c>
      <c r="I3703" s="26" t="s">
        <v>33</v>
      </c>
    </row>
    <row r="3704" spans="1:9" x14ac:dyDescent="0.3">
      <c r="A3704" s="24">
        <v>45373</v>
      </c>
      <c r="B3704" t="s">
        <v>278</v>
      </c>
      <c r="C3704" t="s">
        <v>53</v>
      </c>
      <c r="D3704">
        <v>0.1</v>
      </c>
      <c r="E3704" t="s">
        <v>54</v>
      </c>
      <c r="F3704" t="s">
        <v>55</v>
      </c>
      <c r="G3704" t="s">
        <v>2594</v>
      </c>
      <c r="H3704" t="s">
        <v>16</v>
      </c>
      <c r="I3704" s="26" t="s">
        <v>33</v>
      </c>
    </row>
    <row r="3705" spans="1:9" x14ac:dyDescent="0.3">
      <c r="A3705" s="24">
        <v>45373</v>
      </c>
      <c r="B3705" t="s">
        <v>286</v>
      </c>
      <c r="C3705" t="s">
        <v>287</v>
      </c>
      <c r="D3705">
        <v>9</v>
      </c>
      <c r="E3705" t="s">
        <v>54</v>
      </c>
      <c r="F3705" t="s">
        <v>55</v>
      </c>
      <c r="G3705" t="s">
        <v>2595</v>
      </c>
      <c r="H3705" t="s">
        <v>16</v>
      </c>
      <c r="I3705" s="26" t="s">
        <v>33</v>
      </c>
    </row>
    <row r="3706" spans="1:9" x14ac:dyDescent="0.3">
      <c r="A3706" s="24">
        <v>45373</v>
      </c>
      <c r="B3706" t="s">
        <v>289</v>
      </c>
      <c r="C3706" t="s">
        <v>73</v>
      </c>
      <c r="D3706">
        <v>5</v>
      </c>
      <c r="E3706" t="s">
        <v>54</v>
      </c>
      <c r="F3706" t="s">
        <v>55</v>
      </c>
      <c r="H3706" t="s">
        <v>16</v>
      </c>
      <c r="I3706" s="26" t="s">
        <v>33</v>
      </c>
    </row>
    <row r="3707" spans="1:9" x14ac:dyDescent="0.3">
      <c r="A3707" s="24">
        <v>45373</v>
      </c>
      <c r="B3707" t="s">
        <v>294</v>
      </c>
      <c r="C3707" t="s">
        <v>202</v>
      </c>
      <c r="D3707">
        <v>4.5999999999999996</v>
      </c>
      <c r="E3707" t="s">
        <v>1022</v>
      </c>
      <c r="F3707" t="s">
        <v>55</v>
      </c>
      <c r="G3707" t="s">
        <v>2199</v>
      </c>
      <c r="H3707" t="s">
        <v>16</v>
      </c>
      <c r="I3707" s="26" t="s">
        <v>33</v>
      </c>
    </row>
    <row r="3708" spans="1:9" x14ac:dyDescent="0.3">
      <c r="A3708" s="24">
        <v>45373</v>
      </c>
      <c r="B3708" t="s">
        <v>294</v>
      </c>
      <c r="C3708" t="s">
        <v>53</v>
      </c>
      <c r="D3708">
        <v>0.6</v>
      </c>
      <c r="E3708" t="s">
        <v>54</v>
      </c>
      <c r="F3708" t="s">
        <v>55</v>
      </c>
      <c r="G3708" t="s">
        <v>2343</v>
      </c>
      <c r="H3708" t="s">
        <v>16</v>
      </c>
      <c r="I3708" s="26" t="s">
        <v>33</v>
      </c>
    </row>
    <row r="3709" spans="1:9" x14ac:dyDescent="0.3">
      <c r="A3709" s="24">
        <v>45373</v>
      </c>
      <c r="B3709" t="s">
        <v>301</v>
      </c>
      <c r="C3709" t="s">
        <v>29</v>
      </c>
      <c r="D3709">
        <v>0.22</v>
      </c>
      <c r="E3709" t="s">
        <v>304</v>
      </c>
      <c r="F3709" t="s">
        <v>31</v>
      </c>
      <c r="G3709" t="s">
        <v>2596</v>
      </c>
      <c r="H3709" t="s">
        <v>16</v>
      </c>
      <c r="I3709" s="26" t="s">
        <v>33</v>
      </c>
    </row>
    <row r="3710" spans="1:9" x14ac:dyDescent="0.3">
      <c r="A3710" s="24">
        <v>45373</v>
      </c>
      <c r="B3710" t="s">
        <v>301</v>
      </c>
      <c r="C3710" t="s">
        <v>29</v>
      </c>
      <c r="D3710">
        <v>0.52</v>
      </c>
      <c r="E3710" t="s">
        <v>304</v>
      </c>
      <c r="F3710" t="s">
        <v>31</v>
      </c>
      <c r="G3710" t="s">
        <v>303</v>
      </c>
      <c r="H3710" t="s">
        <v>16</v>
      </c>
      <c r="I3710" s="26" t="s">
        <v>33</v>
      </c>
    </row>
    <row r="3711" spans="1:9" x14ac:dyDescent="0.3">
      <c r="A3711" s="24">
        <v>45373</v>
      </c>
      <c r="B3711" t="s">
        <v>301</v>
      </c>
      <c r="C3711" t="s">
        <v>29</v>
      </c>
      <c r="D3711">
        <v>1.08</v>
      </c>
      <c r="E3711" t="s">
        <v>156</v>
      </c>
      <c r="F3711" t="s">
        <v>55</v>
      </c>
      <c r="G3711" t="s">
        <v>2597</v>
      </c>
      <c r="H3711" t="s">
        <v>16</v>
      </c>
      <c r="I3711" s="26" t="s">
        <v>33</v>
      </c>
    </row>
    <row r="3712" spans="1:9" x14ac:dyDescent="0.3">
      <c r="A3712" s="24">
        <v>45373</v>
      </c>
      <c r="B3712" t="s">
        <v>301</v>
      </c>
      <c r="C3712" t="s">
        <v>29</v>
      </c>
      <c r="D3712">
        <v>1.75</v>
      </c>
      <c r="E3712" t="s">
        <v>304</v>
      </c>
      <c r="F3712" t="s">
        <v>31</v>
      </c>
      <c r="G3712" t="s">
        <v>2598</v>
      </c>
      <c r="H3712" t="s">
        <v>16</v>
      </c>
      <c r="I3712" s="26" t="s">
        <v>33</v>
      </c>
    </row>
    <row r="3713" spans="1:9" x14ac:dyDescent="0.3">
      <c r="A3713" s="24">
        <v>45373</v>
      </c>
      <c r="B3713" t="s">
        <v>301</v>
      </c>
      <c r="C3713" t="s">
        <v>29</v>
      </c>
      <c r="D3713">
        <v>3.33</v>
      </c>
      <c r="E3713" t="s">
        <v>156</v>
      </c>
      <c r="F3713" t="s">
        <v>55</v>
      </c>
      <c r="G3713" t="s">
        <v>2599</v>
      </c>
      <c r="H3713" t="s">
        <v>16</v>
      </c>
      <c r="I3713" s="26" t="s">
        <v>33</v>
      </c>
    </row>
    <row r="3714" spans="1:9" x14ac:dyDescent="0.3">
      <c r="A3714" s="24">
        <v>45373</v>
      </c>
      <c r="B3714" t="s">
        <v>301</v>
      </c>
      <c r="C3714" t="s">
        <v>58</v>
      </c>
      <c r="D3714">
        <v>1.1000000000000001</v>
      </c>
      <c r="E3714" t="s">
        <v>54</v>
      </c>
      <c r="F3714" t="s">
        <v>55</v>
      </c>
      <c r="G3714" t="s">
        <v>59</v>
      </c>
      <c r="H3714" t="s">
        <v>16</v>
      </c>
      <c r="I3714" s="26" t="s">
        <v>33</v>
      </c>
    </row>
    <row r="3715" spans="1:9" x14ac:dyDescent="0.3">
      <c r="A3715" s="24">
        <v>45373</v>
      </c>
      <c r="B3715" t="s">
        <v>313</v>
      </c>
      <c r="C3715" t="s">
        <v>29</v>
      </c>
      <c r="D3715">
        <v>1.02</v>
      </c>
      <c r="E3715" t="s">
        <v>170</v>
      </c>
      <c r="F3715" t="s">
        <v>31</v>
      </c>
      <c r="H3715" t="s">
        <v>16</v>
      </c>
      <c r="I3715" s="26" t="s">
        <v>33</v>
      </c>
    </row>
    <row r="3716" spans="1:9" x14ac:dyDescent="0.3">
      <c r="A3716" s="24">
        <v>45373</v>
      </c>
      <c r="B3716" t="s">
        <v>313</v>
      </c>
      <c r="C3716" t="s">
        <v>29</v>
      </c>
      <c r="D3716">
        <v>1.08</v>
      </c>
      <c r="E3716" t="s">
        <v>91</v>
      </c>
      <c r="F3716" t="s">
        <v>31</v>
      </c>
      <c r="H3716" t="s">
        <v>16</v>
      </c>
      <c r="I3716" s="26" t="s">
        <v>33</v>
      </c>
    </row>
    <row r="3717" spans="1:9" x14ac:dyDescent="0.3">
      <c r="A3717" s="24">
        <v>45373</v>
      </c>
      <c r="B3717" t="s">
        <v>313</v>
      </c>
      <c r="C3717" t="s">
        <v>53</v>
      </c>
      <c r="D3717">
        <v>0.18</v>
      </c>
      <c r="E3717" t="s">
        <v>54</v>
      </c>
      <c r="F3717" t="s">
        <v>55</v>
      </c>
      <c r="H3717" t="s">
        <v>16</v>
      </c>
      <c r="I3717" s="26" t="s">
        <v>33</v>
      </c>
    </row>
    <row r="3718" spans="1:9" x14ac:dyDescent="0.3">
      <c r="A3718" s="24">
        <v>45373</v>
      </c>
      <c r="B3718" t="s">
        <v>313</v>
      </c>
      <c r="C3718" t="s">
        <v>53</v>
      </c>
      <c r="D3718">
        <v>0.32</v>
      </c>
      <c r="E3718" t="s">
        <v>54</v>
      </c>
      <c r="F3718" t="s">
        <v>55</v>
      </c>
      <c r="G3718" t="s">
        <v>316</v>
      </c>
      <c r="H3718" t="s">
        <v>16</v>
      </c>
      <c r="I3718" s="26" t="s">
        <v>33</v>
      </c>
    </row>
    <row r="3719" spans="1:9" x14ac:dyDescent="0.3">
      <c r="A3719" s="24">
        <v>45373</v>
      </c>
      <c r="B3719" t="s">
        <v>313</v>
      </c>
      <c r="C3719" t="s">
        <v>159</v>
      </c>
      <c r="D3719">
        <v>4.2</v>
      </c>
      <c r="E3719" t="s">
        <v>170</v>
      </c>
      <c r="F3719" t="s">
        <v>31</v>
      </c>
      <c r="H3719" t="s">
        <v>16</v>
      </c>
      <c r="I3719" s="26" t="s">
        <v>33</v>
      </c>
    </row>
    <row r="3720" spans="1:9" x14ac:dyDescent="0.3">
      <c r="A3720" s="24">
        <v>45373</v>
      </c>
      <c r="B3720" t="s">
        <v>313</v>
      </c>
      <c r="C3720" t="s">
        <v>60</v>
      </c>
      <c r="D3720">
        <v>0.15</v>
      </c>
      <c r="E3720" t="s">
        <v>35</v>
      </c>
      <c r="F3720" t="s">
        <v>31</v>
      </c>
      <c r="G3720" t="s">
        <v>2600</v>
      </c>
      <c r="H3720" t="s">
        <v>16</v>
      </c>
      <c r="I3720" s="26" t="s">
        <v>33</v>
      </c>
    </row>
    <row r="3721" spans="1:9" x14ac:dyDescent="0.3">
      <c r="A3721" s="24">
        <v>45373</v>
      </c>
      <c r="B3721" t="s">
        <v>313</v>
      </c>
      <c r="C3721" t="s">
        <v>60</v>
      </c>
      <c r="D3721">
        <v>1.1499999999999999</v>
      </c>
      <c r="E3721" t="s">
        <v>170</v>
      </c>
      <c r="F3721" t="s">
        <v>31</v>
      </c>
      <c r="G3721" t="s">
        <v>2601</v>
      </c>
      <c r="H3721" t="s">
        <v>16</v>
      </c>
      <c r="I3721" s="26" t="s">
        <v>33</v>
      </c>
    </row>
    <row r="3722" spans="1:9" x14ac:dyDescent="0.3">
      <c r="A3722" s="24">
        <v>45373</v>
      </c>
      <c r="B3722" t="s">
        <v>318</v>
      </c>
      <c r="C3722" t="s">
        <v>53</v>
      </c>
      <c r="D3722">
        <v>3.17</v>
      </c>
      <c r="E3722" t="s">
        <v>54</v>
      </c>
      <c r="F3722" t="s">
        <v>55</v>
      </c>
      <c r="G3722" t="s">
        <v>2602</v>
      </c>
      <c r="H3722" t="s">
        <v>16</v>
      </c>
      <c r="I3722" s="26" t="s">
        <v>33</v>
      </c>
    </row>
    <row r="3723" spans="1:9" x14ac:dyDescent="0.3">
      <c r="A3723" s="24">
        <v>45373</v>
      </c>
      <c r="B3723" t="s">
        <v>318</v>
      </c>
      <c r="C3723" t="s">
        <v>53</v>
      </c>
      <c r="D3723">
        <v>4.5999999999999996</v>
      </c>
      <c r="E3723" t="s">
        <v>54</v>
      </c>
      <c r="F3723" t="s">
        <v>55</v>
      </c>
      <c r="G3723" t="s">
        <v>2603</v>
      </c>
      <c r="H3723" t="s">
        <v>16</v>
      </c>
      <c r="I3723" s="26" t="s">
        <v>33</v>
      </c>
    </row>
    <row r="3724" spans="1:9" x14ac:dyDescent="0.3">
      <c r="A3724" s="24">
        <v>45373</v>
      </c>
      <c r="B3724" t="s">
        <v>318</v>
      </c>
      <c r="C3724" t="s">
        <v>58</v>
      </c>
      <c r="D3724">
        <v>0.32</v>
      </c>
      <c r="E3724" t="s">
        <v>54</v>
      </c>
      <c r="F3724" t="s">
        <v>55</v>
      </c>
      <c r="G3724" t="s">
        <v>2604</v>
      </c>
      <c r="H3724" t="s">
        <v>16</v>
      </c>
      <c r="I3724" s="26" t="s">
        <v>33</v>
      </c>
    </row>
    <row r="3725" spans="1:9" x14ac:dyDescent="0.3">
      <c r="A3725" s="24">
        <v>45373</v>
      </c>
      <c r="B3725" t="s">
        <v>324</v>
      </c>
      <c r="C3725" t="s">
        <v>29</v>
      </c>
      <c r="D3725">
        <v>8.68</v>
      </c>
      <c r="E3725" t="s">
        <v>81</v>
      </c>
      <c r="F3725" t="s">
        <v>31</v>
      </c>
      <c r="H3725" t="s">
        <v>16</v>
      </c>
      <c r="I3725" s="26" t="s">
        <v>33</v>
      </c>
    </row>
    <row r="3726" spans="1:9" x14ac:dyDescent="0.3">
      <c r="A3726" s="24">
        <v>45373</v>
      </c>
      <c r="B3726" t="s">
        <v>328</v>
      </c>
      <c r="C3726" t="s">
        <v>73</v>
      </c>
      <c r="D3726">
        <v>8</v>
      </c>
      <c r="E3726" t="s">
        <v>54</v>
      </c>
      <c r="F3726" t="s">
        <v>55</v>
      </c>
      <c r="H3726" t="s">
        <v>16</v>
      </c>
      <c r="I3726" s="26" t="s">
        <v>33</v>
      </c>
    </row>
    <row r="3727" spans="1:9" x14ac:dyDescent="0.3">
      <c r="A3727" s="24">
        <v>45373</v>
      </c>
      <c r="B3727" t="s">
        <v>331</v>
      </c>
      <c r="C3727" t="s">
        <v>73</v>
      </c>
      <c r="D3727">
        <v>8</v>
      </c>
      <c r="E3727" t="s">
        <v>54</v>
      </c>
      <c r="F3727" t="s">
        <v>55</v>
      </c>
      <c r="H3727" t="s">
        <v>16</v>
      </c>
      <c r="I3727" s="26" t="s">
        <v>33</v>
      </c>
    </row>
    <row r="3728" spans="1:9" x14ac:dyDescent="0.3">
      <c r="A3728" s="24">
        <v>45373</v>
      </c>
      <c r="B3728" t="s">
        <v>340</v>
      </c>
      <c r="C3728" t="s">
        <v>202</v>
      </c>
      <c r="D3728">
        <v>0.5</v>
      </c>
      <c r="E3728" t="s">
        <v>226</v>
      </c>
      <c r="F3728" t="s">
        <v>31</v>
      </c>
      <c r="G3728" t="s">
        <v>2605</v>
      </c>
      <c r="H3728" t="s">
        <v>16</v>
      </c>
      <c r="I3728" s="26" t="s">
        <v>33</v>
      </c>
    </row>
    <row r="3729" spans="1:9" x14ac:dyDescent="0.3">
      <c r="A3729" s="24">
        <v>45373</v>
      </c>
      <c r="B3729" t="s">
        <v>340</v>
      </c>
      <c r="C3729" t="s">
        <v>202</v>
      </c>
      <c r="D3729">
        <v>1</v>
      </c>
      <c r="E3729" t="s">
        <v>176</v>
      </c>
      <c r="F3729" t="s">
        <v>31</v>
      </c>
      <c r="G3729" t="s">
        <v>2606</v>
      </c>
      <c r="H3729" t="s">
        <v>16</v>
      </c>
      <c r="I3729" s="26" t="s">
        <v>33</v>
      </c>
    </row>
    <row r="3730" spans="1:9" x14ac:dyDescent="0.3">
      <c r="A3730" s="24">
        <v>45373</v>
      </c>
      <c r="B3730" t="s">
        <v>340</v>
      </c>
      <c r="C3730" t="s">
        <v>202</v>
      </c>
      <c r="D3730">
        <v>1</v>
      </c>
      <c r="E3730" t="s">
        <v>127</v>
      </c>
      <c r="F3730" t="s">
        <v>31</v>
      </c>
      <c r="G3730" t="s">
        <v>2607</v>
      </c>
      <c r="H3730" t="s">
        <v>16</v>
      </c>
      <c r="I3730" s="26" t="s">
        <v>33</v>
      </c>
    </row>
    <row r="3731" spans="1:9" x14ac:dyDescent="0.3">
      <c r="A3731" s="24">
        <v>45373</v>
      </c>
      <c r="B3731" t="s">
        <v>340</v>
      </c>
      <c r="C3731" t="s">
        <v>53</v>
      </c>
      <c r="D3731">
        <v>1</v>
      </c>
      <c r="E3731" t="s">
        <v>54</v>
      </c>
      <c r="F3731" t="s">
        <v>55</v>
      </c>
      <c r="G3731" t="s">
        <v>2608</v>
      </c>
      <c r="H3731" t="s">
        <v>16</v>
      </c>
      <c r="I3731" s="26" t="s">
        <v>33</v>
      </c>
    </row>
    <row r="3732" spans="1:9" x14ac:dyDescent="0.3">
      <c r="A3732" s="24">
        <v>45373</v>
      </c>
      <c r="B3732" t="s">
        <v>340</v>
      </c>
      <c r="C3732" t="s">
        <v>53</v>
      </c>
      <c r="D3732">
        <v>1</v>
      </c>
      <c r="E3732" t="s">
        <v>54</v>
      </c>
      <c r="F3732" t="s">
        <v>55</v>
      </c>
      <c r="G3732" t="s">
        <v>2609</v>
      </c>
      <c r="H3732" t="s">
        <v>16</v>
      </c>
      <c r="I3732" s="26" t="s">
        <v>33</v>
      </c>
    </row>
    <row r="3733" spans="1:9" x14ac:dyDescent="0.3">
      <c r="A3733" s="24">
        <v>45373</v>
      </c>
      <c r="B3733" t="s">
        <v>340</v>
      </c>
      <c r="C3733" t="s">
        <v>225</v>
      </c>
      <c r="D3733">
        <v>0.33</v>
      </c>
      <c r="E3733" t="s">
        <v>1865</v>
      </c>
      <c r="F3733" t="s">
        <v>31</v>
      </c>
      <c r="G3733" t="s">
        <v>2610</v>
      </c>
      <c r="H3733" t="s">
        <v>16</v>
      </c>
      <c r="I3733" s="26" t="s">
        <v>33</v>
      </c>
    </row>
    <row r="3734" spans="1:9" x14ac:dyDescent="0.3">
      <c r="A3734" s="24">
        <v>45373</v>
      </c>
      <c r="B3734" t="s">
        <v>340</v>
      </c>
      <c r="C3734" t="s">
        <v>232</v>
      </c>
      <c r="D3734">
        <v>0.33</v>
      </c>
      <c r="E3734" t="s">
        <v>106</v>
      </c>
      <c r="F3734" t="s">
        <v>31</v>
      </c>
      <c r="G3734" t="s">
        <v>347</v>
      </c>
      <c r="H3734" t="s">
        <v>16</v>
      </c>
      <c r="I3734" s="26" t="s">
        <v>33</v>
      </c>
    </row>
    <row r="3735" spans="1:9" x14ac:dyDescent="0.3">
      <c r="A3735" s="24">
        <v>45373</v>
      </c>
      <c r="B3735" t="s">
        <v>340</v>
      </c>
      <c r="C3735" t="s">
        <v>148</v>
      </c>
      <c r="D3735">
        <v>2</v>
      </c>
      <c r="E3735" t="s">
        <v>54</v>
      </c>
      <c r="F3735" t="s">
        <v>55</v>
      </c>
      <c r="G3735" t="s">
        <v>2611</v>
      </c>
      <c r="H3735" t="s">
        <v>16</v>
      </c>
      <c r="I3735" s="26" t="s">
        <v>33</v>
      </c>
    </row>
    <row r="3736" spans="1:9" x14ac:dyDescent="0.3">
      <c r="A3736" s="24">
        <v>45373</v>
      </c>
      <c r="B3736" t="s">
        <v>351</v>
      </c>
      <c r="C3736" t="s">
        <v>250</v>
      </c>
      <c r="D3736">
        <v>0.5</v>
      </c>
      <c r="E3736" t="s">
        <v>81</v>
      </c>
      <c r="F3736" t="s">
        <v>31</v>
      </c>
      <c r="G3736" t="s">
        <v>2612</v>
      </c>
      <c r="H3736" t="s">
        <v>16</v>
      </c>
      <c r="I3736" s="26" t="s">
        <v>33</v>
      </c>
    </row>
    <row r="3737" spans="1:9" x14ac:dyDescent="0.3">
      <c r="A3737" s="24">
        <v>45373</v>
      </c>
      <c r="B3737" t="s">
        <v>351</v>
      </c>
      <c r="C3737" t="s">
        <v>250</v>
      </c>
      <c r="D3737">
        <v>3.75</v>
      </c>
      <c r="E3737" t="s">
        <v>81</v>
      </c>
      <c r="F3737" t="s">
        <v>55</v>
      </c>
      <c r="G3737" t="s">
        <v>2613</v>
      </c>
      <c r="H3737" t="s">
        <v>16</v>
      </c>
      <c r="I3737" s="26" t="s">
        <v>33</v>
      </c>
    </row>
    <row r="3738" spans="1:9" x14ac:dyDescent="0.3">
      <c r="A3738" s="24">
        <v>45373</v>
      </c>
      <c r="B3738" t="s">
        <v>351</v>
      </c>
      <c r="C3738" t="s">
        <v>29</v>
      </c>
      <c r="D3738">
        <v>0.25</v>
      </c>
      <c r="E3738" t="s">
        <v>81</v>
      </c>
      <c r="F3738" t="s">
        <v>31</v>
      </c>
      <c r="G3738" t="s">
        <v>564</v>
      </c>
      <c r="H3738" t="s">
        <v>16</v>
      </c>
      <c r="I3738" s="26" t="s">
        <v>33</v>
      </c>
    </row>
    <row r="3739" spans="1:9" x14ac:dyDescent="0.3">
      <c r="A3739" s="24">
        <v>45373</v>
      </c>
      <c r="B3739" t="s">
        <v>351</v>
      </c>
      <c r="C3739" t="s">
        <v>29</v>
      </c>
      <c r="D3739">
        <v>2.5</v>
      </c>
      <c r="E3739" t="s">
        <v>81</v>
      </c>
      <c r="F3739" t="s">
        <v>31</v>
      </c>
      <c r="G3739" t="s">
        <v>2614</v>
      </c>
      <c r="H3739" t="s">
        <v>16</v>
      </c>
      <c r="I3739" s="26" t="s">
        <v>33</v>
      </c>
    </row>
    <row r="3740" spans="1:9" x14ac:dyDescent="0.3">
      <c r="A3740" s="24">
        <v>45373</v>
      </c>
      <c r="B3740" t="s">
        <v>351</v>
      </c>
      <c r="C3740" t="s">
        <v>85</v>
      </c>
      <c r="D3740">
        <v>0.5</v>
      </c>
      <c r="E3740" t="s">
        <v>81</v>
      </c>
      <c r="F3740" t="s">
        <v>31</v>
      </c>
      <c r="G3740" t="s">
        <v>2615</v>
      </c>
      <c r="H3740" t="s">
        <v>16</v>
      </c>
      <c r="I3740" s="26" t="s">
        <v>33</v>
      </c>
    </row>
    <row r="3741" spans="1:9" x14ac:dyDescent="0.3">
      <c r="A3741" s="24">
        <v>45373</v>
      </c>
      <c r="B3741" t="s">
        <v>351</v>
      </c>
      <c r="C3741" t="s">
        <v>58</v>
      </c>
      <c r="D3741">
        <v>0.5</v>
      </c>
      <c r="E3741" t="s">
        <v>54</v>
      </c>
      <c r="F3741" t="s">
        <v>55</v>
      </c>
      <c r="G3741" t="s">
        <v>2616</v>
      </c>
      <c r="H3741" t="s">
        <v>16</v>
      </c>
      <c r="I3741" s="26" t="s">
        <v>33</v>
      </c>
    </row>
    <row r="3742" spans="1:9" x14ac:dyDescent="0.3">
      <c r="A3742" s="24">
        <v>45373</v>
      </c>
      <c r="B3742" t="s">
        <v>374</v>
      </c>
      <c r="C3742" t="s">
        <v>123</v>
      </c>
      <c r="D3742">
        <v>2</v>
      </c>
      <c r="E3742" t="s">
        <v>54</v>
      </c>
      <c r="F3742" t="s">
        <v>55</v>
      </c>
      <c r="G3742" t="e">
        <f>- draft NOD</f>
        <v>#NAME?</v>
      </c>
      <c r="H3742" t="s">
        <v>16</v>
      </c>
      <c r="I3742" s="26" t="s">
        <v>33</v>
      </c>
    </row>
    <row r="3743" spans="1:9" x14ac:dyDescent="0.3">
      <c r="A3743" s="24">
        <v>45373</v>
      </c>
      <c r="B3743" t="s">
        <v>374</v>
      </c>
      <c r="C3743" t="s">
        <v>123</v>
      </c>
      <c r="D3743">
        <v>4</v>
      </c>
      <c r="E3743" t="s">
        <v>54</v>
      </c>
      <c r="F3743" t="s">
        <v>55</v>
      </c>
      <c r="G3743" t="e">
        <f>- General Admin - respond to queries</f>
        <v>#NAME?</v>
      </c>
      <c r="H3743" t="s">
        <v>16</v>
      </c>
      <c r="I3743" s="26" t="s">
        <v>33</v>
      </c>
    </row>
    <row r="3744" spans="1:9" x14ac:dyDescent="0.3">
      <c r="A3744" s="24">
        <v>45373</v>
      </c>
      <c r="B3744" t="s">
        <v>374</v>
      </c>
      <c r="C3744" t="s">
        <v>58</v>
      </c>
      <c r="D3744">
        <v>2</v>
      </c>
      <c r="E3744" t="s">
        <v>54</v>
      </c>
      <c r="F3744" t="s">
        <v>55</v>
      </c>
      <c r="G3744" t="e">
        <f>- catch up with Ali - catch up with Social Committee - quick call with LM - Meeting with Ann</f>
        <v>#NAME?</v>
      </c>
      <c r="H3744" t="s">
        <v>16</v>
      </c>
      <c r="I3744" s="26" t="s">
        <v>33</v>
      </c>
    </row>
    <row r="3745" spans="1:9" x14ac:dyDescent="0.3">
      <c r="A3745" s="24">
        <v>45375</v>
      </c>
      <c r="B3745" t="s">
        <v>329</v>
      </c>
      <c r="C3745" t="s">
        <v>370</v>
      </c>
      <c r="D3745">
        <v>0.23</v>
      </c>
      <c r="E3745" t="s">
        <v>1856</v>
      </c>
      <c r="F3745" t="s">
        <v>31</v>
      </c>
      <c r="G3745" t="s">
        <v>2617</v>
      </c>
      <c r="H3745" t="s">
        <v>18</v>
      </c>
      <c r="I3745" s="26" t="s">
        <v>2618</v>
      </c>
    </row>
    <row r="3746" spans="1:9" x14ac:dyDescent="0.3">
      <c r="A3746" s="24">
        <v>45375</v>
      </c>
      <c r="B3746" t="s">
        <v>329</v>
      </c>
      <c r="C3746" t="s">
        <v>370</v>
      </c>
      <c r="D3746">
        <v>0.33</v>
      </c>
      <c r="E3746" t="s">
        <v>1856</v>
      </c>
      <c r="F3746" t="s">
        <v>31</v>
      </c>
      <c r="G3746" t="s">
        <v>2619</v>
      </c>
      <c r="H3746" t="s">
        <v>18</v>
      </c>
      <c r="I3746" s="26" t="s">
        <v>2618</v>
      </c>
    </row>
    <row r="3747" spans="1:9" x14ac:dyDescent="0.3">
      <c r="A3747" s="24">
        <v>45375</v>
      </c>
      <c r="B3747" t="s">
        <v>329</v>
      </c>
      <c r="C3747" t="s">
        <v>370</v>
      </c>
      <c r="D3747">
        <v>0.97</v>
      </c>
      <c r="E3747" t="s">
        <v>1857</v>
      </c>
      <c r="F3747" t="s">
        <v>31</v>
      </c>
      <c r="G3747" t="s">
        <v>2620</v>
      </c>
      <c r="H3747" t="s">
        <v>18</v>
      </c>
      <c r="I3747" s="26" t="s">
        <v>2618</v>
      </c>
    </row>
    <row r="3748" spans="1:9" x14ac:dyDescent="0.3">
      <c r="A3748" s="24">
        <v>45375</v>
      </c>
      <c r="B3748" t="s">
        <v>329</v>
      </c>
      <c r="C3748" t="s">
        <v>370</v>
      </c>
      <c r="D3748">
        <v>1.1299999999999999</v>
      </c>
      <c r="E3748" t="s">
        <v>1857</v>
      </c>
      <c r="F3748" t="s">
        <v>31</v>
      </c>
      <c r="G3748" t="s">
        <v>2621</v>
      </c>
      <c r="H3748" t="s">
        <v>18</v>
      </c>
      <c r="I3748" s="26" t="s">
        <v>2618</v>
      </c>
    </row>
    <row r="3749" spans="1:9" x14ac:dyDescent="0.3">
      <c r="A3749" s="24">
        <v>45375</v>
      </c>
      <c r="B3749" t="s">
        <v>329</v>
      </c>
      <c r="C3749" t="s">
        <v>370</v>
      </c>
      <c r="D3749">
        <v>1.33</v>
      </c>
      <c r="E3749" t="s">
        <v>1856</v>
      </c>
      <c r="F3749" t="s">
        <v>31</v>
      </c>
      <c r="G3749" t="s">
        <v>2622</v>
      </c>
      <c r="H3749" t="s">
        <v>18</v>
      </c>
      <c r="I3749" s="26" t="s">
        <v>2618</v>
      </c>
    </row>
    <row r="3750" spans="1:9" x14ac:dyDescent="0.3">
      <c r="A3750" s="24">
        <v>45376</v>
      </c>
      <c r="B3750" t="s">
        <v>28</v>
      </c>
      <c r="C3750" t="s">
        <v>29</v>
      </c>
      <c r="D3750">
        <v>7.0000000000000007E-2</v>
      </c>
      <c r="E3750" t="s">
        <v>42</v>
      </c>
      <c r="F3750" t="s">
        <v>31</v>
      </c>
      <c r="G3750" t="s">
        <v>32</v>
      </c>
      <c r="H3750" t="s">
        <v>18</v>
      </c>
      <c r="I3750" s="26" t="s">
        <v>378</v>
      </c>
    </row>
    <row r="3751" spans="1:9" x14ac:dyDescent="0.3">
      <c r="A3751" s="24">
        <v>45376</v>
      </c>
      <c r="B3751" t="s">
        <v>28</v>
      </c>
      <c r="C3751" t="s">
        <v>29</v>
      </c>
      <c r="D3751">
        <v>0.08</v>
      </c>
      <c r="E3751" t="s">
        <v>44</v>
      </c>
      <c r="F3751" t="s">
        <v>31</v>
      </c>
      <c r="G3751" t="s">
        <v>46</v>
      </c>
      <c r="H3751" t="s">
        <v>18</v>
      </c>
      <c r="I3751" s="26" t="s">
        <v>378</v>
      </c>
    </row>
    <row r="3752" spans="1:9" x14ac:dyDescent="0.3">
      <c r="A3752" s="24">
        <v>45376</v>
      </c>
      <c r="B3752" t="s">
        <v>28</v>
      </c>
      <c r="C3752" t="s">
        <v>29</v>
      </c>
      <c r="D3752">
        <v>0.1</v>
      </c>
      <c r="E3752" t="s">
        <v>42</v>
      </c>
      <c r="F3752" t="s">
        <v>31</v>
      </c>
      <c r="G3752" t="s">
        <v>579</v>
      </c>
      <c r="H3752" t="s">
        <v>18</v>
      </c>
      <c r="I3752" s="26" t="s">
        <v>378</v>
      </c>
    </row>
    <row r="3753" spans="1:9" x14ac:dyDescent="0.3">
      <c r="A3753" s="24">
        <v>45376</v>
      </c>
      <c r="B3753" t="s">
        <v>28</v>
      </c>
      <c r="C3753" t="s">
        <v>29</v>
      </c>
      <c r="D3753">
        <v>0.12</v>
      </c>
      <c r="E3753" t="s">
        <v>40</v>
      </c>
      <c r="F3753" t="s">
        <v>31</v>
      </c>
      <c r="G3753" t="s">
        <v>32</v>
      </c>
      <c r="H3753" t="s">
        <v>18</v>
      </c>
      <c r="I3753" s="26" t="s">
        <v>378</v>
      </c>
    </row>
    <row r="3754" spans="1:9" x14ac:dyDescent="0.3">
      <c r="A3754" s="24">
        <v>45376</v>
      </c>
      <c r="B3754" t="s">
        <v>28</v>
      </c>
      <c r="C3754" t="s">
        <v>29</v>
      </c>
      <c r="D3754">
        <v>0.17</v>
      </c>
      <c r="E3754" t="s">
        <v>49</v>
      </c>
      <c r="F3754" t="s">
        <v>31</v>
      </c>
      <c r="G3754" t="s">
        <v>579</v>
      </c>
      <c r="H3754" t="s">
        <v>18</v>
      </c>
      <c r="I3754" s="26" t="s">
        <v>378</v>
      </c>
    </row>
    <row r="3755" spans="1:9" x14ac:dyDescent="0.3">
      <c r="A3755" s="24">
        <v>45376</v>
      </c>
      <c r="B3755" t="s">
        <v>28</v>
      </c>
      <c r="C3755" t="s">
        <v>29</v>
      </c>
      <c r="D3755">
        <v>0.17</v>
      </c>
      <c r="E3755" t="s">
        <v>39</v>
      </c>
      <c r="F3755" t="s">
        <v>31</v>
      </c>
      <c r="G3755" t="s">
        <v>38</v>
      </c>
      <c r="H3755" t="s">
        <v>18</v>
      </c>
      <c r="I3755" s="26" t="s">
        <v>378</v>
      </c>
    </row>
    <row r="3756" spans="1:9" x14ac:dyDescent="0.3">
      <c r="A3756" s="24">
        <v>45376</v>
      </c>
      <c r="B3756" t="s">
        <v>28</v>
      </c>
      <c r="C3756" t="s">
        <v>29</v>
      </c>
      <c r="D3756">
        <v>0.2</v>
      </c>
      <c r="E3756" t="s">
        <v>44</v>
      </c>
      <c r="F3756" t="s">
        <v>31</v>
      </c>
      <c r="G3756" t="s">
        <v>2623</v>
      </c>
      <c r="H3756" t="s">
        <v>18</v>
      </c>
      <c r="I3756" s="26" t="s">
        <v>378</v>
      </c>
    </row>
    <row r="3757" spans="1:9" x14ac:dyDescent="0.3">
      <c r="A3757" s="24">
        <v>45376</v>
      </c>
      <c r="B3757" t="s">
        <v>28</v>
      </c>
      <c r="C3757" t="s">
        <v>29</v>
      </c>
      <c r="D3757">
        <v>0.25</v>
      </c>
      <c r="E3757" t="s">
        <v>44</v>
      </c>
      <c r="F3757" t="s">
        <v>31</v>
      </c>
      <c r="G3757" t="s">
        <v>1370</v>
      </c>
      <c r="H3757" t="s">
        <v>18</v>
      </c>
      <c r="I3757" s="26" t="s">
        <v>378</v>
      </c>
    </row>
    <row r="3758" spans="1:9" x14ac:dyDescent="0.3">
      <c r="A3758" s="24">
        <v>45376</v>
      </c>
      <c r="B3758" t="s">
        <v>28</v>
      </c>
      <c r="C3758" t="s">
        <v>29</v>
      </c>
      <c r="D3758">
        <v>0.27</v>
      </c>
      <c r="E3758" t="s">
        <v>40</v>
      </c>
      <c r="F3758" t="s">
        <v>31</v>
      </c>
      <c r="G3758" t="s">
        <v>2624</v>
      </c>
      <c r="H3758" t="s">
        <v>18</v>
      </c>
      <c r="I3758" s="26" t="s">
        <v>378</v>
      </c>
    </row>
    <row r="3759" spans="1:9" x14ac:dyDescent="0.3">
      <c r="A3759" s="24">
        <v>45376</v>
      </c>
      <c r="B3759" t="s">
        <v>28</v>
      </c>
      <c r="C3759" t="s">
        <v>29</v>
      </c>
      <c r="D3759">
        <v>0.28000000000000003</v>
      </c>
      <c r="E3759" t="s">
        <v>35</v>
      </c>
      <c r="F3759" t="s">
        <v>31</v>
      </c>
      <c r="G3759" t="s">
        <v>47</v>
      </c>
      <c r="H3759" t="s">
        <v>18</v>
      </c>
      <c r="I3759" s="26" t="s">
        <v>378</v>
      </c>
    </row>
    <row r="3760" spans="1:9" x14ac:dyDescent="0.3">
      <c r="A3760" s="24">
        <v>45376</v>
      </c>
      <c r="B3760" t="s">
        <v>28</v>
      </c>
      <c r="C3760" t="s">
        <v>29</v>
      </c>
      <c r="D3760">
        <v>0.3</v>
      </c>
      <c r="E3760" t="s">
        <v>30</v>
      </c>
      <c r="F3760" t="s">
        <v>55</v>
      </c>
      <c r="G3760" t="s">
        <v>2625</v>
      </c>
      <c r="H3760" t="s">
        <v>18</v>
      </c>
      <c r="I3760" s="26" t="s">
        <v>378</v>
      </c>
    </row>
    <row r="3761" spans="1:9" x14ac:dyDescent="0.3">
      <c r="A3761" s="24">
        <v>45376</v>
      </c>
      <c r="B3761" t="s">
        <v>28</v>
      </c>
      <c r="C3761" t="s">
        <v>29</v>
      </c>
      <c r="D3761">
        <v>0.42</v>
      </c>
      <c r="E3761" t="s">
        <v>42</v>
      </c>
      <c r="F3761" t="s">
        <v>31</v>
      </c>
      <c r="G3761" t="s">
        <v>1370</v>
      </c>
      <c r="H3761" t="s">
        <v>18</v>
      </c>
      <c r="I3761" s="26" t="s">
        <v>378</v>
      </c>
    </row>
    <row r="3762" spans="1:9" x14ac:dyDescent="0.3">
      <c r="A3762" s="24">
        <v>45376</v>
      </c>
      <c r="B3762" t="s">
        <v>28</v>
      </c>
      <c r="C3762" t="s">
        <v>29</v>
      </c>
      <c r="D3762">
        <v>0.47</v>
      </c>
      <c r="E3762" t="s">
        <v>40</v>
      </c>
      <c r="F3762" t="s">
        <v>31</v>
      </c>
      <c r="G3762" t="s">
        <v>579</v>
      </c>
      <c r="H3762" t="s">
        <v>18</v>
      </c>
      <c r="I3762" s="26" t="s">
        <v>378</v>
      </c>
    </row>
    <row r="3763" spans="1:9" x14ac:dyDescent="0.3">
      <c r="A3763" s="24">
        <v>45376</v>
      </c>
      <c r="B3763" t="s">
        <v>28</v>
      </c>
      <c r="C3763" t="s">
        <v>29</v>
      </c>
      <c r="D3763">
        <v>0.67</v>
      </c>
      <c r="E3763" t="s">
        <v>42</v>
      </c>
      <c r="F3763" t="s">
        <v>31</v>
      </c>
      <c r="G3763" t="s">
        <v>43</v>
      </c>
      <c r="H3763" t="s">
        <v>18</v>
      </c>
      <c r="I3763" s="26" t="s">
        <v>378</v>
      </c>
    </row>
    <row r="3764" spans="1:9" x14ac:dyDescent="0.3">
      <c r="A3764" s="24">
        <v>45376</v>
      </c>
      <c r="B3764" t="s">
        <v>28</v>
      </c>
      <c r="C3764" t="s">
        <v>29</v>
      </c>
      <c r="D3764">
        <v>0.73</v>
      </c>
      <c r="E3764" t="s">
        <v>42</v>
      </c>
      <c r="F3764" t="s">
        <v>31</v>
      </c>
      <c r="G3764" t="s">
        <v>38</v>
      </c>
      <c r="H3764" t="s">
        <v>18</v>
      </c>
      <c r="I3764" s="26" t="s">
        <v>378</v>
      </c>
    </row>
    <row r="3765" spans="1:9" x14ac:dyDescent="0.3">
      <c r="A3765" s="24">
        <v>45376</v>
      </c>
      <c r="B3765" t="s">
        <v>28</v>
      </c>
      <c r="C3765" t="s">
        <v>29</v>
      </c>
      <c r="D3765">
        <v>1.17</v>
      </c>
      <c r="E3765" t="s">
        <v>49</v>
      </c>
      <c r="F3765" t="s">
        <v>31</v>
      </c>
      <c r="G3765" t="s">
        <v>43</v>
      </c>
      <c r="H3765" t="s">
        <v>18</v>
      </c>
      <c r="I3765" s="26" t="s">
        <v>378</v>
      </c>
    </row>
    <row r="3766" spans="1:9" x14ac:dyDescent="0.3">
      <c r="A3766" s="24">
        <v>45376</v>
      </c>
      <c r="B3766" t="s">
        <v>28</v>
      </c>
      <c r="C3766" t="s">
        <v>53</v>
      </c>
      <c r="D3766">
        <v>0.25</v>
      </c>
      <c r="E3766" t="s">
        <v>54</v>
      </c>
      <c r="F3766" t="s">
        <v>55</v>
      </c>
      <c r="G3766" t="s">
        <v>56</v>
      </c>
      <c r="H3766" t="s">
        <v>18</v>
      </c>
      <c r="I3766" s="26" t="s">
        <v>378</v>
      </c>
    </row>
    <row r="3767" spans="1:9" x14ac:dyDescent="0.3">
      <c r="A3767" s="24">
        <v>45376</v>
      </c>
      <c r="B3767" t="s">
        <v>28</v>
      </c>
      <c r="C3767" t="s">
        <v>53</v>
      </c>
      <c r="D3767">
        <v>0.25</v>
      </c>
      <c r="E3767" t="s">
        <v>54</v>
      </c>
      <c r="F3767" t="s">
        <v>55</v>
      </c>
      <c r="G3767" t="s">
        <v>57</v>
      </c>
      <c r="H3767" t="s">
        <v>18</v>
      </c>
      <c r="I3767" s="26" t="s">
        <v>378</v>
      </c>
    </row>
    <row r="3768" spans="1:9" x14ac:dyDescent="0.3">
      <c r="A3768" s="24">
        <v>45376</v>
      </c>
      <c r="B3768" t="s">
        <v>28</v>
      </c>
      <c r="C3768" t="s">
        <v>58</v>
      </c>
      <c r="D3768">
        <v>0.72</v>
      </c>
      <c r="E3768" t="s">
        <v>54</v>
      </c>
      <c r="F3768" t="s">
        <v>55</v>
      </c>
      <c r="G3768" t="s">
        <v>2626</v>
      </c>
      <c r="H3768" t="s">
        <v>18</v>
      </c>
      <c r="I3768" s="26" t="s">
        <v>378</v>
      </c>
    </row>
    <row r="3769" spans="1:9" x14ac:dyDescent="0.3">
      <c r="A3769" s="24">
        <v>45376</v>
      </c>
      <c r="B3769" t="s">
        <v>28</v>
      </c>
      <c r="C3769" t="s">
        <v>60</v>
      </c>
      <c r="D3769">
        <v>0.12</v>
      </c>
      <c r="E3769" t="s">
        <v>62</v>
      </c>
      <c r="F3769" t="s">
        <v>31</v>
      </c>
      <c r="H3769" t="s">
        <v>18</v>
      </c>
      <c r="I3769" s="26" t="s">
        <v>378</v>
      </c>
    </row>
    <row r="3770" spans="1:9" x14ac:dyDescent="0.3">
      <c r="A3770" s="24">
        <v>45376</v>
      </c>
      <c r="B3770" t="s">
        <v>28</v>
      </c>
      <c r="C3770" t="s">
        <v>60</v>
      </c>
      <c r="D3770">
        <v>0.3</v>
      </c>
      <c r="E3770" t="s">
        <v>37</v>
      </c>
      <c r="F3770" t="s">
        <v>31</v>
      </c>
      <c r="G3770" t="s">
        <v>1374</v>
      </c>
      <c r="H3770" t="s">
        <v>18</v>
      </c>
      <c r="I3770" s="26" t="s">
        <v>378</v>
      </c>
    </row>
    <row r="3771" spans="1:9" x14ac:dyDescent="0.3">
      <c r="A3771" s="24">
        <v>45376</v>
      </c>
      <c r="B3771" t="s">
        <v>28</v>
      </c>
      <c r="C3771" t="s">
        <v>60</v>
      </c>
      <c r="D3771">
        <v>0.33</v>
      </c>
      <c r="E3771" t="s">
        <v>48</v>
      </c>
      <c r="F3771" t="s">
        <v>31</v>
      </c>
      <c r="H3771" t="s">
        <v>18</v>
      </c>
      <c r="I3771" s="26" t="s">
        <v>378</v>
      </c>
    </row>
    <row r="3772" spans="1:9" x14ac:dyDescent="0.3">
      <c r="A3772" s="24">
        <v>45376</v>
      </c>
      <c r="B3772" t="s">
        <v>28</v>
      </c>
      <c r="C3772" t="s">
        <v>60</v>
      </c>
      <c r="D3772">
        <v>0.57999999999999996</v>
      </c>
      <c r="E3772" t="s">
        <v>61</v>
      </c>
      <c r="F3772" t="s">
        <v>31</v>
      </c>
      <c r="H3772" t="s">
        <v>18</v>
      </c>
      <c r="I3772" s="26" t="s">
        <v>378</v>
      </c>
    </row>
    <row r="3773" spans="1:9" x14ac:dyDescent="0.3">
      <c r="A3773" s="24">
        <v>45376</v>
      </c>
      <c r="B3773" t="s">
        <v>64</v>
      </c>
      <c r="C3773" t="s">
        <v>173</v>
      </c>
      <c r="D3773">
        <v>0.5</v>
      </c>
      <c r="E3773" t="s">
        <v>162</v>
      </c>
      <c r="F3773" t="s">
        <v>31</v>
      </c>
      <c r="H3773" t="s">
        <v>18</v>
      </c>
      <c r="I3773" s="26" t="s">
        <v>378</v>
      </c>
    </row>
    <row r="3774" spans="1:9" x14ac:dyDescent="0.3">
      <c r="A3774" s="24">
        <v>45376</v>
      </c>
      <c r="B3774" t="s">
        <v>64</v>
      </c>
      <c r="C3774" t="s">
        <v>65</v>
      </c>
      <c r="D3774">
        <v>0.25</v>
      </c>
      <c r="E3774" t="s">
        <v>66</v>
      </c>
      <c r="F3774" t="s">
        <v>31</v>
      </c>
      <c r="G3774" t="s">
        <v>2627</v>
      </c>
      <c r="H3774" t="s">
        <v>18</v>
      </c>
      <c r="I3774" s="26" t="s">
        <v>378</v>
      </c>
    </row>
    <row r="3775" spans="1:9" x14ac:dyDescent="0.3">
      <c r="A3775" s="24">
        <v>45376</v>
      </c>
      <c r="B3775" t="s">
        <v>64</v>
      </c>
      <c r="C3775" t="s">
        <v>379</v>
      </c>
      <c r="D3775">
        <v>1</v>
      </c>
      <c r="E3775" t="s">
        <v>66</v>
      </c>
      <c r="F3775" t="s">
        <v>31</v>
      </c>
      <c r="G3775" t="s">
        <v>2628</v>
      </c>
      <c r="H3775" t="s">
        <v>18</v>
      </c>
      <c r="I3775" s="26" t="s">
        <v>378</v>
      </c>
    </row>
    <row r="3776" spans="1:9" x14ac:dyDescent="0.3">
      <c r="A3776" s="24">
        <v>45376</v>
      </c>
      <c r="B3776" t="s">
        <v>64</v>
      </c>
      <c r="C3776" t="s">
        <v>68</v>
      </c>
      <c r="D3776">
        <v>2.17</v>
      </c>
      <c r="E3776" t="s">
        <v>66</v>
      </c>
      <c r="F3776" t="s">
        <v>31</v>
      </c>
      <c r="G3776" t="s">
        <v>2629</v>
      </c>
      <c r="H3776" t="s">
        <v>18</v>
      </c>
      <c r="I3776" s="26" t="s">
        <v>378</v>
      </c>
    </row>
    <row r="3777" spans="1:9" x14ac:dyDescent="0.3">
      <c r="A3777" s="24">
        <v>45376</v>
      </c>
      <c r="B3777" t="s">
        <v>64</v>
      </c>
      <c r="C3777" t="s">
        <v>70</v>
      </c>
      <c r="D3777">
        <v>3</v>
      </c>
      <c r="E3777" t="s">
        <v>66</v>
      </c>
      <c r="F3777" t="s">
        <v>31</v>
      </c>
      <c r="G3777" t="s">
        <v>2630</v>
      </c>
      <c r="H3777" t="s">
        <v>18</v>
      </c>
      <c r="I3777" s="26" t="s">
        <v>378</v>
      </c>
    </row>
    <row r="3778" spans="1:9" x14ac:dyDescent="0.3">
      <c r="A3778" s="24">
        <v>45376</v>
      </c>
      <c r="B3778" t="s">
        <v>72</v>
      </c>
      <c r="C3778" t="s">
        <v>29</v>
      </c>
      <c r="D3778">
        <v>0.27</v>
      </c>
      <c r="E3778" t="s">
        <v>42</v>
      </c>
      <c r="F3778" t="s">
        <v>55</v>
      </c>
      <c r="H3778" t="s">
        <v>18</v>
      </c>
      <c r="I3778" s="26" t="s">
        <v>378</v>
      </c>
    </row>
    <row r="3779" spans="1:9" x14ac:dyDescent="0.3">
      <c r="A3779" s="24">
        <v>45376</v>
      </c>
      <c r="B3779" t="s">
        <v>72</v>
      </c>
      <c r="C3779" t="s">
        <v>29</v>
      </c>
      <c r="D3779">
        <v>3.12</v>
      </c>
      <c r="E3779" t="s">
        <v>358</v>
      </c>
      <c r="F3779" t="s">
        <v>31</v>
      </c>
      <c r="H3779" t="s">
        <v>18</v>
      </c>
      <c r="I3779" s="26" t="s">
        <v>378</v>
      </c>
    </row>
    <row r="3780" spans="1:9" x14ac:dyDescent="0.3">
      <c r="A3780" s="24">
        <v>45376</v>
      </c>
      <c r="B3780" t="s">
        <v>72</v>
      </c>
      <c r="C3780" t="s">
        <v>53</v>
      </c>
      <c r="D3780">
        <v>0.05</v>
      </c>
      <c r="E3780" t="s">
        <v>54</v>
      </c>
      <c r="F3780" t="s">
        <v>55</v>
      </c>
      <c r="G3780" t="s">
        <v>207</v>
      </c>
      <c r="H3780" t="s">
        <v>18</v>
      </c>
      <c r="I3780" s="26" t="s">
        <v>378</v>
      </c>
    </row>
    <row r="3781" spans="1:9" x14ac:dyDescent="0.3">
      <c r="A3781" s="24">
        <v>45376</v>
      </c>
      <c r="B3781" t="s">
        <v>72</v>
      </c>
      <c r="C3781" t="s">
        <v>53</v>
      </c>
      <c r="D3781">
        <v>0.38</v>
      </c>
      <c r="E3781" t="s">
        <v>54</v>
      </c>
      <c r="F3781" t="s">
        <v>55</v>
      </c>
      <c r="G3781" t="s">
        <v>2631</v>
      </c>
      <c r="H3781" t="s">
        <v>18</v>
      </c>
      <c r="I3781" s="26" t="s">
        <v>378</v>
      </c>
    </row>
    <row r="3782" spans="1:9" x14ac:dyDescent="0.3">
      <c r="A3782" s="24">
        <v>45376</v>
      </c>
      <c r="B3782" t="s">
        <v>72</v>
      </c>
      <c r="C3782" t="s">
        <v>53</v>
      </c>
      <c r="D3782">
        <v>0.55000000000000004</v>
      </c>
      <c r="E3782" t="s">
        <v>54</v>
      </c>
      <c r="F3782" t="s">
        <v>55</v>
      </c>
      <c r="G3782" t="s">
        <v>2632</v>
      </c>
      <c r="H3782" t="s">
        <v>18</v>
      </c>
      <c r="I3782" s="26" t="s">
        <v>378</v>
      </c>
    </row>
    <row r="3783" spans="1:9" x14ac:dyDescent="0.3">
      <c r="A3783" s="24">
        <v>45376</v>
      </c>
      <c r="B3783" t="s">
        <v>72</v>
      </c>
      <c r="C3783" t="s">
        <v>53</v>
      </c>
      <c r="D3783">
        <v>0.72</v>
      </c>
      <c r="E3783" t="s">
        <v>54</v>
      </c>
      <c r="F3783" t="s">
        <v>55</v>
      </c>
      <c r="G3783" t="s">
        <v>2633</v>
      </c>
      <c r="H3783" t="s">
        <v>18</v>
      </c>
      <c r="I3783" s="26" t="s">
        <v>378</v>
      </c>
    </row>
    <row r="3784" spans="1:9" x14ac:dyDescent="0.3">
      <c r="A3784" s="24">
        <v>45376</v>
      </c>
      <c r="B3784" t="s">
        <v>72</v>
      </c>
      <c r="C3784" t="s">
        <v>53</v>
      </c>
      <c r="D3784">
        <v>0.78</v>
      </c>
      <c r="E3784" t="s">
        <v>54</v>
      </c>
      <c r="F3784" t="s">
        <v>55</v>
      </c>
      <c r="G3784" t="s">
        <v>2634</v>
      </c>
      <c r="H3784" t="s">
        <v>18</v>
      </c>
      <c r="I3784" s="26" t="s">
        <v>378</v>
      </c>
    </row>
    <row r="3785" spans="1:9" x14ac:dyDescent="0.3">
      <c r="A3785" s="24">
        <v>45376</v>
      </c>
      <c r="B3785" t="s">
        <v>72</v>
      </c>
      <c r="C3785" t="s">
        <v>53</v>
      </c>
      <c r="D3785">
        <v>1.45</v>
      </c>
      <c r="E3785" t="s">
        <v>54</v>
      </c>
      <c r="F3785" t="s">
        <v>55</v>
      </c>
      <c r="G3785" t="s">
        <v>2635</v>
      </c>
      <c r="H3785" t="s">
        <v>18</v>
      </c>
      <c r="I3785" s="26" t="s">
        <v>378</v>
      </c>
    </row>
    <row r="3786" spans="1:9" x14ac:dyDescent="0.3">
      <c r="A3786" s="24">
        <v>45376</v>
      </c>
      <c r="B3786" t="s">
        <v>72</v>
      </c>
      <c r="C3786" t="s">
        <v>58</v>
      </c>
      <c r="D3786">
        <v>0.73</v>
      </c>
      <c r="E3786" t="s">
        <v>54</v>
      </c>
      <c r="F3786" t="s">
        <v>55</v>
      </c>
      <c r="G3786" t="s">
        <v>2636</v>
      </c>
      <c r="H3786" t="s">
        <v>18</v>
      </c>
      <c r="I3786" s="26" t="s">
        <v>378</v>
      </c>
    </row>
    <row r="3787" spans="1:9" x14ac:dyDescent="0.3">
      <c r="A3787" s="24">
        <v>45376</v>
      </c>
      <c r="B3787" t="s">
        <v>79</v>
      </c>
      <c r="C3787" t="s">
        <v>53</v>
      </c>
      <c r="D3787">
        <v>8</v>
      </c>
      <c r="E3787" t="s">
        <v>54</v>
      </c>
      <c r="F3787" t="s">
        <v>55</v>
      </c>
      <c r="H3787" t="s">
        <v>18</v>
      </c>
      <c r="I3787" s="26" t="s">
        <v>378</v>
      </c>
    </row>
    <row r="3788" spans="1:9" x14ac:dyDescent="0.3">
      <c r="A3788" s="24">
        <v>45376</v>
      </c>
      <c r="B3788" t="s">
        <v>88</v>
      </c>
      <c r="C3788" t="s">
        <v>394</v>
      </c>
      <c r="D3788">
        <v>8</v>
      </c>
      <c r="E3788" t="s">
        <v>54</v>
      </c>
      <c r="F3788" t="s">
        <v>55</v>
      </c>
      <c r="G3788" t="s">
        <v>2637</v>
      </c>
      <c r="H3788" t="s">
        <v>18</v>
      </c>
      <c r="I3788" s="26" t="s">
        <v>378</v>
      </c>
    </row>
    <row r="3789" spans="1:9" x14ac:dyDescent="0.3">
      <c r="A3789" s="24">
        <v>45376</v>
      </c>
      <c r="B3789" t="s">
        <v>97</v>
      </c>
      <c r="C3789" t="s">
        <v>89</v>
      </c>
      <c r="D3789">
        <v>4</v>
      </c>
      <c r="E3789" t="s">
        <v>54</v>
      </c>
      <c r="F3789" t="s">
        <v>55</v>
      </c>
      <c r="G3789" t="s">
        <v>2638</v>
      </c>
      <c r="H3789" t="s">
        <v>18</v>
      </c>
      <c r="I3789" s="26" t="s">
        <v>378</v>
      </c>
    </row>
    <row r="3790" spans="1:9" x14ac:dyDescent="0.3">
      <c r="A3790" s="24">
        <v>45376</v>
      </c>
      <c r="B3790" t="s">
        <v>99</v>
      </c>
      <c r="C3790" t="s">
        <v>89</v>
      </c>
      <c r="D3790">
        <v>9.1999999999999993</v>
      </c>
      <c r="E3790" t="s">
        <v>54</v>
      </c>
      <c r="F3790" t="s">
        <v>55</v>
      </c>
      <c r="G3790" t="s">
        <v>2639</v>
      </c>
      <c r="H3790" t="s">
        <v>18</v>
      </c>
      <c r="I3790" s="26" t="s">
        <v>378</v>
      </c>
    </row>
    <row r="3791" spans="1:9" x14ac:dyDescent="0.3">
      <c r="A3791" s="24">
        <v>45376</v>
      </c>
      <c r="B3791" t="s">
        <v>101</v>
      </c>
      <c r="C3791" t="s">
        <v>73</v>
      </c>
      <c r="D3791">
        <v>8</v>
      </c>
      <c r="E3791" t="s">
        <v>54</v>
      </c>
      <c r="F3791" t="s">
        <v>55</v>
      </c>
      <c r="G3791" t="s">
        <v>2640</v>
      </c>
      <c r="H3791" t="s">
        <v>18</v>
      </c>
      <c r="I3791" s="26" t="s">
        <v>378</v>
      </c>
    </row>
    <row r="3792" spans="1:9" x14ac:dyDescent="0.3">
      <c r="A3792" s="24">
        <v>45376</v>
      </c>
      <c r="B3792" t="s">
        <v>402</v>
      </c>
      <c r="C3792" t="s">
        <v>405</v>
      </c>
      <c r="D3792">
        <v>1</v>
      </c>
      <c r="E3792" t="s">
        <v>42</v>
      </c>
      <c r="F3792" t="s">
        <v>31</v>
      </c>
      <c r="G3792" t="s">
        <v>2641</v>
      </c>
      <c r="H3792" t="s">
        <v>18</v>
      </c>
      <c r="I3792" s="26" t="s">
        <v>378</v>
      </c>
    </row>
    <row r="3793" spans="1:9" x14ac:dyDescent="0.3">
      <c r="A3793" s="24">
        <v>45376</v>
      </c>
      <c r="B3793" t="s">
        <v>113</v>
      </c>
      <c r="C3793" t="s">
        <v>29</v>
      </c>
      <c r="D3793">
        <v>0.22</v>
      </c>
      <c r="E3793" t="s">
        <v>291</v>
      </c>
      <c r="F3793" t="s">
        <v>55</v>
      </c>
      <c r="G3793" t="s">
        <v>2642</v>
      </c>
      <c r="H3793" t="s">
        <v>18</v>
      </c>
      <c r="I3793" s="26" t="s">
        <v>378</v>
      </c>
    </row>
    <row r="3794" spans="1:9" x14ac:dyDescent="0.3">
      <c r="A3794" s="24">
        <v>45376</v>
      </c>
      <c r="B3794" t="s">
        <v>113</v>
      </c>
      <c r="C3794" t="s">
        <v>29</v>
      </c>
      <c r="D3794">
        <v>0.45</v>
      </c>
      <c r="E3794" t="s">
        <v>127</v>
      </c>
      <c r="F3794" t="s">
        <v>31</v>
      </c>
      <c r="G3794" t="s">
        <v>207</v>
      </c>
      <c r="H3794" t="s">
        <v>18</v>
      </c>
      <c r="I3794" s="26" t="s">
        <v>378</v>
      </c>
    </row>
    <row r="3795" spans="1:9" x14ac:dyDescent="0.3">
      <c r="A3795" s="24">
        <v>45376</v>
      </c>
      <c r="B3795" t="s">
        <v>113</v>
      </c>
      <c r="C3795" t="s">
        <v>29</v>
      </c>
      <c r="D3795">
        <v>0.47</v>
      </c>
      <c r="E3795" t="s">
        <v>114</v>
      </c>
      <c r="F3795" t="s">
        <v>31</v>
      </c>
      <c r="G3795" t="s">
        <v>2396</v>
      </c>
      <c r="H3795" t="s">
        <v>18</v>
      </c>
      <c r="I3795" s="26" t="s">
        <v>378</v>
      </c>
    </row>
    <row r="3796" spans="1:9" x14ac:dyDescent="0.3">
      <c r="A3796" s="24">
        <v>45376</v>
      </c>
      <c r="B3796" t="s">
        <v>113</v>
      </c>
      <c r="C3796" t="s">
        <v>29</v>
      </c>
      <c r="D3796">
        <v>0.85</v>
      </c>
      <c r="E3796" t="s">
        <v>116</v>
      </c>
      <c r="F3796" t="s">
        <v>31</v>
      </c>
      <c r="G3796" t="s">
        <v>117</v>
      </c>
      <c r="H3796" t="s">
        <v>18</v>
      </c>
      <c r="I3796" s="26" t="s">
        <v>378</v>
      </c>
    </row>
    <row r="3797" spans="1:9" x14ac:dyDescent="0.3">
      <c r="A3797" s="24">
        <v>45376</v>
      </c>
      <c r="B3797" t="s">
        <v>113</v>
      </c>
      <c r="C3797" t="s">
        <v>29</v>
      </c>
      <c r="D3797">
        <v>1.48</v>
      </c>
      <c r="E3797" t="s">
        <v>116</v>
      </c>
      <c r="F3797" t="s">
        <v>31</v>
      </c>
      <c r="G3797" t="s">
        <v>118</v>
      </c>
      <c r="H3797" t="s">
        <v>18</v>
      </c>
      <c r="I3797" s="26" t="s">
        <v>378</v>
      </c>
    </row>
    <row r="3798" spans="1:9" x14ac:dyDescent="0.3">
      <c r="A3798" s="24">
        <v>45376</v>
      </c>
      <c r="B3798" t="s">
        <v>113</v>
      </c>
      <c r="C3798" t="s">
        <v>53</v>
      </c>
      <c r="D3798">
        <v>0.25</v>
      </c>
      <c r="E3798" t="s">
        <v>54</v>
      </c>
      <c r="F3798" t="s">
        <v>55</v>
      </c>
      <c r="G3798" t="s">
        <v>413</v>
      </c>
      <c r="H3798" t="s">
        <v>18</v>
      </c>
      <c r="I3798" s="26" t="s">
        <v>378</v>
      </c>
    </row>
    <row r="3799" spans="1:9" x14ac:dyDescent="0.3">
      <c r="A3799" s="24">
        <v>45376</v>
      </c>
      <c r="B3799" t="s">
        <v>113</v>
      </c>
      <c r="C3799" t="s">
        <v>53</v>
      </c>
      <c r="D3799">
        <v>0.5</v>
      </c>
      <c r="E3799" t="s">
        <v>54</v>
      </c>
      <c r="F3799" t="s">
        <v>55</v>
      </c>
      <c r="G3799" t="s">
        <v>110</v>
      </c>
      <c r="H3799" t="s">
        <v>18</v>
      </c>
      <c r="I3799" s="26" t="s">
        <v>378</v>
      </c>
    </row>
    <row r="3800" spans="1:9" x14ac:dyDescent="0.3">
      <c r="A3800" s="24">
        <v>45376</v>
      </c>
      <c r="B3800" t="s">
        <v>113</v>
      </c>
      <c r="C3800" t="s">
        <v>53</v>
      </c>
      <c r="D3800">
        <v>0.63</v>
      </c>
      <c r="E3800" t="s">
        <v>54</v>
      </c>
      <c r="F3800" t="s">
        <v>55</v>
      </c>
      <c r="G3800" t="s">
        <v>1708</v>
      </c>
      <c r="H3800" t="s">
        <v>18</v>
      </c>
      <c r="I3800" s="26" t="s">
        <v>378</v>
      </c>
    </row>
    <row r="3801" spans="1:9" x14ac:dyDescent="0.3">
      <c r="A3801" s="24">
        <v>45376</v>
      </c>
      <c r="B3801" t="s">
        <v>113</v>
      </c>
      <c r="C3801" t="s">
        <v>148</v>
      </c>
      <c r="D3801">
        <v>0.48</v>
      </c>
      <c r="E3801" t="s">
        <v>54</v>
      </c>
      <c r="F3801" t="s">
        <v>55</v>
      </c>
      <c r="G3801" t="s">
        <v>2643</v>
      </c>
      <c r="H3801" t="s">
        <v>18</v>
      </c>
      <c r="I3801" s="26" t="s">
        <v>378</v>
      </c>
    </row>
    <row r="3802" spans="1:9" x14ac:dyDescent="0.3">
      <c r="A3802" s="24">
        <v>45376</v>
      </c>
      <c r="B3802" t="s">
        <v>113</v>
      </c>
      <c r="C3802" t="s">
        <v>60</v>
      </c>
      <c r="D3802">
        <v>0.25</v>
      </c>
      <c r="E3802" t="s">
        <v>81</v>
      </c>
      <c r="F3802" t="s">
        <v>31</v>
      </c>
      <c r="G3802" t="s">
        <v>412</v>
      </c>
      <c r="H3802" t="s">
        <v>18</v>
      </c>
      <c r="I3802" s="26" t="s">
        <v>378</v>
      </c>
    </row>
    <row r="3803" spans="1:9" x14ac:dyDescent="0.3">
      <c r="A3803" s="24">
        <v>45376</v>
      </c>
      <c r="B3803" t="s">
        <v>113</v>
      </c>
      <c r="C3803" t="s">
        <v>60</v>
      </c>
      <c r="D3803">
        <v>0.32</v>
      </c>
      <c r="E3803" t="s">
        <v>81</v>
      </c>
      <c r="F3803" t="s">
        <v>31</v>
      </c>
      <c r="G3803" t="s">
        <v>2644</v>
      </c>
      <c r="H3803" t="s">
        <v>18</v>
      </c>
      <c r="I3803" s="26" t="s">
        <v>378</v>
      </c>
    </row>
    <row r="3804" spans="1:9" x14ac:dyDescent="0.3">
      <c r="A3804" s="24">
        <v>45376</v>
      </c>
      <c r="B3804" t="s">
        <v>113</v>
      </c>
      <c r="C3804" t="s">
        <v>60</v>
      </c>
      <c r="D3804">
        <v>0.42</v>
      </c>
      <c r="E3804" t="s">
        <v>37</v>
      </c>
      <c r="F3804" t="s">
        <v>31</v>
      </c>
      <c r="G3804" t="s">
        <v>2645</v>
      </c>
      <c r="H3804" t="s">
        <v>18</v>
      </c>
      <c r="I3804" s="26" t="s">
        <v>378</v>
      </c>
    </row>
    <row r="3805" spans="1:9" x14ac:dyDescent="0.3">
      <c r="A3805" s="24">
        <v>45376</v>
      </c>
      <c r="B3805" t="s">
        <v>113</v>
      </c>
      <c r="C3805" t="s">
        <v>60</v>
      </c>
      <c r="D3805">
        <v>0.42</v>
      </c>
      <c r="E3805" t="s">
        <v>48</v>
      </c>
      <c r="F3805" t="s">
        <v>31</v>
      </c>
      <c r="G3805" t="s">
        <v>126</v>
      </c>
      <c r="H3805" t="s">
        <v>18</v>
      </c>
      <c r="I3805" s="26" t="s">
        <v>378</v>
      </c>
    </row>
    <row r="3806" spans="1:9" x14ac:dyDescent="0.3">
      <c r="A3806" s="24">
        <v>45376</v>
      </c>
      <c r="B3806" t="s">
        <v>113</v>
      </c>
      <c r="C3806" t="s">
        <v>60</v>
      </c>
      <c r="D3806">
        <v>1.27</v>
      </c>
      <c r="E3806" t="s">
        <v>143</v>
      </c>
      <c r="F3806" t="s">
        <v>31</v>
      </c>
      <c r="H3806" t="s">
        <v>18</v>
      </c>
      <c r="I3806" s="26" t="s">
        <v>378</v>
      </c>
    </row>
    <row r="3807" spans="1:9" x14ac:dyDescent="0.3">
      <c r="A3807" s="24">
        <v>45376</v>
      </c>
      <c r="B3807" t="s">
        <v>132</v>
      </c>
      <c r="C3807" t="s">
        <v>53</v>
      </c>
      <c r="D3807">
        <v>9.6199999999999992</v>
      </c>
      <c r="E3807" t="s">
        <v>54</v>
      </c>
      <c r="F3807" t="s">
        <v>55</v>
      </c>
      <c r="G3807" t="s">
        <v>2646</v>
      </c>
      <c r="H3807" t="s">
        <v>18</v>
      </c>
      <c r="I3807" s="26" t="s">
        <v>378</v>
      </c>
    </row>
    <row r="3808" spans="1:9" x14ac:dyDescent="0.3">
      <c r="A3808" s="24">
        <v>45376</v>
      </c>
      <c r="B3808" t="s">
        <v>134</v>
      </c>
      <c r="C3808" t="s">
        <v>73</v>
      </c>
      <c r="D3808">
        <v>8</v>
      </c>
      <c r="E3808" t="s">
        <v>54</v>
      </c>
      <c r="F3808" t="s">
        <v>55</v>
      </c>
      <c r="H3808" t="s">
        <v>18</v>
      </c>
      <c r="I3808" s="26" t="s">
        <v>378</v>
      </c>
    </row>
    <row r="3809" spans="1:9" x14ac:dyDescent="0.3">
      <c r="A3809" s="24">
        <v>45376</v>
      </c>
      <c r="B3809" t="s">
        <v>150</v>
      </c>
      <c r="C3809" t="s">
        <v>29</v>
      </c>
      <c r="D3809">
        <v>0.18</v>
      </c>
      <c r="E3809" t="s">
        <v>151</v>
      </c>
      <c r="F3809" t="s">
        <v>31</v>
      </c>
      <c r="G3809" t="s">
        <v>617</v>
      </c>
      <c r="H3809" t="s">
        <v>18</v>
      </c>
      <c r="I3809" s="26" t="s">
        <v>378</v>
      </c>
    </row>
    <row r="3810" spans="1:9" x14ac:dyDescent="0.3">
      <c r="A3810" s="24">
        <v>45376</v>
      </c>
      <c r="B3810" t="s">
        <v>150</v>
      </c>
      <c r="C3810" t="s">
        <v>29</v>
      </c>
      <c r="D3810">
        <v>0.28000000000000003</v>
      </c>
      <c r="E3810" t="s">
        <v>151</v>
      </c>
      <c r="F3810" t="s">
        <v>55</v>
      </c>
      <c r="G3810" t="s">
        <v>2647</v>
      </c>
      <c r="H3810" t="s">
        <v>18</v>
      </c>
      <c r="I3810" s="26" t="s">
        <v>378</v>
      </c>
    </row>
    <row r="3811" spans="1:9" x14ac:dyDescent="0.3">
      <c r="A3811" s="24">
        <v>45376</v>
      </c>
      <c r="B3811" t="s">
        <v>150</v>
      </c>
      <c r="C3811" t="s">
        <v>29</v>
      </c>
      <c r="D3811">
        <v>0.42</v>
      </c>
      <c r="E3811" t="s">
        <v>151</v>
      </c>
      <c r="F3811" t="s">
        <v>55</v>
      </c>
      <c r="G3811" t="s">
        <v>2648</v>
      </c>
      <c r="H3811" t="s">
        <v>18</v>
      </c>
      <c r="I3811" s="26" t="s">
        <v>378</v>
      </c>
    </row>
    <row r="3812" spans="1:9" x14ac:dyDescent="0.3">
      <c r="A3812" s="24">
        <v>45376</v>
      </c>
      <c r="B3812" t="s">
        <v>150</v>
      </c>
      <c r="C3812" t="s">
        <v>29</v>
      </c>
      <c r="D3812">
        <v>0.48</v>
      </c>
      <c r="E3812" t="s">
        <v>437</v>
      </c>
      <c r="F3812" t="s">
        <v>31</v>
      </c>
      <c r="G3812" t="s">
        <v>617</v>
      </c>
      <c r="H3812" t="s">
        <v>18</v>
      </c>
      <c r="I3812" s="26" t="s">
        <v>378</v>
      </c>
    </row>
    <row r="3813" spans="1:9" x14ac:dyDescent="0.3">
      <c r="A3813" s="24">
        <v>45376</v>
      </c>
      <c r="B3813" t="s">
        <v>150</v>
      </c>
      <c r="C3813" t="s">
        <v>29</v>
      </c>
      <c r="D3813">
        <v>0.53</v>
      </c>
      <c r="E3813" t="s">
        <v>437</v>
      </c>
      <c r="F3813" t="s">
        <v>31</v>
      </c>
      <c r="G3813" t="s">
        <v>2649</v>
      </c>
      <c r="H3813" t="s">
        <v>18</v>
      </c>
      <c r="I3813" s="26" t="s">
        <v>378</v>
      </c>
    </row>
    <row r="3814" spans="1:9" x14ac:dyDescent="0.3">
      <c r="A3814" s="24">
        <v>45376</v>
      </c>
      <c r="B3814" t="s">
        <v>150</v>
      </c>
      <c r="C3814" t="s">
        <v>29</v>
      </c>
      <c r="D3814">
        <v>0.82</v>
      </c>
      <c r="E3814" t="s">
        <v>114</v>
      </c>
      <c r="F3814" t="s">
        <v>31</v>
      </c>
      <c r="G3814" t="s">
        <v>2650</v>
      </c>
      <c r="H3814" t="s">
        <v>18</v>
      </c>
      <c r="I3814" s="26" t="s">
        <v>378</v>
      </c>
    </row>
    <row r="3815" spans="1:9" x14ac:dyDescent="0.3">
      <c r="A3815" s="24">
        <v>45376</v>
      </c>
      <c r="B3815" t="s">
        <v>150</v>
      </c>
      <c r="C3815" t="s">
        <v>29</v>
      </c>
      <c r="D3815">
        <v>1</v>
      </c>
      <c r="E3815" t="s">
        <v>151</v>
      </c>
      <c r="F3815" t="s">
        <v>31</v>
      </c>
      <c r="G3815" t="s">
        <v>2651</v>
      </c>
      <c r="H3815" t="s">
        <v>18</v>
      </c>
      <c r="I3815" s="26" t="s">
        <v>378</v>
      </c>
    </row>
    <row r="3816" spans="1:9" x14ac:dyDescent="0.3">
      <c r="A3816" s="24">
        <v>45376</v>
      </c>
      <c r="B3816" t="s">
        <v>150</v>
      </c>
      <c r="C3816" t="s">
        <v>29</v>
      </c>
      <c r="D3816">
        <v>1.72</v>
      </c>
      <c r="E3816" t="s">
        <v>437</v>
      </c>
      <c r="F3816" t="s">
        <v>31</v>
      </c>
      <c r="G3816" t="s">
        <v>152</v>
      </c>
      <c r="H3816" t="s">
        <v>18</v>
      </c>
      <c r="I3816" s="26" t="s">
        <v>378</v>
      </c>
    </row>
    <row r="3817" spans="1:9" x14ac:dyDescent="0.3">
      <c r="A3817" s="24">
        <v>45376</v>
      </c>
      <c r="B3817" t="s">
        <v>150</v>
      </c>
      <c r="C3817" t="s">
        <v>85</v>
      </c>
      <c r="D3817">
        <v>0.08</v>
      </c>
      <c r="E3817" t="s">
        <v>162</v>
      </c>
      <c r="F3817" t="s">
        <v>55</v>
      </c>
      <c r="G3817" t="s">
        <v>2652</v>
      </c>
      <c r="H3817" t="s">
        <v>18</v>
      </c>
      <c r="I3817" s="26" t="s">
        <v>378</v>
      </c>
    </row>
    <row r="3818" spans="1:9" x14ac:dyDescent="0.3">
      <c r="A3818" s="24">
        <v>45376</v>
      </c>
      <c r="B3818" t="s">
        <v>150</v>
      </c>
      <c r="C3818" t="s">
        <v>53</v>
      </c>
      <c r="D3818">
        <v>0.08</v>
      </c>
      <c r="E3818" t="s">
        <v>54</v>
      </c>
      <c r="F3818" t="s">
        <v>55</v>
      </c>
      <c r="G3818" t="s">
        <v>1418</v>
      </c>
      <c r="H3818" t="s">
        <v>18</v>
      </c>
      <c r="I3818" s="26" t="s">
        <v>378</v>
      </c>
    </row>
    <row r="3819" spans="1:9" x14ac:dyDescent="0.3">
      <c r="A3819" s="24">
        <v>45376</v>
      </c>
      <c r="B3819" t="s">
        <v>150</v>
      </c>
      <c r="C3819" t="s">
        <v>148</v>
      </c>
      <c r="D3819">
        <v>0.78</v>
      </c>
      <c r="E3819" t="s">
        <v>54</v>
      </c>
      <c r="F3819" t="s">
        <v>55</v>
      </c>
      <c r="G3819" t="s">
        <v>2653</v>
      </c>
      <c r="H3819" t="s">
        <v>18</v>
      </c>
      <c r="I3819" s="26" t="s">
        <v>378</v>
      </c>
    </row>
    <row r="3820" spans="1:9" x14ac:dyDescent="0.3">
      <c r="A3820" s="24">
        <v>45376</v>
      </c>
      <c r="B3820" t="s">
        <v>150</v>
      </c>
      <c r="C3820" t="s">
        <v>58</v>
      </c>
      <c r="D3820">
        <v>0.68</v>
      </c>
      <c r="E3820" t="s">
        <v>54</v>
      </c>
      <c r="F3820" t="s">
        <v>55</v>
      </c>
      <c r="G3820" t="s">
        <v>161</v>
      </c>
      <c r="H3820" t="s">
        <v>18</v>
      </c>
      <c r="I3820" s="26" t="s">
        <v>378</v>
      </c>
    </row>
    <row r="3821" spans="1:9" x14ac:dyDescent="0.3">
      <c r="A3821" s="24">
        <v>45376</v>
      </c>
      <c r="B3821" t="s">
        <v>150</v>
      </c>
      <c r="C3821" t="s">
        <v>60</v>
      </c>
      <c r="D3821">
        <v>0.13</v>
      </c>
      <c r="E3821" t="s">
        <v>162</v>
      </c>
      <c r="F3821" t="s">
        <v>31</v>
      </c>
      <c r="G3821" t="s">
        <v>2654</v>
      </c>
      <c r="H3821" t="s">
        <v>18</v>
      </c>
      <c r="I3821" s="26" t="s">
        <v>378</v>
      </c>
    </row>
    <row r="3822" spans="1:9" x14ac:dyDescent="0.3">
      <c r="A3822" s="24">
        <v>45376</v>
      </c>
      <c r="B3822" t="s">
        <v>150</v>
      </c>
      <c r="C3822" t="s">
        <v>60</v>
      </c>
      <c r="D3822">
        <v>0.25</v>
      </c>
      <c r="E3822" t="s">
        <v>156</v>
      </c>
      <c r="F3822" t="s">
        <v>31</v>
      </c>
      <c r="G3822" t="s">
        <v>2655</v>
      </c>
      <c r="H3822" t="s">
        <v>18</v>
      </c>
      <c r="I3822" s="26" t="s">
        <v>378</v>
      </c>
    </row>
    <row r="3823" spans="1:9" x14ac:dyDescent="0.3">
      <c r="A3823" s="24">
        <v>45376</v>
      </c>
      <c r="B3823" t="s">
        <v>150</v>
      </c>
      <c r="C3823" t="s">
        <v>60</v>
      </c>
      <c r="D3823">
        <v>0.55000000000000004</v>
      </c>
      <c r="E3823" t="s">
        <v>483</v>
      </c>
      <c r="F3823" t="s">
        <v>31</v>
      </c>
      <c r="G3823" t="s">
        <v>2656</v>
      </c>
      <c r="H3823" t="s">
        <v>18</v>
      </c>
      <c r="I3823" s="26" t="s">
        <v>378</v>
      </c>
    </row>
    <row r="3824" spans="1:9" x14ac:dyDescent="0.3">
      <c r="A3824" s="24">
        <v>45376</v>
      </c>
      <c r="B3824" t="s">
        <v>150</v>
      </c>
      <c r="C3824" t="s">
        <v>60</v>
      </c>
      <c r="D3824">
        <v>0.57999999999999996</v>
      </c>
      <c r="E3824" t="s">
        <v>162</v>
      </c>
      <c r="F3824" t="s">
        <v>31</v>
      </c>
      <c r="G3824" t="s">
        <v>2657</v>
      </c>
      <c r="H3824" t="s">
        <v>18</v>
      </c>
      <c r="I3824" s="26" t="s">
        <v>378</v>
      </c>
    </row>
    <row r="3825" spans="1:9" x14ac:dyDescent="0.3">
      <c r="A3825" s="24">
        <v>45376</v>
      </c>
      <c r="B3825" t="s">
        <v>150</v>
      </c>
      <c r="C3825" t="s">
        <v>60</v>
      </c>
      <c r="D3825">
        <v>0.57999999999999996</v>
      </c>
      <c r="E3825" t="s">
        <v>156</v>
      </c>
      <c r="F3825" t="s">
        <v>31</v>
      </c>
      <c r="G3825" t="s">
        <v>2658</v>
      </c>
      <c r="H3825" t="s">
        <v>18</v>
      </c>
      <c r="I3825" s="26" t="s">
        <v>378</v>
      </c>
    </row>
    <row r="3826" spans="1:9" x14ac:dyDescent="0.3">
      <c r="A3826" s="24">
        <v>45376</v>
      </c>
      <c r="B3826" t="s">
        <v>164</v>
      </c>
      <c r="C3826" t="s">
        <v>73</v>
      </c>
      <c r="D3826">
        <v>8</v>
      </c>
      <c r="E3826" t="s">
        <v>54</v>
      </c>
      <c r="F3826" t="s">
        <v>55</v>
      </c>
      <c r="H3826" t="s">
        <v>18</v>
      </c>
      <c r="I3826" s="26" t="s">
        <v>378</v>
      </c>
    </row>
    <row r="3827" spans="1:9" x14ac:dyDescent="0.3">
      <c r="A3827" s="24">
        <v>45376</v>
      </c>
      <c r="B3827" t="s">
        <v>169</v>
      </c>
      <c r="C3827" t="s">
        <v>29</v>
      </c>
      <c r="D3827">
        <v>2.85</v>
      </c>
      <c r="E3827" t="s">
        <v>170</v>
      </c>
      <c r="F3827" t="s">
        <v>31</v>
      </c>
      <c r="H3827" t="s">
        <v>18</v>
      </c>
      <c r="I3827" s="26" t="s">
        <v>378</v>
      </c>
    </row>
    <row r="3828" spans="1:9" x14ac:dyDescent="0.3">
      <c r="A3828" s="24">
        <v>45376</v>
      </c>
      <c r="B3828" t="s">
        <v>169</v>
      </c>
      <c r="C3828" t="s">
        <v>58</v>
      </c>
      <c r="D3828">
        <v>0.17</v>
      </c>
      <c r="E3828" t="s">
        <v>54</v>
      </c>
      <c r="F3828" t="s">
        <v>55</v>
      </c>
      <c r="G3828" t="s">
        <v>243</v>
      </c>
      <c r="H3828" t="s">
        <v>18</v>
      </c>
      <c r="I3828" s="26" t="s">
        <v>378</v>
      </c>
    </row>
    <row r="3829" spans="1:9" x14ac:dyDescent="0.3">
      <c r="A3829" s="24">
        <v>45376</v>
      </c>
      <c r="B3829" t="s">
        <v>169</v>
      </c>
      <c r="C3829" t="s">
        <v>60</v>
      </c>
      <c r="D3829">
        <v>1.17</v>
      </c>
      <c r="E3829" t="s">
        <v>35</v>
      </c>
      <c r="F3829" t="s">
        <v>31</v>
      </c>
      <c r="G3829" t="s">
        <v>2659</v>
      </c>
      <c r="H3829" t="s">
        <v>18</v>
      </c>
      <c r="I3829" s="26" t="s">
        <v>378</v>
      </c>
    </row>
    <row r="3830" spans="1:9" x14ac:dyDescent="0.3">
      <c r="A3830" s="24">
        <v>45376</v>
      </c>
      <c r="B3830" t="s">
        <v>169</v>
      </c>
      <c r="C3830" t="s">
        <v>60</v>
      </c>
      <c r="D3830">
        <v>1.38</v>
      </c>
      <c r="E3830" t="s">
        <v>445</v>
      </c>
      <c r="F3830" t="s">
        <v>31</v>
      </c>
      <c r="G3830" t="s">
        <v>2660</v>
      </c>
      <c r="H3830" t="s">
        <v>18</v>
      </c>
      <c r="I3830" s="26" t="s">
        <v>378</v>
      </c>
    </row>
    <row r="3831" spans="1:9" x14ac:dyDescent="0.3">
      <c r="A3831" s="24">
        <v>45376</v>
      </c>
      <c r="B3831" t="s">
        <v>169</v>
      </c>
      <c r="C3831" t="s">
        <v>60</v>
      </c>
      <c r="D3831">
        <v>2.5</v>
      </c>
      <c r="E3831" t="s">
        <v>445</v>
      </c>
      <c r="F3831" t="s">
        <v>31</v>
      </c>
      <c r="H3831" t="s">
        <v>18</v>
      </c>
      <c r="I3831" s="26" t="s">
        <v>378</v>
      </c>
    </row>
    <row r="3832" spans="1:9" x14ac:dyDescent="0.3">
      <c r="A3832" s="24">
        <v>45376</v>
      </c>
      <c r="B3832" t="s">
        <v>175</v>
      </c>
      <c r="C3832" t="s">
        <v>29</v>
      </c>
      <c r="D3832">
        <v>0.45</v>
      </c>
      <c r="E3832" t="s">
        <v>179</v>
      </c>
      <c r="F3832" t="s">
        <v>31</v>
      </c>
      <c r="G3832" t="s">
        <v>2661</v>
      </c>
      <c r="H3832" t="s">
        <v>18</v>
      </c>
      <c r="I3832" s="26" t="s">
        <v>378</v>
      </c>
    </row>
    <row r="3833" spans="1:9" x14ac:dyDescent="0.3">
      <c r="A3833" s="24">
        <v>45376</v>
      </c>
      <c r="B3833" t="s">
        <v>175</v>
      </c>
      <c r="C3833" t="s">
        <v>29</v>
      </c>
      <c r="D3833">
        <v>0.5</v>
      </c>
      <c r="E3833" t="s">
        <v>176</v>
      </c>
      <c r="F3833" t="s">
        <v>31</v>
      </c>
      <c r="G3833" t="s">
        <v>2662</v>
      </c>
      <c r="H3833" t="s">
        <v>18</v>
      </c>
      <c r="I3833" s="26" t="s">
        <v>378</v>
      </c>
    </row>
    <row r="3834" spans="1:9" x14ac:dyDescent="0.3">
      <c r="A3834" s="24">
        <v>45376</v>
      </c>
      <c r="B3834" t="s">
        <v>175</v>
      </c>
      <c r="C3834" t="s">
        <v>29</v>
      </c>
      <c r="D3834">
        <v>0.5</v>
      </c>
      <c r="E3834" t="s">
        <v>127</v>
      </c>
      <c r="F3834" t="s">
        <v>31</v>
      </c>
      <c r="G3834" t="s">
        <v>2663</v>
      </c>
      <c r="H3834" t="s">
        <v>18</v>
      </c>
      <c r="I3834" s="26" t="s">
        <v>378</v>
      </c>
    </row>
    <row r="3835" spans="1:9" x14ac:dyDescent="0.3">
      <c r="A3835" s="24">
        <v>45376</v>
      </c>
      <c r="B3835" t="s">
        <v>175</v>
      </c>
      <c r="C3835" t="s">
        <v>29</v>
      </c>
      <c r="D3835">
        <v>0.57999999999999996</v>
      </c>
      <c r="E3835" t="s">
        <v>179</v>
      </c>
      <c r="F3835" t="s">
        <v>31</v>
      </c>
      <c r="G3835" t="s">
        <v>2664</v>
      </c>
      <c r="H3835" t="s">
        <v>18</v>
      </c>
      <c r="I3835" s="26" t="s">
        <v>378</v>
      </c>
    </row>
    <row r="3836" spans="1:9" x14ac:dyDescent="0.3">
      <c r="A3836" s="24">
        <v>45376</v>
      </c>
      <c r="B3836" t="s">
        <v>175</v>
      </c>
      <c r="C3836" t="s">
        <v>29</v>
      </c>
      <c r="D3836">
        <v>0.92</v>
      </c>
      <c r="E3836" t="s">
        <v>185</v>
      </c>
      <c r="F3836" t="s">
        <v>31</v>
      </c>
      <c r="H3836" t="s">
        <v>18</v>
      </c>
      <c r="I3836" s="26" t="s">
        <v>378</v>
      </c>
    </row>
    <row r="3837" spans="1:9" x14ac:dyDescent="0.3">
      <c r="A3837" s="24">
        <v>45376</v>
      </c>
      <c r="B3837" t="s">
        <v>175</v>
      </c>
      <c r="C3837" t="s">
        <v>29</v>
      </c>
      <c r="D3837">
        <v>1.28</v>
      </c>
      <c r="E3837" t="s">
        <v>177</v>
      </c>
      <c r="F3837" t="s">
        <v>31</v>
      </c>
      <c r="G3837" t="s">
        <v>2665</v>
      </c>
      <c r="H3837" t="s">
        <v>18</v>
      </c>
      <c r="I3837" s="26" t="s">
        <v>378</v>
      </c>
    </row>
    <row r="3838" spans="1:9" x14ac:dyDescent="0.3">
      <c r="A3838" s="24">
        <v>45376</v>
      </c>
      <c r="B3838" t="s">
        <v>175</v>
      </c>
      <c r="C3838" t="s">
        <v>29</v>
      </c>
      <c r="D3838">
        <v>1.78</v>
      </c>
      <c r="E3838" t="s">
        <v>127</v>
      </c>
      <c r="F3838" t="s">
        <v>31</v>
      </c>
      <c r="H3838" t="s">
        <v>18</v>
      </c>
      <c r="I3838" s="26" t="s">
        <v>378</v>
      </c>
    </row>
    <row r="3839" spans="1:9" x14ac:dyDescent="0.3">
      <c r="A3839" s="24">
        <v>45376</v>
      </c>
      <c r="B3839" t="s">
        <v>175</v>
      </c>
      <c r="C3839" t="s">
        <v>29</v>
      </c>
      <c r="D3839">
        <v>1.98</v>
      </c>
      <c r="E3839" t="s">
        <v>182</v>
      </c>
      <c r="F3839" t="s">
        <v>31</v>
      </c>
      <c r="H3839" t="s">
        <v>18</v>
      </c>
      <c r="I3839" s="26" t="s">
        <v>378</v>
      </c>
    </row>
    <row r="3840" spans="1:9" x14ac:dyDescent="0.3">
      <c r="A3840" s="24">
        <v>45376</v>
      </c>
      <c r="B3840" t="s">
        <v>188</v>
      </c>
      <c r="C3840" t="s">
        <v>454</v>
      </c>
      <c r="D3840">
        <v>8</v>
      </c>
      <c r="E3840" t="s">
        <v>54</v>
      </c>
      <c r="F3840" t="s">
        <v>55</v>
      </c>
      <c r="G3840" t="s">
        <v>2015</v>
      </c>
      <c r="H3840" t="s">
        <v>18</v>
      </c>
      <c r="I3840" s="26" t="s">
        <v>378</v>
      </c>
    </row>
    <row r="3841" spans="1:9" x14ac:dyDescent="0.3">
      <c r="A3841" s="24">
        <v>45376</v>
      </c>
      <c r="B3841" t="s">
        <v>190</v>
      </c>
      <c r="C3841" t="s">
        <v>950</v>
      </c>
      <c r="D3841">
        <v>8</v>
      </c>
      <c r="E3841" t="s">
        <v>54</v>
      </c>
      <c r="F3841" t="s">
        <v>55</v>
      </c>
      <c r="H3841" t="s">
        <v>18</v>
      </c>
      <c r="I3841" s="26" t="s">
        <v>378</v>
      </c>
    </row>
    <row r="3842" spans="1:9" x14ac:dyDescent="0.3">
      <c r="A3842" s="24">
        <v>45376</v>
      </c>
      <c r="B3842" t="s">
        <v>191</v>
      </c>
      <c r="C3842" t="s">
        <v>89</v>
      </c>
      <c r="D3842">
        <v>8</v>
      </c>
      <c r="E3842" t="s">
        <v>54</v>
      </c>
      <c r="F3842" t="s">
        <v>55</v>
      </c>
      <c r="G3842" t="s">
        <v>2666</v>
      </c>
      <c r="H3842" t="s">
        <v>18</v>
      </c>
      <c r="I3842" s="26" t="s">
        <v>378</v>
      </c>
    </row>
    <row r="3843" spans="1:9" x14ac:dyDescent="0.3">
      <c r="A3843" s="24">
        <v>45376</v>
      </c>
      <c r="B3843" t="s">
        <v>193</v>
      </c>
      <c r="C3843" t="s">
        <v>29</v>
      </c>
      <c r="D3843">
        <v>0.05</v>
      </c>
      <c r="E3843" t="s">
        <v>230</v>
      </c>
      <c r="F3843" t="s">
        <v>31</v>
      </c>
      <c r="G3843" t="s">
        <v>2667</v>
      </c>
      <c r="H3843" t="s">
        <v>18</v>
      </c>
      <c r="I3843" s="26" t="s">
        <v>378</v>
      </c>
    </row>
    <row r="3844" spans="1:9" x14ac:dyDescent="0.3">
      <c r="A3844" s="24">
        <v>45376</v>
      </c>
      <c r="B3844" t="s">
        <v>193</v>
      </c>
      <c r="C3844" t="s">
        <v>29</v>
      </c>
      <c r="D3844">
        <v>0.1</v>
      </c>
      <c r="E3844" t="s">
        <v>106</v>
      </c>
      <c r="F3844" t="s">
        <v>31</v>
      </c>
      <c r="G3844" t="s">
        <v>2668</v>
      </c>
      <c r="H3844" t="s">
        <v>18</v>
      </c>
      <c r="I3844" s="26" t="s">
        <v>378</v>
      </c>
    </row>
    <row r="3845" spans="1:9" x14ac:dyDescent="0.3">
      <c r="A3845" s="24">
        <v>45376</v>
      </c>
      <c r="B3845" t="s">
        <v>193</v>
      </c>
      <c r="C3845" t="s">
        <v>29</v>
      </c>
      <c r="D3845">
        <v>0.1</v>
      </c>
      <c r="E3845" t="s">
        <v>104</v>
      </c>
      <c r="F3845" t="s">
        <v>31</v>
      </c>
      <c r="G3845" t="s">
        <v>2669</v>
      </c>
      <c r="H3845" t="s">
        <v>18</v>
      </c>
      <c r="I3845" s="26" t="s">
        <v>378</v>
      </c>
    </row>
    <row r="3846" spans="1:9" x14ac:dyDescent="0.3">
      <c r="A3846" s="24">
        <v>45376</v>
      </c>
      <c r="B3846" t="s">
        <v>193</v>
      </c>
      <c r="C3846" t="s">
        <v>29</v>
      </c>
      <c r="D3846">
        <v>0.12</v>
      </c>
      <c r="E3846" t="s">
        <v>1246</v>
      </c>
      <c r="F3846" t="s">
        <v>31</v>
      </c>
      <c r="G3846" t="s">
        <v>2668</v>
      </c>
      <c r="H3846" t="s">
        <v>18</v>
      </c>
      <c r="I3846" s="26" t="s">
        <v>378</v>
      </c>
    </row>
    <row r="3847" spans="1:9" x14ac:dyDescent="0.3">
      <c r="A3847" s="24">
        <v>45376</v>
      </c>
      <c r="B3847" t="s">
        <v>193</v>
      </c>
      <c r="C3847" t="s">
        <v>29</v>
      </c>
      <c r="D3847">
        <v>0.15</v>
      </c>
      <c r="E3847" t="s">
        <v>227</v>
      </c>
      <c r="F3847" t="s">
        <v>31</v>
      </c>
      <c r="G3847" t="s">
        <v>2668</v>
      </c>
      <c r="H3847" t="s">
        <v>18</v>
      </c>
      <c r="I3847" s="26" t="s">
        <v>378</v>
      </c>
    </row>
    <row r="3848" spans="1:9" x14ac:dyDescent="0.3">
      <c r="A3848" s="24">
        <v>45376</v>
      </c>
      <c r="B3848" t="s">
        <v>193</v>
      </c>
      <c r="C3848" t="s">
        <v>29</v>
      </c>
      <c r="D3848">
        <v>0.2</v>
      </c>
      <c r="E3848" t="s">
        <v>229</v>
      </c>
      <c r="F3848" t="s">
        <v>31</v>
      </c>
      <c r="G3848" t="s">
        <v>2670</v>
      </c>
      <c r="H3848" t="s">
        <v>18</v>
      </c>
      <c r="I3848" s="26" t="s">
        <v>378</v>
      </c>
    </row>
    <row r="3849" spans="1:9" x14ac:dyDescent="0.3">
      <c r="A3849" s="24">
        <v>45376</v>
      </c>
      <c r="B3849" t="s">
        <v>193</v>
      </c>
      <c r="C3849" t="s">
        <v>29</v>
      </c>
      <c r="D3849">
        <v>0.25</v>
      </c>
      <c r="E3849" t="s">
        <v>229</v>
      </c>
      <c r="F3849" t="s">
        <v>31</v>
      </c>
      <c r="G3849" t="s">
        <v>2671</v>
      </c>
      <c r="H3849" t="s">
        <v>18</v>
      </c>
      <c r="I3849" s="26" t="s">
        <v>378</v>
      </c>
    </row>
    <row r="3850" spans="1:9" x14ac:dyDescent="0.3">
      <c r="A3850" s="24">
        <v>45376</v>
      </c>
      <c r="B3850" t="s">
        <v>193</v>
      </c>
      <c r="C3850" t="s">
        <v>29</v>
      </c>
      <c r="D3850">
        <v>0.35</v>
      </c>
      <c r="E3850" t="s">
        <v>195</v>
      </c>
      <c r="F3850" t="s">
        <v>31</v>
      </c>
      <c r="G3850" t="s">
        <v>2672</v>
      </c>
      <c r="H3850" t="s">
        <v>18</v>
      </c>
      <c r="I3850" s="26" t="s">
        <v>378</v>
      </c>
    </row>
    <row r="3851" spans="1:9" x14ac:dyDescent="0.3">
      <c r="A3851" s="24">
        <v>45376</v>
      </c>
      <c r="B3851" t="s">
        <v>193</v>
      </c>
      <c r="C3851" t="s">
        <v>29</v>
      </c>
      <c r="D3851">
        <v>0.42</v>
      </c>
      <c r="E3851" t="s">
        <v>102</v>
      </c>
      <c r="F3851" t="s">
        <v>31</v>
      </c>
      <c r="G3851" t="s">
        <v>2673</v>
      </c>
      <c r="H3851" t="s">
        <v>18</v>
      </c>
      <c r="I3851" s="26" t="s">
        <v>378</v>
      </c>
    </row>
    <row r="3852" spans="1:9" x14ac:dyDescent="0.3">
      <c r="A3852" s="24">
        <v>45376</v>
      </c>
      <c r="B3852" t="s">
        <v>193</v>
      </c>
      <c r="C3852" t="s">
        <v>29</v>
      </c>
      <c r="D3852">
        <v>0.56999999999999995</v>
      </c>
      <c r="E3852" t="s">
        <v>116</v>
      </c>
      <c r="F3852" t="s">
        <v>31</v>
      </c>
      <c r="G3852" t="s">
        <v>2674</v>
      </c>
      <c r="H3852" t="s">
        <v>18</v>
      </c>
      <c r="I3852" s="26" t="s">
        <v>378</v>
      </c>
    </row>
    <row r="3853" spans="1:9" x14ac:dyDescent="0.3">
      <c r="A3853" s="24">
        <v>45376</v>
      </c>
      <c r="B3853" t="s">
        <v>193</v>
      </c>
      <c r="C3853" t="s">
        <v>29</v>
      </c>
      <c r="D3853">
        <v>0.63</v>
      </c>
      <c r="E3853" t="s">
        <v>102</v>
      </c>
      <c r="F3853" t="s">
        <v>31</v>
      </c>
      <c r="G3853" t="s">
        <v>2675</v>
      </c>
      <c r="H3853" t="s">
        <v>18</v>
      </c>
      <c r="I3853" s="26" t="s">
        <v>378</v>
      </c>
    </row>
    <row r="3854" spans="1:9" x14ac:dyDescent="0.3">
      <c r="A3854" s="24">
        <v>45376</v>
      </c>
      <c r="B3854" t="s">
        <v>193</v>
      </c>
      <c r="C3854" t="s">
        <v>29</v>
      </c>
      <c r="D3854">
        <v>1.4</v>
      </c>
      <c r="E3854" t="s">
        <v>116</v>
      </c>
      <c r="F3854" t="s">
        <v>31</v>
      </c>
      <c r="G3854" t="s">
        <v>2676</v>
      </c>
      <c r="H3854" t="s">
        <v>18</v>
      </c>
      <c r="I3854" s="26" t="s">
        <v>378</v>
      </c>
    </row>
    <row r="3855" spans="1:9" x14ac:dyDescent="0.3">
      <c r="A3855" s="24">
        <v>45376</v>
      </c>
      <c r="B3855" t="s">
        <v>193</v>
      </c>
      <c r="C3855" t="s">
        <v>202</v>
      </c>
      <c r="D3855">
        <v>0.28000000000000003</v>
      </c>
      <c r="E3855" t="s">
        <v>162</v>
      </c>
      <c r="F3855" t="s">
        <v>31</v>
      </c>
      <c r="G3855" t="s">
        <v>243</v>
      </c>
      <c r="H3855" t="s">
        <v>18</v>
      </c>
      <c r="I3855" s="26" t="s">
        <v>378</v>
      </c>
    </row>
    <row r="3856" spans="1:9" x14ac:dyDescent="0.3">
      <c r="A3856" s="24">
        <v>45376</v>
      </c>
      <c r="B3856" t="s">
        <v>193</v>
      </c>
      <c r="C3856" t="s">
        <v>202</v>
      </c>
      <c r="D3856">
        <v>0.43</v>
      </c>
      <c r="E3856" t="s">
        <v>229</v>
      </c>
      <c r="F3856" t="s">
        <v>31</v>
      </c>
      <c r="G3856" t="s">
        <v>2677</v>
      </c>
      <c r="H3856" t="s">
        <v>18</v>
      </c>
      <c r="I3856" s="26" t="s">
        <v>378</v>
      </c>
    </row>
    <row r="3857" spans="1:9" x14ac:dyDescent="0.3">
      <c r="A3857" s="24">
        <v>45376</v>
      </c>
      <c r="B3857" t="s">
        <v>193</v>
      </c>
      <c r="C3857" t="s">
        <v>53</v>
      </c>
      <c r="D3857">
        <v>0.08</v>
      </c>
      <c r="E3857" t="s">
        <v>54</v>
      </c>
      <c r="F3857" t="s">
        <v>55</v>
      </c>
      <c r="G3857" t="s">
        <v>243</v>
      </c>
      <c r="H3857" t="s">
        <v>18</v>
      </c>
      <c r="I3857" s="26" t="s">
        <v>378</v>
      </c>
    </row>
    <row r="3858" spans="1:9" x14ac:dyDescent="0.3">
      <c r="A3858" s="24">
        <v>45376</v>
      </c>
      <c r="B3858" t="s">
        <v>193</v>
      </c>
      <c r="C3858" t="s">
        <v>53</v>
      </c>
      <c r="D3858">
        <v>0.32</v>
      </c>
      <c r="E3858" t="s">
        <v>54</v>
      </c>
      <c r="F3858" t="s">
        <v>55</v>
      </c>
      <c r="G3858" t="s">
        <v>2678</v>
      </c>
      <c r="H3858" t="s">
        <v>18</v>
      </c>
      <c r="I3858" s="26" t="s">
        <v>378</v>
      </c>
    </row>
    <row r="3859" spans="1:9" x14ac:dyDescent="0.3">
      <c r="A3859" s="24">
        <v>45376</v>
      </c>
      <c r="B3859" t="s">
        <v>193</v>
      </c>
      <c r="C3859" t="s">
        <v>53</v>
      </c>
      <c r="D3859">
        <v>0.67</v>
      </c>
      <c r="E3859" t="s">
        <v>54</v>
      </c>
      <c r="F3859" t="s">
        <v>55</v>
      </c>
      <c r="G3859" t="s">
        <v>2679</v>
      </c>
      <c r="H3859" t="s">
        <v>18</v>
      </c>
      <c r="I3859" s="26" t="s">
        <v>378</v>
      </c>
    </row>
    <row r="3860" spans="1:9" x14ac:dyDescent="0.3">
      <c r="A3860" s="24">
        <v>45376</v>
      </c>
      <c r="B3860" t="s">
        <v>193</v>
      </c>
      <c r="C3860" t="s">
        <v>58</v>
      </c>
      <c r="D3860">
        <v>0.35</v>
      </c>
      <c r="E3860" t="s">
        <v>54</v>
      </c>
      <c r="F3860" t="s">
        <v>55</v>
      </c>
      <c r="G3860" t="s">
        <v>2680</v>
      </c>
      <c r="H3860" t="s">
        <v>18</v>
      </c>
      <c r="I3860" s="26" t="s">
        <v>378</v>
      </c>
    </row>
    <row r="3861" spans="1:9" x14ac:dyDescent="0.3">
      <c r="A3861" s="24">
        <v>45376</v>
      </c>
      <c r="B3861" t="s">
        <v>193</v>
      </c>
      <c r="C3861" t="s">
        <v>60</v>
      </c>
      <c r="D3861">
        <v>0.13</v>
      </c>
      <c r="E3861" t="s">
        <v>162</v>
      </c>
      <c r="F3861" t="s">
        <v>31</v>
      </c>
      <c r="G3861" t="s">
        <v>2681</v>
      </c>
      <c r="H3861" t="s">
        <v>18</v>
      </c>
      <c r="I3861" s="26" t="s">
        <v>378</v>
      </c>
    </row>
    <row r="3862" spans="1:9" x14ac:dyDescent="0.3">
      <c r="A3862" s="24">
        <v>45376</v>
      </c>
      <c r="B3862" t="s">
        <v>193</v>
      </c>
      <c r="C3862" t="s">
        <v>60</v>
      </c>
      <c r="D3862">
        <v>1.23</v>
      </c>
      <c r="E3862" t="s">
        <v>162</v>
      </c>
      <c r="F3862" t="s">
        <v>31</v>
      </c>
      <c r="G3862" t="s">
        <v>479</v>
      </c>
      <c r="H3862" t="s">
        <v>18</v>
      </c>
      <c r="I3862" s="26" t="s">
        <v>378</v>
      </c>
    </row>
    <row r="3863" spans="1:9" x14ac:dyDescent="0.3">
      <c r="A3863" s="24">
        <v>45376</v>
      </c>
      <c r="B3863" t="s">
        <v>212</v>
      </c>
      <c r="C3863" t="s">
        <v>73</v>
      </c>
      <c r="D3863">
        <v>8</v>
      </c>
      <c r="E3863" t="s">
        <v>54</v>
      </c>
      <c r="F3863" t="s">
        <v>55</v>
      </c>
      <c r="H3863" t="s">
        <v>18</v>
      </c>
      <c r="I3863" s="26" t="s">
        <v>378</v>
      </c>
    </row>
    <row r="3864" spans="1:9" x14ac:dyDescent="0.3">
      <c r="A3864" s="24">
        <v>45376</v>
      </c>
      <c r="B3864" t="s">
        <v>498</v>
      </c>
      <c r="C3864" t="s">
        <v>58</v>
      </c>
      <c r="D3864">
        <v>0.25</v>
      </c>
      <c r="E3864" t="s">
        <v>54</v>
      </c>
      <c r="F3864" t="s">
        <v>55</v>
      </c>
      <c r="G3864" t="s">
        <v>2682</v>
      </c>
      <c r="H3864" t="s">
        <v>18</v>
      </c>
      <c r="I3864" s="26" t="s">
        <v>378</v>
      </c>
    </row>
    <row r="3865" spans="1:9" x14ac:dyDescent="0.3">
      <c r="A3865" s="24">
        <v>45376</v>
      </c>
      <c r="B3865" t="s">
        <v>498</v>
      </c>
      <c r="C3865" t="s">
        <v>173</v>
      </c>
      <c r="D3865">
        <v>7.75</v>
      </c>
      <c r="E3865" t="s">
        <v>49</v>
      </c>
      <c r="F3865" t="s">
        <v>31</v>
      </c>
      <c r="G3865" t="s">
        <v>2683</v>
      </c>
      <c r="H3865" t="s">
        <v>18</v>
      </c>
      <c r="I3865" s="26" t="s">
        <v>378</v>
      </c>
    </row>
    <row r="3866" spans="1:9" x14ac:dyDescent="0.3">
      <c r="A3866" s="24">
        <v>45376</v>
      </c>
      <c r="B3866" t="s">
        <v>240</v>
      </c>
      <c r="C3866" t="s">
        <v>29</v>
      </c>
      <c r="D3866">
        <v>0.3</v>
      </c>
      <c r="E3866" t="s">
        <v>217</v>
      </c>
      <c r="F3866" t="s">
        <v>31</v>
      </c>
      <c r="H3866" t="s">
        <v>18</v>
      </c>
      <c r="I3866" s="26" t="s">
        <v>378</v>
      </c>
    </row>
    <row r="3867" spans="1:9" x14ac:dyDescent="0.3">
      <c r="A3867" s="24">
        <v>45376</v>
      </c>
      <c r="B3867" t="s">
        <v>240</v>
      </c>
      <c r="C3867" t="s">
        <v>29</v>
      </c>
      <c r="D3867">
        <v>0.75</v>
      </c>
      <c r="E3867" t="s">
        <v>241</v>
      </c>
      <c r="F3867" t="s">
        <v>31</v>
      </c>
      <c r="H3867" t="s">
        <v>18</v>
      </c>
      <c r="I3867" s="26" t="s">
        <v>378</v>
      </c>
    </row>
    <row r="3868" spans="1:9" x14ac:dyDescent="0.3">
      <c r="A3868" s="24">
        <v>45376</v>
      </c>
      <c r="B3868" t="s">
        <v>240</v>
      </c>
      <c r="C3868" t="s">
        <v>29</v>
      </c>
      <c r="D3868">
        <v>7.65</v>
      </c>
      <c r="E3868" t="s">
        <v>81</v>
      </c>
      <c r="F3868" t="s">
        <v>31</v>
      </c>
      <c r="H3868" t="s">
        <v>18</v>
      </c>
      <c r="I3868" s="26" t="s">
        <v>378</v>
      </c>
    </row>
    <row r="3869" spans="1:9" x14ac:dyDescent="0.3">
      <c r="A3869" s="24">
        <v>45376</v>
      </c>
      <c r="B3869" t="s">
        <v>249</v>
      </c>
      <c r="C3869" t="s">
        <v>252</v>
      </c>
      <c r="D3869">
        <v>2.8</v>
      </c>
      <c r="E3869" t="s">
        <v>54</v>
      </c>
      <c r="F3869" t="s">
        <v>55</v>
      </c>
      <c r="H3869" t="s">
        <v>18</v>
      </c>
      <c r="I3869" s="26" t="s">
        <v>378</v>
      </c>
    </row>
    <row r="3870" spans="1:9" x14ac:dyDescent="0.3">
      <c r="A3870" s="24">
        <v>45376</v>
      </c>
      <c r="B3870" t="s">
        <v>249</v>
      </c>
      <c r="C3870" t="s">
        <v>252</v>
      </c>
      <c r="D3870">
        <v>4</v>
      </c>
      <c r="E3870" t="s">
        <v>81</v>
      </c>
      <c r="F3870" t="s">
        <v>31</v>
      </c>
      <c r="H3870" t="s">
        <v>18</v>
      </c>
      <c r="I3870" s="26" t="s">
        <v>378</v>
      </c>
    </row>
    <row r="3871" spans="1:9" x14ac:dyDescent="0.3">
      <c r="A3871" s="24">
        <v>45376</v>
      </c>
      <c r="B3871" t="s">
        <v>249</v>
      </c>
      <c r="C3871" t="s">
        <v>53</v>
      </c>
      <c r="D3871">
        <v>0.5</v>
      </c>
      <c r="E3871" t="s">
        <v>54</v>
      </c>
      <c r="F3871" t="s">
        <v>55</v>
      </c>
      <c r="G3871" t="s">
        <v>110</v>
      </c>
      <c r="H3871" t="s">
        <v>18</v>
      </c>
      <c r="I3871" s="26" t="s">
        <v>378</v>
      </c>
    </row>
    <row r="3872" spans="1:9" x14ac:dyDescent="0.3">
      <c r="A3872" s="24">
        <v>45376</v>
      </c>
      <c r="B3872" t="s">
        <v>249</v>
      </c>
      <c r="C3872" t="s">
        <v>58</v>
      </c>
      <c r="D3872">
        <v>0.7</v>
      </c>
      <c r="E3872" t="s">
        <v>54</v>
      </c>
      <c r="F3872" t="s">
        <v>55</v>
      </c>
      <c r="G3872" t="s">
        <v>1313</v>
      </c>
      <c r="H3872" t="s">
        <v>18</v>
      </c>
      <c r="I3872" s="26" t="s">
        <v>378</v>
      </c>
    </row>
    <row r="3873" spans="1:9" x14ac:dyDescent="0.3">
      <c r="A3873" s="24">
        <v>45376</v>
      </c>
      <c r="B3873" t="s">
        <v>262</v>
      </c>
      <c r="C3873" t="s">
        <v>29</v>
      </c>
      <c r="D3873">
        <v>2.4300000000000002</v>
      </c>
      <c r="E3873" t="s">
        <v>263</v>
      </c>
      <c r="F3873" t="s">
        <v>31</v>
      </c>
      <c r="G3873" t="s">
        <v>2684</v>
      </c>
      <c r="H3873" t="s">
        <v>18</v>
      </c>
      <c r="I3873" s="26" t="s">
        <v>378</v>
      </c>
    </row>
    <row r="3874" spans="1:9" x14ac:dyDescent="0.3">
      <c r="A3874" s="24">
        <v>45376</v>
      </c>
      <c r="B3874" t="s">
        <v>262</v>
      </c>
      <c r="C3874" t="s">
        <v>29</v>
      </c>
      <c r="D3874">
        <v>3.5</v>
      </c>
      <c r="E3874" t="s">
        <v>263</v>
      </c>
      <c r="F3874" t="s">
        <v>31</v>
      </c>
      <c r="G3874" t="s">
        <v>2685</v>
      </c>
      <c r="H3874" t="s">
        <v>18</v>
      </c>
      <c r="I3874" s="26" t="s">
        <v>378</v>
      </c>
    </row>
    <row r="3875" spans="1:9" x14ac:dyDescent="0.3">
      <c r="A3875" s="24">
        <v>45376</v>
      </c>
      <c r="B3875" t="s">
        <v>262</v>
      </c>
      <c r="C3875" t="s">
        <v>53</v>
      </c>
      <c r="D3875">
        <v>0.5</v>
      </c>
      <c r="E3875" t="s">
        <v>54</v>
      </c>
      <c r="F3875" t="s">
        <v>55</v>
      </c>
      <c r="G3875" t="s">
        <v>253</v>
      </c>
      <c r="H3875" t="s">
        <v>18</v>
      </c>
      <c r="I3875" s="26" t="s">
        <v>378</v>
      </c>
    </row>
    <row r="3876" spans="1:9" x14ac:dyDescent="0.3">
      <c r="A3876" s="24">
        <v>45376</v>
      </c>
      <c r="B3876" t="s">
        <v>262</v>
      </c>
      <c r="C3876" t="s">
        <v>60</v>
      </c>
      <c r="D3876">
        <v>1.63</v>
      </c>
      <c r="E3876" t="s">
        <v>263</v>
      </c>
      <c r="F3876" t="s">
        <v>31</v>
      </c>
      <c r="G3876" t="s">
        <v>2686</v>
      </c>
      <c r="H3876" t="s">
        <v>18</v>
      </c>
      <c r="I3876" s="26" t="s">
        <v>378</v>
      </c>
    </row>
    <row r="3877" spans="1:9" x14ac:dyDescent="0.3">
      <c r="A3877" s="24">
        <v>45376</v>
      </c>
      <c r="B3877" t="s">
        <v>266</v>
      </c>
      <c r="C3877" t="s">
        <v>267</v>
      </c>
      <c r="D3877">
        <v>9</v>
      </c>
      <c r="E3877" t="s">
        <v>54</v>
      </c>
      <c r="F3877" t="s">
        <v>55</v>
      </c>
      <c r="G3877" t="s">
        <v>2687</v>
      </c>
      <c r="H3877" t="s">
        <v>18</v>
      </c>
      <c r="I3877" s="26" t="s">
        <v>378</v>
      </c>
    </row>
    <row r="3878" spans="1:9" x14ac:dyDescent="0.3">
      <c r="A3878" s="24">
        <v>45376</v>
      </c>
      <c r="B3878" t="s">
        <v>269</v>
      </c>
      <c r="C3878" t="s">
        <v>29</v>
      </c>
      <c r="D3878">
        <v>2.5299999999999998</v>
      </c>
      <c r="E3878" t="s">
        <v>271</v>
      </c>
      <c r="F3878" t="s">
        <v>31</v>
      </c>
      <c r="G3878" t="s">
        <v>2688</v>
      </c>
      <c r="H3878" t="s">
        <v>18</v>
      </c>
      <c r="I3878" s="26" t="s">
        <v>378</v>
      </c>
    </row>
    <row r="3879" spans="1:9" x14ac:dyDescent="0.3">
      <c r="A3879" s="24">
        <v>45376</v>
      </c>
      <c r="B3879" t="s">
        <v>269</v>
      </c>
      <c r="C3879" t="s">
        <v>29</v>
      </c>
      <c r="D3879">
        <v>3.62</v>
      </c>
      <c r="E3879" t="s">
        <v>116</v>
      </c>
      <c r="F3879" t="s">
        <v>31</v>
      </c>
      <c r="G3879" t="s">
        <v>2689</v>
      </c>
      <c r="H3879" t="s">
        <v>18</v>
      </c>
      <c r="I3879" s="26" t="s">
        <v>378</v>
      </c>
    </row>
    <row r="3880" spans="1:9" x14ac:dyDescent="0.3">
      <c r="A3880" s="24">
        <v>45376</v>
      </c>
      <c r="B3880" t="s">
        <v>269</v>
      </c>
      <c r="C3880" t="s">
        <v>53</v>
      </c>
      <c r="D3880">
        <v>0.95</v>
      </c>
      <c r="E3880" t="s">
        <v>54</v>
      </c>
      <c r="F3880" t="s">
        <v>55</v>
      </c>
      <c r="G3880" t="s">
        <v>83</v>
      </c>
      <c r="H3880" t="s">
        <v>18</v>
      </c>
      <c r="I3880" s="26" t="s">
        <v>378</v>
      </c>
    </row>
    <row r="3881" spans="1:9" x14ac:dyDescent="0.3">
      <c r="A3881" s="24">
        <v>45376</v>
      </c>
      <c r="B3881" t="s">
        <v>269</v>
      </c>
      <c r="C3881" t="s">
        <v>58</v>
      </c>
      <c r="D3881">
        <v>0.72</v>
      </c>
      <c r="E3881" t="s">
        <v>54</v>
      </c>
      <c r="F3881" t="s">
        <v>55</v>
      </c>
      <c r="G3881" t="s">
        <v>2690</v>
      </c>
      <c r="H3881" t="s">
        <v>18</v>
      </c>
      <c r="I3881" s="26" t="s">
        <v>378</v>
      </c>
    </row>
    <row r="3882" spans="1:9" x14ac:dyDescent="0.3">
      <c r="A3882" s="24">
        <v>45376</v>
      </c>
      <c r="B3882" t="s">
        <v>269</v>
      </c>
      <c r="C3882" t="s">
        <v>60</v>
      </c>
      <c r="D3882">
        <v>0.2</v>
      </c>
      <c r="E3882" t="s">
        <v>203</v>
      </c>
      <c r="F3882" t="s">
        <v>31</v>
      </c>
      <c r="G3882" t="s">
        <v>2691</v>
      </c>
      <c r="H3882" t="s">
        <v>18</v>
      </c>
      <c r="I3882" s="26" t="s">
        <v>378</v>
      </c>
    </row>
    <row r="3883" spans="1:9" x14ac:dyDescent="0.3">
      <c r="A3883" s="24">
        <v>45376</v>
      </c>
      <c r="B3883" t="s">
        <v>278</v>
      </c>
      <c r="C3883" t="s">
        <v>279</v>
      </c>
      <c r="D3883">
        <v>0.23</v>
      </c>
      <c r="E3883" t="s">
        <v>254</v>
      </c>
      <c r="F3883" t="s">
        <v>55</v>
      </c>
      <c r="G3883" t="s">
        <v>2692</v>
      </c>
      <c r="H3883" t="s">
        <v>18</v>
      </c>
      <c r="I3883" s="26" t="s">
        <v>378</v>
      </c>
    </row>
    <row r="3884" spans="1:9" x14ac:dyDescent="0.3">
      <c r="A3884" s="24">
        <v>45376</v>
      </c>
      <c r="B3884" t="s">
        <v>278</v>
      </c>
      <c r="C3884" t="s">
        <v>279</v>
      </c>
      <c r="D3884">
        <v>0.32</v>
      </c>
      <c r="E3884" t="s">
        <v>254</v>
      </c>
      <c r="F3884" t="s">
        <v>55</v>
      </c>
      <c r="G3884" t="s">
        <v>2693</v>
      </c>
      <c r="H3884" t="s">
        <v>18</v>
      </c>
      <c r="I3884" s="26" t="s">
        <v>378</v>
      </c>
    </row>
    <row r="3885" spans="1:9" x14ac:dyDescent="0.3">
      <c r="A3885" s="24">
        <v>45376</v>
      </c>
      <c r="B3885" t="s">
        <v>278</v>
      </c>
      <c r="C3885" t="s">
        <v>279</v>
      </c>
      <c r="D3885">
        <v>0.63</v>
      </c>
      <c r="E3885" t="s">
        <v>54</v>
      </c>
      <c r="F3885" t="s">
        <v>55</v>
      </c>
      <c r="G3885" t="s">
        <v>2694</v>
      </c>
      <c r="H3885" t="s">
        <v>18</v>
      </c>
      <c r="I3885" s="26" t="s">
        <v>378</v>
      </c>
    </row>
    <row r="3886" spans="1:9" x14ac:dyDescent="0.3">
      <c r="A3886" s="24">
        <v>45376</v>
      </c>
      <c r="B3886" t="s">
        <v>278</v>
      </c>
      <c r="C3886" t="s">
        <v>279</v>
      </c>
      <c r="D3886">
        <v>0.67</v>
      </c>
      <c r="E3886" t="s">
        <v>54</v>
      </c>
      <c r="F3886" t="s">
        <v>55</v>
      </c>
      <c r="G3886" t="s">
        <v>2695</v>
      </c>
      <c r="H3886" t="s">
        <v>18</v>
      </c>
      <c r="I3886" s="26" t="s">
        <v>378</v>
      </c>
    </row>
    <row r="3887" spans="1:9" x14ac:dyDescent="0.3">
      <c r="A3887" s="24">
        <v>45376</v>
      </c>
      <c r="B3887" t="s">
        <v>278</v>
      </c>
      <c r="C3887" t="s">
        <v>279</v>
      </c>
      <c r="D3887">
        <v>0.8</v>
      </c>
      <c r="E3887" t="s">
        <v>54</v>
      </c>
      <c r="F3887" t="s">
        <v>55</v>
      </c>
      <c r="G3887" t="s">
        <v>2696</v>
      </c>
      <c r="H3887" t="s">
        <v>18</v>
      </c>
      <c r="I3887" s="26" t="s">
        <v>378</v>
      </c>
    </row>
    <row r="3888" spans="1:9" x14ac:dyDescent="0.3">
      <c r="A3888" s="24">
        <v>45376</v>
      </c>
      <c r="B3888" t="s">
        <v>278</v>
      </c>
      <c r="C3888" t="s">
        <v>279</v>
      </c>
      <c r="D3888">
        <v>1.25</v>
      </c>
      <c r="E3888" t="s">
        <v>54</v>
      </c>
      <c r="F3888" t="s">
        <v>55</v>
      </c>
      <c r="G3888" t="s">
        <v>2697</v>
      </c>
      <c r="H3888" t="s">
        <v>18</v>
      </c>
      <c r="I3888" s="26" t="s">
        <v>378</v>
      </c>
    </row>
    <row r="3889" spans="1:9" x14ac:dyDescent="0.3">
      <c r="A3889" s="24">
        <v>45376</v>
      </c>
      <c r="B3889" t="s">
        <v>278</v>
      </c>
      <c r="C3889" t="s">
        <v>29</v>
      </c>
      <c r="D3889">
        <v>0.17</v>
      </c>
      <c r="E3889" t="s">
        <v>54</v>
      </c>
      <c r="F3889" t="s">
        <v>55</v>
      </c>
      <c r="G3889" t="s">
        <v>2698</v>
      </c>
      <c r="H3889" t="s">
        <v>18</v>
      </c>
      <c r="I3889" s="26" t="s">
        <v>378</v>
      </c>
    </row>
    <row r="3890" spans="1:9" x14ac:dyDescent="0.3">
      <c r="A3890" s="24">
        <v>45376</v>
      </c>
      <c r="B3890" t="s">
        <v>278</v>
      </c>
      <c r="C3890" t="s">
        <v>29</v>
      </c>
      <c r="D3890">
        <v>0.62</v>
      </c>
      <c r="E3890" t="s">
        <v>54</v>
      </c>
      <c r="F3890" t="s">
        <v>55</v>
      </c>
      <c r="G3890" t="s">
        <v>2699</v>
      </c>
      <c r="H3890" t="s">
        <v>18</v>
      </c>
      <c r="I3890" s="26" t="s">
        <v>378</v>
      </c>
    </row>
    <row r="3891" spans="1:9" x14ac:dyDescent="0.3">
      <c r="A3891" s="24">
        <v>45376</v>
      </c>
      <c r="B3891" t="s">
        <v>278</v>
      </c>
      <c r="C3891" t="s">
        <v>29</v>
      </c>
      <c r="D3891">
        <v>0.82</v>
      </c>
      <c r="E3891" t="s">
        <v>54</v>
      </c>
      <c r="F3891" t="s">
        <v>55</v>
      </c>
      <c r="G3891" t="s">
        <v>2700</v>
      </c>
      <c r="H3891" t="s">
        <v>18</v>
      </c>
      <c r="I3891" s="26" t="s">
        <v>378</v>
      </c>
    </row>
    <row r="3892" spans="1:9" x14ac:dyDescent="0.3">
      <c r="A3892" s="24">
        <v>45376</v>
      </c>
      <c r="B3892" t="s">
        <v>278</v>
      </c>
      <c r="C3892" t="s">
        <v>29</v>
      </c>
      <c r="D3892">
        <v>2.95</v>
      </c>
      <c r="E3892" t="s">
        <v>54</v>
      </c>
      <c r="F3892" t="s">
        <v>55</v>
      </c>
      <c r="G3892" t="s">
        <v>2701</v>
      </c>
      <c r="H3892" t="s">
        <v>18</v>
      </c>
      <c r="I3892" s="26" t="s">
        <v>378</v>
      </c>
    </row>
    <row r="3893" spans="1:9" x14ac:dyDescent="0.3">
      <c r="A3893" s="24">
        <v>45376</v>
      </c>
      <c r="B3893" t="s">
        <v>286</v>
      </c>
      <c r="C3893" t="s">
        <v>287</v>
      </c>
      <c r="D3893">
        <v>10</v>
      </c>
      <c r="E3893" t="s">
        <v>54</v>
      </c>
      <c r="F3893" t="s">
        <v>55</v>
      </c>
      <c r="G3893" t="s">
        <v>2702</v>
      </c>
      <c r="H3893" t="s">
        <v>18</v>
      </c>
      <c r="I3893" s="26" t="s">
        <v>378</v>
      </c>
    </row>
    <row r="3894" spans="1:9" x14ac:dyDescent="0.3">
      <c r="A3894" s="24">
        <v>45376</v>
      </c>
      <c r="B3894" t="s">
        <v>289</v>
      </c>
      <c r="C3894" t="s">
        <v>73</v>
      </c>
      <c r="D3894">
        <v>5</v>
      </c>
      <c r="E3894" t="s">
        <v>54</v>
      </c>
      <c r="F3894" t="s">
        <v>55</v>
      </c>
      <c r="H3894" t="s">
        <v>18</v>
      </c>
      <c r="I3894" s="26" t="s">
        <v>378</v>
      </c>
    </row>
    <row r="3895" spans="1:9" x14ac:dyDescent="0.3">
      <c r="A3895" s="24">
        <v>45376</v>
      </c>
      <c r="B3895" t="s">
        <v>294</v>
      </c>
      <c r="C3895" t="s">
        <v>202</v>
      </c>
      <c r="D3895">
        <v>0.05</v>
      </c>
      <c r="E3895" t="s">
        <v>295</v>
      </c>
      <c r="F3895" t="s">
        <v>55</v>
      </c>
      <c r="G3895" t="s">
        <v>2703</v>
      </c>
      <c r="H3895" t="s">
        <v>18</v>
      </c>
      <c r="I3895" s="26" t="s">
        <v>378</v>
      </c>
    </row>
    <row r="3896" spans="1:9" x14ac:dyDescent="0.3">
      <c r="A3896" s="24">
        <v>45376</v>
      </c>
      <c r="B3896" t="s">
        <v>294</v>
      </c>
      <c r="C3896" t="s">
        <v>202</v>
      </c>
      <c r="D3896">
        <v>0.17</v>
      </c>
      <c r="E3896" t="s">
        <v>697</v>
      </c>
      <c r="F3896" t="s">
        <v>55</v>
      </c>
      <c r="G3896" t="s">
        <v>2704</v>
      </c>
      <c r="H3896" t="s">
        <v>18</v>
      </c>
      <c r="I3896" s="26" t="s">
        <v>378</v>
      </c>
    </row>
    <row r="3897" spans="1:9" x14ac:dyDescent="0.3">
      <c r="A3897" s="24">
        <v>45376</v>
      </c>
      <c r="B3897" t="s">
        <v>294</v>
      </c>
      <c r="C3897" t="s">
        <v>202</v>
      </c>
      <c r="D3897">
        <v>0.17</v>
      </c>
      <c r="E3897" t="s">
        <v>445</v>
      </c>
      <c r="F3897" t="s">
        <v>55</v>
      </c>
      <c r="G3897" t="s">
        <v>243</v>
      </c>
      <c r="H3897" t="s">
        <v>18</v>
      </c>
      <c r="I3897" s="26" t="s">
        <v>378</v>
      </c>
    </row>
    <row r="3898" spans="1:9" x14ac:dyDescent="0.3">
      <c r="A3898" s="24">
        <v>45376</v>
      </c>
      <c r="B3898" t="s">
        <v>294</v>
      </c>
      <c r="C3898" t="s">
        <v>202</v>
      </c>
      <c r="D3898">
        <v>0.5</v>
      </c>
      <c r="E3898" t="s">
        <v>1022</v>
      </c>
      <c r="F3898" t="s">
        <v>55</v>
      </c>
      <c r="G3898" t="s">
        <v>2705</v>
      </c>
      <c r="H3898" t="s">
        <v>18</v>
      </c>
      <c r="I3898" s="26" t="s">
        <v>378</v>
      </c>
    </row>
    <row r="3899" spans="1:9" x14ac:dyDescent="0.3">
      <c r="A3899" s="24">
        <v>45376</v>
      </c>
      <c r="B3899" t="s">
        <v>294</v>
      </c>
      <c r="C3899" t="s">
        <v>202</v>
      </c>
      <c r="D3899">
        <v>0.62</v>
      </c>
      <c r="E3899" t="s">
        <v>30</v>
      </c>
      <c r="F3899" t="s">
        <v>31</v>
      </c>
      <c r="G3899" t="s">
        <v>2706</v>
      </c>
      <c r="H3899" t="s">
        <v>18</v>
      </c>
      <c r="I3899" s="26" t="s">
        <v>378</v>
      </c>
    </row>
    <row r="3900" spans="1:9" x14ac:dyDescent="0.3">
      <c r="A3900" s="24">
        <v>45376</v>
      </c>
      <c r="B3900" t="s">
        <v>294</v>
      </c>
      <c r="C3900" t="s">
        <v>202</v>
      </c>
      <c r="D3900">
        <v>0.63</v>
      </c>
      <c r="E3900" t="s">
        <v>1022</v>
      </c>
      <c r="F3900" t="s">
        <v>55</v>
      </c>
      <c r="G3900" t="s">
        <v>2707</v>
      </c>
      <c r="H3900" t="s">
        <v>18</v>
      </c>
      <c r="I3900" s="26" t="s">
        <v>378</v>
      </c>
    </row>
    <row r="3901" spans="1:9" x14ac:dyDescent="0.3">
      <c r="A3901" s="24">
        <v>45376</v>
      </c>
      <c r="B3901" t="s">
        <v>294</v>
      </c>
      <c r="C3901" t="s">
        <v>202</v>
      </c>
      <c r="D3901">
        <v>2.65</v>
      </c>
      <c r="E3901" t="s">
        <v>30</v>
      </c>
      <c r="F3901" t="s">
        <v>55</v>
      </c>
      <c r="G3901" t="s">
        <v>2703</v>
      </c>
      <c r="H3901" t="s">
        <v>18</v>
      </c>
      <c r="I3901" s="26" t="s">
        <v>378</v>
      </c>
    </row>
    <row r="3902" spans="1:9" x14ac:dyDescent="0.3">
      <c r="A3902" s="24">
        <v>45376</v>
      </c>
      <c r="B3902" t="s">
        <v>294</v>
      </c>
      <c r="C3902" t="s">
        <v>53</v>
      </c>
      <c r="D3902">
        <v>1.28</v>
      </c>
      <c r="E3902" t="s">
        <v>54</v>
      </c>
      <c r="F3902" t="s">
        <v>55</v>
      </c>
      <c r="G3902" t="s">
        <v>2343</v>
      </c>
      <c r="H3902" t="s">
        <v>18</v>
      </c>
      <c r="I3902" s="26" t="s">
        <v>378</v>
      </c>
    </row>
    <row r="3903" spans="1:9" x14ac:dyDescent="0.3">
      <c r="A3903" s="24">
        <v>45376</v>
      </c>
      <c r="B3903" t="s">
        <v>294</v>
      </c>
      <c r="C3903" t="s">
        <v>58</v>
      </c>
      <c r="D3903">
        <v>0.22</v>
      </c>
      <c r="E3903" t="s">
        <v>54</v>
      </c>
      <c r="F3903" t="s">
        <v>55</v>
      </c>
      <c r="G3903" t="s">
        <v>529</v>
      </c>
      <c r="H3903" t="s">
        <v>18</v>
      </c>
      <c r="I3903" s="26" t="s">
        <v>378</v>
      </c>
    </row>
    <row r="3904" spans="1:9" x14ac:dyDescent="0.3">
      <c r="A3904" s="24">
        <v>45376</v>
      </c>
      <c r="B3904" t="s">
        <v>301</v>
      </c>
      <c r="C3904" t="s">
        <v>29</v>
      </c>
      <c r="D3904">
        <v>0.1</v>
      </c>
      <c r="E3904" t="s">
        <v>156</v>
      </c>
      <c r="F3904" t="s">
        <v>31</v>
      </c>
      <c r="H3904" t="s">
        <v>18</v>
      </c>
      <c r="I3904" s="26" t="s">
        <v>378</v>
      </c>
    </row>
    <row r="3905" spans="1:9" x14ac:dyDescent="0.3">
      <c r="A3905" s="24">
        <v>45376</v>
      </c>
      <c r="B3905" t="s">
        <v>301</v>
      </c>
      <c r="C3905" t="s">
        <v>29</v>
      </c>
      <c r="D3905">
        <v>0.9</v>
      </c>
      <c r="E3905" t="s">
        <v>156</v>
      </c>
      <c r="F3905" t="s">
        <v>31</v>
      </c>
      <c r="G3905" t="s">
        <v>2708</v>
      </c>
      <c r="H3905" t="s">
        <v>18</v>
      </c>
      <c r="I3905" s="26" t="s">
        <v>378</v>
      </c>
    </row>
    <row r="3906" spans="1:9" x14ac:dyDescent="0.3">
      <c r="A3906" s="24">
        <v>45376</v>
      </c>
      <c r="B3906" t="s">
        <v>301</v>
      </c>
      <c r="C3906" t="s">
        <v>29</v>
      </c>
      <c r="D3906">
        <v>1.5</v>
      </c>
      <c r="E3906" t="s">
        <v>156</v>
      </c>
      <c r="F3906" t="s">
        <v>31</v>
      </c>
      <c r="G3906" t="s">
        <v>2476</v>
      </c>
      <c r="H3906" t="s">
        <v>18</v>
      </c>
      <c r="I3906" s="26" t="s">
        <v>378</v>
      </c>
    </row>
    <row r="3907" spans="1:9" x14ac:dyDescent="0.3">
      <c r="A3907" s="24">
        <v>45376</v>
      </c>
      <c r="B3907" t="s">
        <v>301</v>
      </c>
      <c r="C3907" t="s">
        <v>58</v>
      </c>
      <c r="D3907">
        <v>0.73</v>
      </c>
      <c r="E3907" t="s">
        <v>54</v>
      </c>
      <c r="F3907" t="s">
        <v>55</v>
      </c>
      <c r="G3907" t="s">
        <v>161</v>
      </c>
      <c r="H3907" t="s">
        <v>18</v>
      </c>
      <c r="I3907" s="26" t="s">
        <v>378</v>
      </c>
    </row>
    <row r="3908" spans="1:9" x14ac:dyDescent="0.3">
      <c r="A3908" s="24">
        <v>45376</v>
      </c>
      <c r="B3908" t="s">
        <v>301</v>
      </c>
      <c r="C3908" t="s">
        <v>60</v>
      </c>
      <c r="D3908">
        <v>0.42</v>
      </c>
      <c r="E3908" t="s">
        <v>137</v>
      </c>
      <c r="F3908" t="s">
        <v>31</v>
      </c>
      <c r="H3908" t="s">
        <v>18</v>
      </c>
      <c r="I3908" s="26" t="s">
        <v>378</v>
      </c>
    </row>
    <row r="3909" spans="1:9" x14ac:dyDescent="0.3">
      <c r="A3909" s="24">
        <v>45376</v>
      </c>
      <c r="B3909" t="s">
        <v>301</v>
      </c>
      <c r="C3909" t="s">
        <v>60</v>
      </c>
      <c r="D3909">
        <v>1.1299999999999999</v>
      </c>
      <c r="E3909" t="s">
        <v>137</v>
      </c>
      <c r="F3909" t="s">
        <v>31</v>
      </c>
      <c r="G3909" t="s">
        <v>2709</v>
      </c>
      <c r="H3909" t="s">
        <v>18</v>
      </c>
      <c r="I3909" s="26" t="s">
        <v>378</v>
      </c>
    </row>
    <row r="3910" spans="1:9" x14ac:dyDescent="0.3">
      <c r="A3910" s="24">
        <v>45376</v>
      </c>
      <c r="B3910" t="s">
        <v>301</v>
      </c>
      <c r="C3910" t="s">
        <v>60</v>
      </c>
      <c r="D3910">
        <v>1.63</v>
      </c>
      <c r="E3910" t="s">
        <v>143</v>
      </c>
      <c r="F3910" t="s">
        <v>31</v>
      </c>
      <c r="H3910" t="s">
        <v>18</v>
      </c>
      <c r="I3910" s="26" t="s">
        <v>378</v>
      </c>
    </row>
    <row r="3911" spans="1:9" x14ac:dyDescent="0.3">
      <c r="A3911" s="24">
        <v>45376</v>
      </c>
      <c r="B3911" t="s">
        <v>301</v>
      </c>
      <c r="C3911" t="s">
        <v>60</v>
      </c>
      <c r="D3911">
        <v>1.65</v>
      </c>
      <c r="E3911" t="s">
        <v>143</v>
      </c>
      <c r="F3911" t="s">
        <v>31</v>
      </c>
      <c r="G3911" t="s">
        <v>2710</v>
      </c>
      <c r="H3911" t="s">
        <v>18</v>
      </c>
      <c r="I3911" s="26" t="s">
        <v>378</v>
      </c>
    </row>
    <row r="3912" spans="1:9" x14ac:dyDescent="0.3">
      <c r="A3912" s="24">
        <v>45376</v>
      </c>
      <c r="B3912" t="s">
        <v>313</v>
      </c>
      <c r="C3912" t="s">
        <v>29</v>
      </c>
      <c r="D3912">
        <v>0.83</v>
      </c>
      <c r="E3912" t="s">
        <v>91</v>
      </c>
      <c r="F3912" t="s">
        <v>31</v>
      </c>
      <c r="G3912" t="s">
        <v>2711</v>
      </c>
      <c r="H3912" t="s">
        <v>18</v>
      </c>
      <c r="I3912" s="26" t="s">
        <v>378</v>
      </c>
    </row>
    <row r="3913" spans="1:9" x14ac:dyDescent="0.3">
      <c r="A3913" s="24">
        <v>45376</v>
      </c>
      <c r="B3913" t="s">
        <v>313</v>
      </c>
      <c r="C3913" t="s">
        <v>29</v>
      </c>
      <c r="D3913">
        <v>1</v>
      </c>
      <c r="E3913" t="s">
        <v>91</v>
      </c>
      <c r="F3913" t="s">
        <v>31</v>
      </c>
      <c r="G3913" t="s">
        <v>617</v>
      </c>
      <c r="H3913" t="s">
        <v>18</v>
      </c>
      <c r="I3913" s="26" t="s">
        <v>378</v>
      </c>
    </row>
    <row r="3914" spans="1:9" x14ac:dyDescent="0.3">
      <c r="A3914" s="24">
        <v>45376</v>
      </c>
      <c r="B3914" t="s">
        <v>313</v>
      </c>
      <c r="C3914" t="s">
        <v>29</v>
      </c>
      <c r="D3914">
        <v>2.0299999999999998</v>
      </c>
      <c r="E3914" t="s">
        <v>170</v>
      </c>
      <c r="F3914" t="s">
        <v>31</v>
      </c>
      <c r="H3914" t="s">
        <v>18</v>
      </c>
      <c r="I3914" s="26" t="s">
        <v>378</v>
      </c>
    </row>
    <row r="3915" spans="1:9" x14ac:dyDescent="0.3">
      <c r="A3915" s="24">
        <v>45376</v>
      </c>
      <c r="B3915" t="s">
        <v>313</v>
      </c>
      <c r="C3915" t="s">
        <v>53</v>
      </c>
      <c r="D3915">
        <v>0.45</v>
      </c>
      <c r="E3915" t="s">
        <v>54</v>
      </c>
      <c r="F3915" t="s">
        <v>55</v>
      </c>
      <c r="G3915" t="s">
        <v>316</v>
      </c>
      <c r="H3915" t="s">
        <v>18</v>
      </c>
      <c r="I3915" s="26" t="s">
        <v>378</v>
      </c>
    </row>
    <row r="3916" spans="1:9" x14ac:dyDescent="0.3">
      <c r="A3916" s="24">
        <v>45376</v>
      </c>
      <c r="B3916" t="s">
        <v>313</v>
      </c>
      <c r="C3916" t="s">
        <v>159</v>
      </c>
      <c r="D3916">
        <v>0.3</v>
      </c>
      <c r="E3916" t="s">
        <v>91</v>
      </c>
      <c r="F3916" t="s">
        <v>31</v>
      </c>
      <c r="G3916" t="s">
        <v>2712</v>
      </c>
      <c r="H3916" t="s">
        <v>18</v>
      </c>
      <c r="I3916" s="26" t="s">
        <v>378</v>
      </c>
    </row>
    <row r="3917" spans="1:9" x14ac:dyDescent="0.3">
      <c r="A3917" s="24">
        <v>45376</v>
      </c>
      <c r="B3917" t="s">
        <v>313</v>
      </c>
      <c r="C3917" t="s">
        <v>159</v>
      </c>
      <c r="D3917">
        <v>0.3</v>
      </c>
      <c r="E3917" t="s">
        <v>91</v>
      </c>
      <c r="F3917" t="s">
        <v>31</v>
      </c>
      <c r="G3917" t="s">
        <v>2713</v>
      </c>
      <c r="H3917" t="s">
        <v>18</v>
      </c>
      <c r="I3917" s="26" t="s">
        <v>378</v>
      </c>
    </row>
    <row r="3918" spans="1:9" x14ac:dyDescent="0.3">
      <c r="A3918" s="24">
        <v>45376</v>
      </c>
      <c r="B3918" t="s">
        <v>313</v>
      </c>
      <c r="C3918" t="s">
        <v>159</v>
      </c>
      <c r="D3918">
        <v>3.53</v>
      </c>
      <c r="E3918" t="s">
        <v>170</v>
      </c>
      <c r="F3918" t="s">
        <v>31</v>
      </c>
      <c r="H3918" t="s">
        <v>18</v>
      </c>
      <c r="I3918" s="26" t="s">
        <v>378</v>
      </c>
    </row>
    <row r="3919" spans="1:9" x14ac:dyDescent="0.3">
      <c r="A3919" s="24">
        <v>45376</v>
      </c>
      <c r="B3919" t="s">
        <v>318</v>
      </c>
      <c r="C3919" t="s">
        <v>53</v>
      </c>
      <c r="D3919">
        <v>3.02</v>
      </c>
      <c r="E3919" t="s">
        <v>54</v>
      </c>
      <c r="F3919" t="s">
        <v>55</v>
      </c>
      <c r="G3919" t="s">
        <v>2714</v>
      </c>
      <c r="H3919" t="s">
        <v>18</v>
      </c>
      <c r="I3919" s="26" t="s">
        <v>378</v>
      </c>
    </row>
    <row r="3920" spans="1:9" x14ac:dyDescent="0.3">
      <c r="A3920" s="24">
        <v>45376</v>
      </c>
      <c r="B3920" t="s">
        <v>318</v>
      </c>
      <c r="C3920" t="s">
        <v>53</v>
      </c>
      <c r="D3920">
        <v>4.9800000000000004</v>
      </c>
      <c r="E3920" t="s">
        <v>54</v>
      </c>
      <c r="F3920" t="s">
        <v>55</v>
      </c>
      <c r="G3920" t="s">
        <v>2715</v>
      </c>
      <c r="H3920" t="s">
        <v>18</v>
      </c>
      <c r="I3920" s="26" t="s">
        <v>378</v>
      </c>
    </row>
    <row r="3921" spans="1:9" x14ac:dyDescent="0.3">
      <c r="A3921" s="24">
        <v>45376</v>
      </c>
      <c r="B3921" t="s">
        <v>324</v>
      </c>
      <c r="C3921" t="s">
        <v>29</v>
      </c>
      <c r="D3921">
        <v>8.7200000000000006</v>
      </c>
      <c r="E3921" t="s">
        <v>81</v>
      </c>
      <c r="F3921" t="s">
        <v>31</v>
      </c>
      <c r="H3921" t="s">
        <v>18</v>
      </c>
      <c r="I3921" s="26" t="s">
        <v>378</v>
      </c>
    </row>
    <row r="3922" spans="1:9" x14ac:dyDescent="0.3">
      <c r="A3922" s="24">
        <v>45376</v>
      </c>
      <c r="B3922" t="s">
        <v>328</v>
      </c>
      <c r="C3922" t="s">
        <v>29</v>
      </c>
      <c r="D3922">
        <v>1.45</v>
      </c>
      <c r="E3922" t="s">
        <v>135</v>
      </c>
      <c r="F3922" t="s">
        <v>31</v>
      </c>
      <c r="G3922" t="s">
        <v>860</v>
      </c>
      <c r="H3922" t="s">
        <v>18</v>
      </c>
      <c r="I3922" s="26" t="s">
        <v>378</v>
      </c>
    </row>
    <row r="3923" spans="1:9" x14ac:dyDescent="0.3">
      <c r="A3923" s="24">
        <v>45376</v>
      </c>
      <c r="B3923" t="s">
        <v>328</v>
      </c>
      <c r="C3923" t="s">
        <v>53</v>
      </c>
      <c r="D3923">
        <v>0.5</v>
      </c>
      <c r="E3923" t="s">
        <v>54</v>
      </c>
      <c r="F3923" t="s">
        <v>55</v>
      </c>
      <c r="G3923" t="s">
        <v>253</v>
      </c>
      <c r="H3923" t="s">
        <v>18</v>
      </c>
      <c r="I3923" s="26" t="s">
        <v>378</v>
      </c>
    </row>
    <row r="3924" spans="1:9" x14ac:dyDescent="0.3">
      <c r="A3924" s="24">
        <v>45376</v>
      </c>
      <c r="B3924" t="s">
        <v>328</v>
      </c>
      <c r="C3924" t="s">
        <v>53</v>
      </c>
      <c r="D3924">
        <v>0.56999999999999995</v>
      </c>
      <c r="E3924" t="s">
        <v>54</v>
      </c>
      <c r="F3924" t="s">
        <v>55</v>
      </c>
      <c r="G3924" t="s">
        <v>2716</v>
      </c>
      <c r="H3924" t="s">
        <v>18</v>
      </c>
      <c r="I3924" s="26" t="s">
        <v>378</v>
      </c>
    </row>
    <row r="3925" spans="1:9" x14ac:dyDescent="0.3">
      <c r="A3925" s="24">
        <v>45376</v>
      </c>
      <c r="B3925" t="s">
        <v>328</v>
      </c>
      <c r="C3925" t="s">
        <v>53</v>
      </c>
      <c r="D3925">
        <v>0.67</v>
      </c>
      <c r="E3925" t="s">
        <v>54</v>
      </c>
      <c r="F3925" t="s">
        <v>55</v>
      </c>
      <c r="G3925" t="s">
        <v>2717</v>
      </c>
      <c r="H3925" t="s">
        <v>18</v>
      </c>
      <c r="I3925" s="26" t="s">
        <v>378</v>
      </c>
    </row>
    <row r="3926" spans="1:9" x14ac:dyDescent="0.3">
      <c r="A3926" s="24">
        <v>45376</v>
      </c>
      <c r="B3926" t="s">
        <v>328</v>
      </c>
      <c r="C3926" t="s">
        <v>53</v>
      </c>
      <c r="D3926">
        <v>0.9</v>
      </c>
      <c r="E3926" t="s">
        <v>54</v>
      </c>
      <c r="F3926" t="s">
        <v>55</v>
      </c>
      <c r="G3926" t="s">
        <v>2718</v>
      </c>
      <c r="H3926" t="s">
        <v>18</v>
      </c>
      <c r="I3926" s="26" t="s">
        <v>378</v>
      </c>
    </row>
    <row r="3927" spans="1:9" x14ac:dyDescent="0.3">
      <c r="A3927" s="24">
        <v>45376</v>
      </c>
      <c r="B3927" t="s">
        <v>328</v>
      </c>
      <c r="C3927" t="s">
        <v>53</v>
      </c>
      <c r="D3927">
        <v>1.05</v>
      </c>
      <c r="E3927" t="s">
        <v>54</v>
      </c>
      <c r="F3927" t="s">
        <v>55</v>
      </c>
      <c r="G3927" t="s">
        <v>2719</v>
      </c>
      <c r="H3927" t="s">
        <v>18</v>
      </c>
      <c r="I3927" s="26" t="s">
        <v>378</v>
      </c>
    </row>
    <row r="3928" spans="1:9" x14ac:dyDescent="0.3">
      <c r="A3928" s="24">
        <v>45376</v>
      </c>
      <c r="B3928" t="s">
        <v>328</v>
      </c>
      <c r="C3928" t="s">
        <v>58</v>
      </c>
      <c r="D3928">
        <v>1.63</v>
      </c>
      <c r="E3928" t="s">
        <v>54</v>
      </c>
      <c r="F3928" t="s">
        <v>55</v>
      </c>
      <c r="G3928" t="s">
        <v>2720</v>
      </c>
      <c r="H3928" t="s">
        <v>18</v>
      </c>
      <c r="I3928" s="26" t="s">
        <v>378</v>
      </c>
    </row>
    <row r="3929" spans="1:9" x14ac:dyDescent="0.3">
      <c r="A3929" s="24">
        <v>45376</v>
      </c>
      <c r="B3929" t="s">
        <v>328</v>
      </c>
      <c r="C3929" t="s">
        <v>60</v>
      </c>
      <c r="D3929">
        <v>0.25</v>
      </c>
      <c r="E3929" t="s">
        <v>263</v>
      </c>
      <c r="F3929" t="s">
        <v>31</v>
      </c>
      <c r="G3929" t="s">
        <v>2721</v>
      </c>
      <c r="H3929" t="s">
        <v>18</v>
      </c>
      <c r="I3929" s="26" t="s">
        <v>378</v>
      </c>
    </row>
    <row r="3930" spans="1:9" x14ac:dyDescent="0.3">
      <c r="A3930" s="24">
        <v>45376</v>
      </c>
      <c r="B3930" t="s">
        <v>328</v>
      </c>
      <c r="C3930" t="s">
        <v>60</v>
      </c>
      <c r="D3930">
        <v>0.48</v>
      </c>
      <c r="E3930" t="s">
        <v>162</v>
      </c>
      <c r="F3930" t="s">
        <v>31</v>
      </c>
      <c r="G3930" t="s">
        <v>2722</v>
      </c>
      <c r="H3930" t="s">
        <v>18</v>
      </c>
      <c r="I3930" s="26" t="s">
        <v>378</v>
      </c>
    </row>
    <row r="3931" spans="1:9" x14ac:dyDescent="0.3">
      <c r="A3931" s="24">
        <v>45376</v>
      </c>
      <c r="B3931" t="s">
        <v>328</v>
      </c>
      <c r="C3931" t="s">
        <v>60</v>
      </c>
      <c r="D3931">
        <v>0.73</v>
      </c>
      <c r="E3931" t="s">
        <v>81</v>
      </c>
      <c r="F3931" t="s">
        <v>31</v>
      </c>
      <c r="G3931" t="s">
        <v>2723</v>
      </c>
      <c r="H3931" t="s">
        <v>18</v>
      </c>
      <c r="I3931" s="26" t="s">
        <v>378</v>
      </c>
    </row>
    <row r="3932" spans="1:9" x14ac:dyDescent="0.3">
      <c r="A3932" s="24">
        <v>45376</v>
      </c>
      <c r="B3932" t="s">
        <v>329</v>
      </c>
      <c r="C3932" t="s">
        <v>370</v>
      </c>
      <c r="D3932">
        <v>0.57999999999999996</v>
      </c>
      <c r="E3932" t="s">
        <v>1856</v>
      </c>
      <c r="F3932" t="s">
        <v>31</v>
      </c>
      <c r="G3932" t="s">
        <v>2724</v>
      </c>
      <c r="H3932" t="s">
        <v>18</v>
      </c>
      <c r="I3932" s="26" t="s">
        <v>378</v>
      </c>
    </row>
    <row r="3933" spans="1:9" x14ac:dyDescent="0.3">
      <c r="A3933" s="24">
        <v>45376</v>
      </c>
      <c r="B3933" t="s">
        <v>331</v>
      </c>
      <c r="C3933" t="s">
        <v>73</v>
      </c>
      <c r="D3933">
        <v>4</v>
      </c>
      <c r="E3933" t="s">
        <v>54</v>
      </c>
      <c r="F3933" t="s">
        <v>55</v>
      </c>
      <c r="H3933" t="s">
        <v>18</v>
      </c>
      <c r="I3933" s="26" t="s">
        <v>378</v>
      </c>
    </row>
    <row r="3934" spans="1:9" x14ac:dyDescent="0.3">
      <c r="A3934" s="24">
        <v>45376</v>
      </c>
      <c r="B3934" t="s">
        <v>331</v>
      </c>
      <c r="C3934" t="s">
        <v>29</v>
      </c>
      <c r="D3934">
        <v>1.42</v>
      </c>
      <c r="E3934" t="s">
        <v>176</v>
      </c>
      <c r="F3934" t="s">
        <v>31</v>
      </c>
      <c r="H3934" t="s">
        <v>18</v>
      </c>
      <c r="I3934" s="26" t="s">
        <v>378</v>
      </c>
    </row>
    <row r="3935" spans="1:9" x14ac:dyDescent="0.3">
      <c r="A3935" s="24">
        <v>45376</v>
      </c>
      <c r="B3935" t="s">
        <v>331</v>
      </c>
      <c r="C3935" t="s">
        <v>29</v>
      </c>
      <c r="D3935">
        <v>2.67</v>
      </c>
      <c r="E3935" t="s">
        <v>91</v>
      </c>
      <c r="F3935" t="s">
        <v>31</v>
      </c>
      <c r="G3935" t="s">
        <v>2725</v>
      </c>
      <c r="H3935" t="s">
        <v>18</v>
      </c>
      <c r="I3935" s="26" t="s">
        <v>378</v>
      </c>
    </row>
    <row r="3936" spans="1:9" x14ac:dyDescent="0.3">
      <c r="A3936" s="24">
        <v>45376</v>
      </c>
      <c r="B3936" t="s">
        <v>340</v>
      </c>
      <c r="C3936" t="s">
        <v>202</v>
      </c>
      <c r="D3936">
        <v>0.25</v>
      </c>
      <c r="E3936" t="s">
        <v>156</v>
      </c>
      <c r="F3936" t="s">
        <v>31</v>
      </c>
      <c r="G3936" t="s">
        <v>2726</v>
      </c>
      <c r="H3936" t="s">
        <v>18</v>
      </c>
      <c r="I3936" s="26" t="s">
        <v>378</v>
      </c>
    </row>
    <row r="3937" spans="1:9" x14ac:dyDescent="0.3">
      <c r="A3937" s="24">
        <v>45376</v>
      </c>
      <c r="B3937" t="s">
        <v>340</v>
      </c>
      <c r="C3937" t="s">
        <v>202</v>
      </c>
      <c r="D3937">
        <v>0.33</v>
      </c>
      <c r="E3937" t="s">
        <v>437</v>
      </c>
      <c r="F3937" t="s">
        <v>31</v>
      </c>
      <c r="G3937" t="s">
        <v>2727</v>
      </c>
      <c r="H3937" t="s">
        <v>18</v>
      </c>
      <c r="I3937" s="26" t="s">
        <v>378</v>
      </c>
    </row>
    <row r="3938" spans="1:9" x14ac:dyDescent="0.3">
      <c r="A3938" s="24">
        <v>45376</v>
      </c>
      <c r="B3938" t="s">
        <v>340</v>
      </c>
      <c r="C3938" t="s">
        <v>202</v>
      </c>
      <c r="D3938">
        <v>0.5</v>
      </c>
      <c r="E3938" t="s">
        <v>176</v>
      </c>
      <c r="F3938" t="s">
        <v>31</v>
      </c>
      <c r="G3938" t="s">
        <v>2728</v>
      </c>
      <c r="H3938" t="s">
        <v>18</v>
      </c>
      <c r="I3938" s="26" t="s">
        <v>378</v>
      </c>
    </row>
    <row r="3939" spans="1:9" x14ac:dyDescent="0.3">
      <c r="A3939" s="24">
        <v>45376</v>
      </c>
      <c r="B3939" t="s">
        <v>340</v>
      </c>
      <c r="C3939" t="s">
        <v>202</v>
      </c>
      <c r="D3939">
        <v>0.5</v>
      </c>
      <c r="E3939" t="s">
        <v>127</v>
      </c>
      <c r="F3939" t="s">
        <v>31</v>
      </c>
      <c r="G3939" t="s">
        <v>2729</v>
      </c>
      <c r="H3939" t="s">
        <v>18</v>
      </c>
      <c r="I3939" s="26" t="s">
        <v>378</v>
      </c>
    </row>
    <row r="3940" spans="1:9" x14ac:dyDescent="0.3">
      <c r="A3940" s="24">
        <v>45376</v>
      </c>
      <c r="B3940" t="s">
        <v>340</v>
      </c>
      <c r="C3940" t="s">
        <v>53</v>
      </c>
      <c r="D3940">
        <v>2</v>
      </c>
      <c r="E3940" t="s">
        <v>54</v>
      </c>
      <c r="F3940" t="s">
        <v>55</v>
      </c>
      <c r="G3940" t="s">
        <v>2730</v>
      </c>
      <c r="H3940" t="s">
        <v>18</v>
      </c>
      <c r="I3940" s="26" t="s">
        <v>378</v>
      </c>
    </row>
    <row r="3941" spans="1:9" x14ac:dyDescent="0.3">
      <c r="A3941" s="24">
        <v>45376</v>
      </c>
      <c r="B3941" t="s">
        <v>340</v>
      </c>
      <c r="C3941" t="s">
        <v>442</v>
      </c>
      <c r="D3941">
        <v>4</v>
      </c>
      <c r="E3941" t="s">
        <v>54</v>
      </c>
      <c r="F3941" t="s">
        <v>55</v>
      </c>
      <c r="H3941" t="s">
        <v>18</v>
      </c>
      <c r="I3941" s="26" t="s">
        <v>378</v>
      </c>
    </row>
    <row r="3942" spans="1:9" x14ac:dyDescent="0.3">
      <c r="A3942" s="24">
        <v>45376</v>
      </c>
      <c r="B3942" t="s">
        <v>351</v>
      </c>
      <c r="C3942" t="s">
        <v>250</v>
      </c>
      <c r="D3942">
        <v>1</v>
      </c>
      <c r="E3942" t="s">
        <v>81</v>
      </c>
      <c r="F3942" t="s">
        <v>31</v>
      </c>
      <c r="G3942" t="s">
        <v>2731</v>
      </c>
      <c r="H3942" t="s">
        <v>18</v>
      </c>
      <c r="I3942" s="26" t="s">
        <v>378</v>
      </c>
    </row>
    <row r="3943" spans="1:9" x14ac:dyDescent="0.3">
      <c r="A3943" s="24">
        <v>45376</v>
      </c>
      <c r="B3943" t="s">
        <v>351</v>
      </c>
      <c r="C3943" t="s">
        <v>29</v>
      </c>
      <c r="D3943">
        <v>1</v>
      </c>
      <c r="E3943" t="s">
        <v>81</v>
      </c>
      <c r="F3943" t="s">
        <v>31</v>
      </c>
      <c r="G3943" t="s">
        <v>2732</v>
      </c>
      <c r="H3943" t="s">
        <v>18</v>
      </c>
      <c r="I3943" s="26" t="s">
        <v>378</v>
      </c>
    </row>
    <row r="3944" spans="1:9" x14ac:dyDescent="0.3">
      <c r="A3944" s="24">
        <v>45376</v>
      </c>
      <c r="B3944" t="s">
        <v>351</v>
      </c>
      <c r="C3944" t="s">
        <v>85</v>
      </c>
      <c r="D3944">
        <v>1.5</v>
      </c>
      <c r="E3944" t="s">
        <v>81</v>
      </c>
      <c r="F3944" t="s">
        <v>31</v>
      </c>
      <c r="G3944" t="s">
        <v>2733</v>
      </c>
      <c r="H3944" t="s">
        <v>18</v>
      </c>
      <c r="I3944" s="26" t="s">
        <v>378</v>
      </c>
    </row>
    <row r="3945" spans="1:9" x14ac:dyDescent="0.3">
      <c r="A3945" s="24">
        <v>45376</v>
      </c>
      <c r="B3945" t="s">
        <v>351</v>
      </c>
      <c r="C3945" t="s">
        <v>53</v>
      </c>
      <c r="D3945">
        <v>1.5</v>
      </c>
      <c r="E3945" t="s">
        <v>54</v>
      </c>
      <c r="F3945" t="s">
        <v>55</v>
      </c>
      <c r="G3945" t="s">
        <v>2734</v>
      </c>
      <c r="H3945" t="s">
        <v>18</v>
      </c>
      <c r="I3945" s="26" t="s">
        <v>378</v>
      </c>
    </row>
    <row r="3946" spans="1:9" x14ac:dyDescent="0.3">
      <c r="A3946" s="24">
        <v>45376</v>
      </c>
      <c r="B3946" t="s">
        <v>351</v>
      </c>
      <c r="C3946" t="s">
        <v>53</v>
      </c>
      <c r="D3946">
        <v>2</v>
      </c>
      <c r="E3946" t="s">
        <v>54</v>
      </c>
      <c r="F3946" t="s">
        <v>55</v>
      </c>
      <c r="G3946" t="s">
        <v>2211</v>
      </c>
      <c r="H3946" t="s">
        <v>18</v>
      </c>
      <c r="I3946" s="26" t="s">
        <v>378</v>
      </c>
    </row>
    <row r="3947" spans="1:9" x14ac:dyDescent="0.3">
      <c r="A3947" s="24">
        <v>45376</v>
      </c>
      <c r="B3947" t="s">
        <v>351</v>
      </c>
      <c r="C3947" t="s">
        <v>58</v>
      </c>
      <c r="D3947">
        <v>1</v>
      </c>
      <c r="E3947" t="s">
        <v>54</v>
      </c>
      <c r="F3947" t="s">
        <v>55</v>
      </c>
      <c r="G3947" t="s">
        <v>2705</v>
      </c>
      <c r="H3947" t="s">
        <v>18</v>
      </c>
      <c r="I3947" s="26" t="s">
        <v>378</v>
      </c>
    </row>
    <row r="3948" spans="1:9" x14ac:dyDescent="0.3">
      <c r="A3948" s="24">
        <v>45376</v>
      </c>
      <c r="B3948" t="s">
        <v>355</v>
      </c>
      <c r="C3948" t="s">
        <v>29</v>
      </c>
      <c r="D3948">
        <v>0.2</v>
      </c>
      <c r="E3948" t="s">
        <v>91</v>
      </c>
      <c r="F3948" t="s">
        <v>31</v>
      </c>
      <c r="G3948" t="s">
        <v>2735</v>
      </c>
      <c r="H3948" t="s">
        <v>18</v>
      </c>
      <c r="I3948" s="26" t="s">
        <v>378</v>
      </c>
    </row>
    <row r="3949" spans="1:9" x14ac:dyDescent="0.3">
      <c r="A3949" s="24">
        <v>45376</v>
      </c>
      <c r="B3949" t="s">
        <v>355</v>
      </c>
      <c r="C3949" t="s">
        <v>29</v>
      </c>
      <c r="D3949">
        <v>0.6</v>
      </c>
      <c r="E3949" t="s">
        <v>91</v>
      </c>
      <c r="F3949" t="s">
        <v>31</v>
      </c>
      <c r="G3949" t="s">
        <v>2736</v>
      </c>
      <c r="H3949" t="s">
        <v>18</v>
      </c>
      <c r="I3949" s="26" t="s">
        <v>378</v>
      </c>
    </row>
    <row r="3950" spans="1:9" x14ac:dyDescent="0.3">
      <c r="A3950" s="24">
        <v>45376</v>
      </c>
      <c r="B3950" t="s">
        <v>355</v>
      </c>
      <c r="C3950" t="s">
        <v>29</v>
      </c>
      <c r="D3950">
        <v>1</v>
      </c>
      <c r="E3950" t="s">
        <v>91</v>
      </c>
      <c r="F3950" t="s">
        <v>31</v>
      </c>
      <c r="G3950" t="s">
        <v>2737</v>
      </c>
      <c r="H3950" t="s">
        <v>18</v>
      </c>
      <c r="I3950" s="26" t="s">
        <v>378</v>
      </c>
    </row>
    <row r="3951" spans="1:9" x14ac:dyDescent="0.3">
      <c r="A3951" s="24">
        <v>45376</v>
      </c>
      <c r="B3951" t="s">
        <v>355</v>
      </c>
      <c r="C3951" t="s">
        <v>197</v>
      </c>
      <c r="D3951">
        <v>0.8</v>
      </c>
      <c r="E3951" t="s">
        <v>54</v>
      </c>
      <c r="F3951" t="s">
        <v>55</v>
      </c>
      <c r="G3951" t="s">
        <v>2738</v>
      </c>
      <c r="H3951" t="s">
        <v>18</v>
      </c>
      <c r="I3951" s="26" t="s">
        <v>378</v>
      </c>
    </row>
    <row r="3952" spans="1:9" x14ac:dyDescent="0.3">
      <c r="A3952" s="24">
        <v>45376</v>
      </c>
      <c r="B3952" t="s">
        <v>355</v>
      </c>
      <c r="C3952" t="s">
        <v>202</v>
      </c>
      <c r="D3952">
        <v>0.2</v>
      </c>
      <c r="E3952" t="s">
        <v>91</v>
      </c>
      <c r="F3952" t="s">
        <v>31</v>
      </c>
      <c r="G3952" t="s">
        <v>2739</v>
      </c>
      <c r="H3952" t="s">
        <v>18</v>
      </c>
      <c r="I3952" s="26" t="s">
        <v>378</v>
      </c>
    </row>
    <row r="3953" spans="1:9" x14ac:dyDescent="0.3">
      <c r="A3953" s="24">
        <v>45376</v>
      </c>
      <c r="B3953" t="s">
        <v>355</v>
      </c>
      <c r="C3953" t="s">
        <v>202</v>
      </c>
      <c r="D3953">
        <v>0.2</v>
      </c>
      <c r="E3953" t="s">
        <v>358</v>
      </c>
      <c r="F3953" t="s">
        <v>31</v>
      </c>
      <c r="G3953" t="s">
        <v>2740</v>
      </c>
      <c r="H3953" t="s">
        <v>18</v>
      </c>
      <c r="I3953" s="26" t="s">
        <v>378</v>
      </c>
    </row>
    <row r="3954" spans="1:9" x14ac:dyDescent="0.3">
      <c r="A3954" s="24">
        <v>45376</v>
      </c>
      <c r="B3954" t="s">
        <v>355</v>
      </c>
      <c r="C3954" t="s">
        <v>202</v>
      </c>
      <c r="D3954">
        <v>0.6</v>
      </c>
      <c r="E3954" t="s">
        <v>91</v>
      </c>
      <c r="F3954" t="s">
        <v>31</v>
      </c>
      <c r="G3954" t="s">
        <v>368</v>
      </c>
      <c r="H3954" t="s">
        <v>18</v>
      </c>
      <c r="I3954" s="26" t="s">
        <v>378</v>
      </c>
    </row>
    <row r="3955" spans="1:9" x14ac:dyDescent="0.3">
      <c r="A3955" s="24">
        <v>45376</v>
      </c>
      <c r="B3955" t="s">
        <v>355</v>
      </c>
      <c r="C3955" t="s">
        <v>202</v>
      </c>
      <c r="D3955">
        <v>0.6</v>
      </c>
      <c r="E3955" t="s">
        <v>44</v>
      </c>
      <c r="F3955" t="s">
        <v>31</v>
      </c>
      <c r="G3955" t="s">
        <v>2741</v>
      </c>
      <c r="H3955" t="s">
        <v>18</v>
      </c>
      <c r="I3955" s="26" t="s">
        <v>378</v>
      </c>
    </row>
    <row r="3956" spans="1:9" x14ac:dyDescent="0.3">
      <c r="A3956" s="24">
        <v>45376</v>
      </c>
      <c r="B3956" t="s">
        <v>355</v>
      </c>
      <c r="C3956" t="s">
        <v>202</v>
      </c>
      <c r="D3956">
        <v>0.8</v>
      </c>
      <c r="E3956" t="s">
        <v>91</v>
      </c>
      <c r="F3956" t="s">
        <v>31</v>
      </c>
      <c r="G3956" t="s">
        <v>2742</v>
      </c>
      <c r="H3956" t="s">
        <v>18</v>
      </c>
      <c r="I3956" s="26" t="s">
        <v>378</v>
      </c>
    </row>
    <row r="3957" spans="1:9" x14ac:dyDescent="0.3">
      <c r="A3957" s="24">
        <v>45376</v>
      </c>
      <c r="B3957" t="s">
        <v>355</v>
      </c>
      <c r="C3957" t="s">
        <v>85</v>
      </c>
      <c r="D3957">
        <v>0.5</v>
      </c>
      <c r="E3957" t="s">
        <v>44</v>
      </c>
      <c r="F3957" t="s">
        <v>31</v>
      </c>
      <c r="G3957" t="s">
        <v>2743</v>
      </c>
      <c r="H3957" t="s">
        <v>18</v>
      </c>
      <c r="I3957" s="26" t="s">
        <v>378</v>
      </c>
    </row>
    <row r="3958" spans="1:9" x14ac:dyDescent="0.3">
      <c r="A3958" s="24">
        <v>45376</v>
      </c>
      <c r="B3958" t="s">
        <v>355</v>
      </c>
      <c r="C3958" t="s">
        <v>53</v>
      </c>
      <c r="D3958">
        <v>1.6</v>
      </c>
      <c r="E3958" t="s">
        <v>54</v>
      </c>
      <c r="F3958" t="s">
        <v>55</v>
      </c>
      <c r="G3958" t="s">
        <v>2744</v>
      </c>
      <c r="H3958" t="s">
        <v>18</v>
      </c>
      <c r="I3958" s="26" t="s">
        <v>378</v>
      </c>
    </row>
    <row r="3959" spans="1:9" x14ac:dyDescent="0.3">
      <c r="A3959" s="24">
        <v>45376</v>
      </c>
      <c r="B3959" t="s">
        <v>355</v>
      </c>
      <c r="C3959" t="s">
        <v>58</v>
      </c>
      <c r="D3959">
        <v>0.3</v>
      </c>
      <c r="E3959" t="s">
        <v>54</v>
      </c>
      <c r="F3959" t="s">
        <v>55</v>
      </c>
      <c r="G3959" t="s">
        <v>2745</v>
      </c>
      <c r="H3959" t="s">
        <v>18</v>
      </c>
      <c r="I3959" s="26" t="s">
        <v>378</v>
      </c>
    </row>
    <row r="3960" spans="1:9" x14ac:dyDescent="0.3">
      <c r="A3960" s="24">
        <v>45376</v>
      </c>
      <c r="B3960" t="s">
        <v>374</v>
      </c>
      <c r="C3960" t="s">
        <v>123</v>
      </c>
      <c r="D3960">
        <v>2.5</v>
      </c>
      <c r="E3960" t="s">
        <v>54</v>
      </c>
      <c r="F3960" t="s">
        <v>55</v>
      </c>
      <c r="H3960" t="s">
        <v>18</v>
      </c>
      <c r="I3960" s="26" t="s">
        <v>378</v>
      </c>
    </row>
    <row r="3961" spans="1:9" x14ac:dyDescent="0.3">
      <c r="A3961" s="24">
        <v>45377</v>
      </c>
      <c r="B3961" t="s">
        <v>28</v>
      </c>
      <c r="C3961" t="s">
        <v>29</v>
      </c>
      <c r="D3961">
        <v>7.0000000000000007E-2</v>
      </c>
      <c r="E3961" t="s">
        <v>44</v>
      </c>
      <c r="F3961" t="s">
        <v>31</v>
      </c>
      <c r="G3961" t="s">
        <v>43</v>
      </c>
      <c r="H3961" t="s">
        <v>18</v>
      </c>
      <c r="I3961" s="26" t="s">
        <v>576</v>
      </c>
    </row>
    <row r="3962" spans="1:9" x14ac:dyDescent="0.3">
      <c r="A3962" s="24">
        <v>45377</v>
      </c>
      <c r="B3962" t="s">
        <v>28</v>
      </c>
      <c r="C3962" t="s">
        <v>29</v>
      </c>
      <c r="D3962">
        <v>7.0000000000000007E-2</v>
      </c>
      <c r="E3962" t="s">
        <v>30</v>
      </c>
      <c r="F3962" t="s">
        <v>31</v>
      </c>
      <c r="G3962" t="s">
        <v>2746</v>
      </c>
      <c r="H3962" t="s">
        <v>18</v>
      </c>
      <c r="I3962" s="26" t="s">
        <v>576</v>
      </c>
    </row>
    <row r="3963" spans="1:9" x14ac:dyDescent="0.3">
      <c r="A3963" s="24">
        <v>45377</v>
      </c>
      <c r="B3963" t="s">
        <v>28</v>
      </c>
      <c r="C3963" t="s">
        <v>29</v>
      </c>
      <c r="D3963">
        <v>7.0000000000000007E-2</v>
      </c>
      <c r="E3963" t="s">
        <v>30</v>
      </c>
      <c r="F3963" t="s">
        <v>31</v>
      </c>
      <c r="G3963" t="s">
        <v>2747</v>
      </c>
      <c r="H3963" t="s">
        <v>18</v>
      </c>
      <c r="I3963" s="26" t="s">
        <v>576</v>
      </c>
    </row>
    <row r="3964" spans="1:9" x14ac:dyDescent="0.3">
      <c r="A3964" s="24">
        <v>45377</v>
      </c>
      <c r="B3964" t="s">
        <v>28</v>
      </c>
      <c r="C3964" t="s">
        <v>29</v>
      </c>
      <c r="D3964">
        <v>0.15</v>
      </c>
      <c r="E3964" t="s">
        <v>44</v>
      </c>
      <c r="F3964" t="s">
        <v>31</v>
      </c>
      <c r="G3964" t="s">
        <v>46</v>
      </c>
      <c r="H3964" t="s">
        <v>18</v>
      </c>
      <c r="I3964" s="26" t="s">
        <v>576</v>
      </c>
    </row>
    <row r="3965" spans="1:9" x14ac:dyDescent="0.3">
      <c r="A3965" s="24">
        <v>45377</v>
      </c>
      <c r="B3965" t="s">
        <v>28</v>
      </c>
      <c r="C3965" t="s">
        <v>29</v>
      </c>
      <c r="D3965">
        <v>0.18</v>
      </c>
      <c r="E3965" t="s">
        <v>35</v>
      </c>
      <c r="F3965" t="s">
        <v>31</v>
      </c>
      <c r="G3965" t="s">
        <v>47</v>
      </c>
      <c r="H3965" t="s">
        <v>18</v>
      </c>
      <c r="I3965" s="26" t="s">
        <v>576</v>
      </c>
    </row>
    <row r="3966" spans="1:9" x14ac:dyDescent="0.3">
      <c r="A3966" s="24">
        <v>45377</v>
      </c>
      <c r="B3966" t="s">
        <v>28</v>
      </c>
      <c r="C3966" t="s">
        <v>29</v>
      </c>
      <c r="D3966">
        <v>0.22</v>
      </c>
      <c r="E3966" t="s">
        <v>30</v>
      </c>
      <c r="F3966" t="s">
        <v>31</v>
      </c>
      <c r="G3966" t="s">
        <v>1675</v>
      </c>
      <c r="H3966" t="s">
        <v>18</v>
      </c>
      <c r="I3966" s="26" t="s">
        <v>576</v>
      </c>
    </row>
    <row r="3967" spans="1:9" x14ac:dyDescent="0.3">
      <c r="A3967" s="24">
        <v>45377</v>
      </c>
      <c r="B3967" t="s">
        <v>28</v>
      </c>
      <c r="C3967" t="s">
        <v>29</v>
      </c>
      <c r="D3967">
        <v>0.22</v>
      </c>
      <c r="E3967" t="s">
        <v>39</v>
      </c>
      <c r="F3967" t="s">
        <v>31</v>
      </c>
      <c r="G3967" t="s">
        <v>579</v>
      </c>
      <c r="H3967" t="s">
        <v>18</v>
      </c>
      <c r="I3967" s="26" t="s">
        <v>576</v>
      </c>
    </row>
    <row r="3968" spans="1:9" x14ac:dyDescent="0.3">
      <c r="A3968" s="24">
        <v>45377</v>
      </c>
      <c r="B3968" t="s">
        <v>28</v>
      </c>
      <c r="C3968" t="s">
        <v>29</v>
      </c>
      <c r="D3968">
        <v>0.23</v>
      </c>
      <c r="E3968" t="s">
        <v>62</v>
      </c>
      <c r="F3968" t="s">
        <v>31</v>
      </c>
      <c r="G3968" t="s">
        <v>38</v>
      </c>
      <c r="H3968" t="s">
        <v>18</v>
      </c>
      <c r="I3968" s="26" t="s">
        <v>576</v>
      </c>
    </row>
    <row r="3969" spans="1:9" x14ac:dyDescent="0.3">
      <c r="A3969" s="24">
        <v>45377</v>
      </c>
      <c r="B3969" t="s">
        <v>28</v>
      </c>
      <c r="C3969" t="s">
        <v>29</v>
      </c>
      <c r="D3969">
        <v>0.23</v>
      </c>
      <c r="E3969" t="s">
        <v>42</v>
      </c>
      <c r="F3969" t="s">
        <v>31</v>
      </c>
      <c r="G3969" t="s">
        <v>43</v>
      </c>
      <c r="H3969" t="s">
        <v>18</v>
      </c>
      <c r="I3969" s="26" t="s">
        <v>576</v>
      </c>
    </row>
    <row r="3970" spans="1:9" x14ac:dyDescent="0.3">
      <c r="A3970" s="24">
        <v>45377</v>
      </c>
      <c r="B3970" t="s">
        <v>28</v>
      </c>
      <c r="C3970" t="s">
        <v>29</v>
      </c>
      <c r="D3970">
        <v>0.23</v>
      </c>
      <c r="E3970" t="s">
        <v>42</v>
      </c>
      <c r="F3970" t="s">
        <v>31</v>
      </c>
      <c r="G3970" t="s">
        <v>38</v>
      </c>
      <c r="H3970" t="s">
        <v>18</v>
      </c>
      <c r="I3970" s="26" t="s">
        <v>576</v>
      </c>
    </row>
    <row r="3971" spans="1:9" x14ac:dyDescent="0.3">
      <c r="A3971" s="24">
        <v>45377</v>
      </c>
      <c r="B3971" t="s">
        <v>28</v>
      </c>
      <c r="C3971" t="s">
        <v>29</v>
      </c>
      <c r="D3971">
        <v>0.27</v>
      </c>
      <c r="E3971" t="s">
        <v>40</v>
      </c>
      <c r="F3971" t="s">
        <v>31</v>
      </c>
      <c r="G3971" t="s">
        <v>1370</v>
      </c>
      <c r="H3971" t="s">
        <v>18</v>
      </c>
      <c r="I3971" s="26" t="s">
        <v>576</v>
      </c>
    </row>
    <row r="3972" spans="1:9" x14ac:dyDescent="0.3">
      <c r="A3972" s="24">
        <v>45377</v>
      </c>
      <c r="B3972" t="s">
        <v>28</v>
      </c>
      <c r="C3972" t="s">
        <v>29</v>
      </c>
      <c r="D3972">
        <v>0.32</v>
      </c>
      <c r="E3972" t="s">
        <v>49</v>
      </c>
      <c r="F3972" t="s">
        <v>31</v>
      </c>
      <c r="G3972" t="s">
        <v>43</v>
      </c>
      <c r="H3972" t="s">
        <v>18</v>
      </c>
      <c r="I3972" s="26" t="s">
        <v>576</v>
      </c>
    </row>
    <row r="3973" spans="1:9" x14ac:dyDescent="0.3">
      <c r="A3973" s="24">
        <v>45377</v>
      </c>
      <c r="B3973" t="s">
        <v>28</v>
      </c>
      <c r="C3973" t="s">
        <v>29</v>
      </c>
      <c r="D3973">
        <v>0.56999999999999995</v>
      </c>
      <c r="E3973" t="s">
        <v>40</v>
      </c>
      <c r="F3973" t="s">
        <v>31</v>
      </c>
      <c r="G3973" t="s">
        <v>579</v>
      </c>
      <c r="H3973" t="s">
        <v>18</v>
      </c>
      <c r="I3973" s="26" t="s">
        <v>576</v>
      </c>
    </row>
    <row r="3974" spans="1:9" x14ac:dyDescent="0.3">
      <c r="A3974" s="24">
        <v>45377</v>
      </c>
      <c r="B3974" t="s">
        <v>28</v>
      </c>
      <c r="C3974" t="s">
        <v>29</v>
      </c>
      <c r="D3974">
        <v>0.68</v>
      </c>
      <c r="E3974" t="s">
        <v>44</v>
      </c>
      <c r="F3974" t="s">
        <v>31</v>
      </c>
      <c r="G3974" t="s">
        <v>579</v>
      </c>
      <c r="H3974" t="s">
        <v>18</v>
      </c>
      <c r="I3974" s="26" t="s">
        <v>576</v>
      </c>
    </row>
    <row r="3975" spans="1:9" x14ac:dyDescent="0.3">
      <c r="A3975" s="24">
        <v>45377</v>
      </c>
      <c r="B3975" t="s">
        <v>28</v>
      </c>
      <c r="C3975" t="s">
        <v>29</v>
      </c>
      <c r="D3975">
        <v>0.72</v>
      </c>
      <c r="E3975" t="s">
        <v>42</v>
      </c>
      <c r="F3975" t="s">
        <v>31</v>
      </c>
      <c r="G3975" t="s">
        <v>579</v>
      </c>
      <c r="H3975" t="s">
        <v>18</v>
      </c>
      <c r="I3975" s="26" t="s">
        <v>576</v>
      </c>
    </row>
    <row r="3976" spans="1:9" x14ac:dyDescent="0.3">
      <c r="A3976" s="24">
        <v>45377</v>
      </c>
      <c r="B3976" t="s">
        <v>28</v>
      </c>
      <c r="C3976" t="s">
        <v>29</v>
      </c>
      <c r="D3976">
        <v>0.85</v>
      </c>
      <c r="E3976" t="s">
        <v>48</v>
      </c>
      <c r="F3976" t="s">
        <v>31</v>
      </c>
      <c r="G3976" t="s">
        <v>38</v>
      </c>
      <c r="H3976" t="s">
        <v>18</v>
      </c>
      <c r="I3976" s="26" t="s">
        <v>576</v>
      </c>
    </row>
    <row r="3977" spans="1:9" x14ac:dyDescent="0.3">
      <c r="A3977" s="24">
        <v>45377</v>
      </c>
      <c r="B3977" t="s">
        <v>28</v>
      </c>
      <c r="C3977" t="s">
        <v>29</v>
      </c>
      <c r="D3977">
        <v>1.18</v>
      </c>
      <c r="E3977" t="s">
        <v>49</v>
      </c>
      <c r="F3977" t="s">
        <v>31</v>
      </c>
      <c r="G3977" t="s">
        <v>579</v>
      </c>
      <c r="H3977" t="s">
        <v>18</v>
      </c>
      <c r="I3977" s="26" t="s">
        <v>576</v>
      </c>
    </row>
    <row r="3978" spans="1:9" x14ac:dyDescent="0.3">
      <c r="A3978" s="24">
        <v>45377</v>
      </c>
      <c r="B3978" t="s">
        <v>28</v>
      </c>
      <c r="C3978" t="s">
        <v>53</v>
      </c>
      <c r="D3978">
        <v>0.25</v>
      </c>
      <c r="E3978" t="s">
        <v>54</v>
      </c>
      <c r="F3978" t="s">
        <v>55</v>
      </c>
      <c r="G3978" t="s">
        <v>56</v>
      </c>
      <c r="H3978" t="s">
        <v>18</v>
      </c>
      <c r="I3978" s="26" t="s">
        <v>576</v>
      </c>
    </row>
    <row r="3979" spans="1:9" x14ac:dyDescent="0.3">
      <c r="A3979" s="24">
        <v>45377</v>
      </c>
      <c r="B3979" t="s">
        <v>28</v>
      </c>
      <c r="C3979" t="s">
        <v>53</v>
      </c>
      <c r="D3979">
        <v>0.25</v>
      </c>
      <c r="E3979" t="s">
        <v>54</v>
      </c>
      <c r="F3979" t="s">
        <v>55</v>
      </c>
      <c r="G3979" t="s">
        <v>57</v>
      </c>
      <c r="H3979" t="s">
        <v>18</v>
      </c>
      <c r="I3979" s="26" t="s">
        <v>576</v>
      </c>
    </row>
    <row r="3980" spans="1:9" x14ac:dyDescent="0.3">
      <c r="A3980" s="24">
        <v>45377</v>
      </c>
      <c r="B3980" t="s">
        <v>28</v>
      </c>
      <c r="C3980" t="s">
        <v>58</v>
      </c>
      <c r="D3980">
        <v>0.15</v>
      </c>
      <c r="E3980" t="s">
        <v>54</v>
      </c>
      <c r="F3980" t="s">
        <v>55</v>
      </c>
      <c r="G3980" t="s">
        <v>2748</v>
      </c>
      <c r="H3980" t="s">
        <v>18</v>
      </c>
      <c r="I3980" s="26" t="s">
        <v>576</v>
      </c>
    </row>
    <row r="3981" spans="1:9" x14ac:dyDescent="0.3">
      <c r="A3981" s="24">
        <v>45377</v>
      </c>
      <c r="B3981" t="s">
        <v>28</v>
      </c>
      <c r="C3981" t="s">
        <v>58</v>
      </c>
      <c r="D3981">
        <v>0.43</v>
      </c>
      <c r="E3981" t="s">
        <v>54</v>
      </c>
      <c r="F3981" t="s">
        <v>55</v>
      </c>
      <c r="G3981" t="s">
        <v>2749</v>
      </c>
      <c r="H3981" t="s">
        <v>18</v>
      </c>
      <c r="I3981" s="26" t="s">
        <v>576</v>
      </c>
    </row>
    <row r="3982" spans="1:9" x14ac:dyDescent="0.3">
      <c r="A3982" s="24">
        <v>45377</v>
      </c>
      <c r="B3982" t="s">
        <v>28</v>
      </c>
      <c r="C3982" t="s">
        <v>60</v>
      </c>
      <c r="D3982">
        <v>0.05</v>
      </c>
      <c r="E3982" t="s">
        <v>62</v>
      </c>
      <c r="F3982" t="s">
        <v>31</v>
      </c>
      <c r="H3982" t="s">
        <v>18</v>
      </c>
      <c r="I3982" s="26" t="s">
        <v>576</v>
      </c>
    </row>
    <row r="3983" spans="1:9" x14ac:dyDescent="0.3">
      <c r="A3983" s="24">
        <v>45377</v>
      </c>
      <c r="B3983" t="s">
        <v>28</v>
      </c>
      <c r="C3983" t="s">
        <v>60</v>
      </c>
      <c r="D3983">
        <v>0.05</v>
      </c>
      <c r="E3983" t="s">
        <v>44</v>
      </c>
      <c r="F3983" t="s">
        <v>31</v>
      </c>
      <c r="H3983" t="s">
        <v>18</v>
      </c>
      <c r="I3983" s="26" t="s">
        <v>576</v>
      </c>
    </row>
    <row r="3984" spans="1:9" x14ac:dyDescent="0.3">
      <c r="A3984" s="24">
        <v>45377</v>
      </c>
      <c r="B3984" t="s">
        <v>28</v>
      </c>
      <c r="C3984" t="s">
        <v>60</v>
      </c>
      <c r="D3984">
        <v>7.0000000000000007E-2</v>
      </c>
      <c r="E3984" t="s">
        <v>48</v>
      </c>
      <c r="F3984" t="s">
        <v>31</v>
      </c>
      <c r="H3984" t="s">
        <v>18</v>
      </c>
      <c r="I3984" s="26" t="s">
        <v>576</v>
      </c>
    </row>
    <row r="3985" spans="1:9" x14ac:dyDescent="0.3">
      <c r="A3985" s="24">
        <v>45377</v>
      </c>
      <c r="B3985" t="s">
        <v>28</v>
      </c>
      <c r="C3985" t="s">
        <v>60</v>
      </c>
      <c r="D3985">
        <v>0.5</v>
      </c>
      <c r="E3985" t="s">
        <v>61</v>
      </c>
      <c r="F3985" t="s">
        <v>31</v>
      </c>
      <c r="H3985" t="s">
        <v>18</v>
      </c>
      <c r="I3985" s="26" t="s">
        <v>576</v>
      </c>
    </row>
    <row r="3986" spans="1:9" x14ac:dyDescent="0.3">
      <c r="A3986" s="24">
        <v>45377</v>
      </c>
      <c r="B3986" t="s">
        <v>64</v>
      </c>
      <c r="C3986" t="s">
        <v>65</v>
      </c>
      <c r="D3986">
        <v>1</v>
      </c>
      <c r="E3986" t="s">
        <v>66</v>
      </c>
      <c r="F3986" t="s">
        <v>31</v>
      </c>
      <c r="G3986" t="s">
        <v>2750</v>
      </c>
      <c r="H3986" t="s">
        <v>18</v>
      </c>
      <c r="I3986" s="26" t="s">
        <v>576</v>
      </c>
    </row>
    <row r="3987" spans="1:9" x14ac:dyDescent="0.3">
      <c r="A3987" s="24">
        <v>45377</v>
      </c>
      <c r="B3987" t="s">
        <v>64</v>
      </c>
      <c r="C3987" t="s">
        <v>379</v>
      </c>
      <c r="D3987">
        <v>1.33</v>
      </c>
      <c r="E3987" t="s">
        <v>66</v>
      </c>
      <c r="F3987" t="s">
        <v>31</v>
      </c>
      <c r="G3987" t="s">
        <v>2751</v>
      </c>
      <c r="H3987" t="s">
        <v>18</v>
      </c>
      <c r="I3987" s="26" t="s">
        <v>576</v>
      </c>
    </row>
    <row r="3988" spans="1:9" x14ac:dyDescent="0.3">
      <c r="A3988" s="24">
        <v>45377</v>
      </c>
      <c r="B3988" t="s">
        <v>64</v>
      </c>
      <c r="C3988" t="s">
        <v>68</v>
      </c>
      <c r="D3988">
        <v>1.67</v>
      </c>
      <c r="E3988" t="s">
        <v>66</v>
      </c>
      <c r="F3988" t="s">
        <v>31</v>
      </c>
      <c r="G3988" t="s">
        <v>2752</v>
      </c>
      <c r="H3988" t="s">
        <v>18</v>
      </c>
      <c r="I3988" s="26" t="s">
        <v>576</v>
      </c>
    </row>
    <row r="3989" spans="1:9" x14ac:dyDescent="0.3">
      <c r="A3989" s="24">
        <v>45377</v>
      </c>
      <c r="B3989" t="s">
        <v>64</v>
      </c>
      <c r="C3989" t="s">
        <v>70</v>
      </c>
      <c r="D3989">
        <v>2.5</v>
      </c>
      <c r="E3989" t="s">
        <v>66</v>
      </c>
      <c r="F3989" t="s">
        <v>31</v>
      </c>
      <c r="G3989" t="s">
        <v>2753</v>
      </c>
      <c r="H3989" t="s">
        <v>18</v>
      </c>
      <c r="I3989" s="26" t="s">
        <v>576</v>
      </c>
    </row>
    <row r="3990" spans="1:9" x14ac:dyDescent="0.3">
      <c r="A3990" s="24">
        <v>45377</v>
      </c>
      <c r="B3990" t="s">
        <v>72</v>
      </c>
      <c r="C3990" t="s">
        <v>29</v>
      </c>
      <c r="D3990">
        <v>0.15</v>
      </c>
      <c r="E3990" t="s">
        <v>30</v>
      </c>
      <c r="F3990" t="s">
        <v>55</v>
      </c>
      <c r="G3990" t="s">
        <v>2754</v>
      </c>
      <c r="H3990" t="s">
        <v>18</v>
      </c>
      <c r="I3990" s="26" t="s">
        <v>576</v>
      </c>
    </row>
    <row r="3991" spans="1:9" x14ac:dyDescent="0.3">
      <c r="A3991" s="24">
        <v>45377</v>
      </c>
      <c r="B3991" t="s">
        <v>72</v>
      </c>
      <c r="C3991" t="s">
        <v>29</v>
      </c>
      <c r="D3991">
        <v>0.18</v>
      </c>
      <c r="E3991" t="s">
        <v>358</v>
      </c>
      <c r="F3991" t="s">
        <v>31</v>
      </c>
      <c r="G3991" t="s">
        <v>2755</v>
      </c>
      <c r="H3991" t="s">
        <v>18</v>
      </c>
      <c r="I3991" s="26" t="s">
        <v>576</v>
      </c>
    </row>
    <row r="3992" spans="1:9" x14ac:dyDescent="0.3">
      <c r="A3992" s="24">
        <v>45377</v>
      </c>
      <c r="B3992" t="s">
        <v>72</v>
      </c>
      <c r="C3992" t="s">
        <v>29</v>
      </c>
      <c r="D3992">
        <v>0.32</v>
      </c>
      <c r="E3992" t="s">
        <v>358</v>
      </c>
      <c r="F3992" t="s">
        <v>31</v>
      </c>
      <c r="G3992" t="s">
        <v>2756</v>
      </c>
      <c r="H3992" t="s">
        <v>18</v>
      </c>
      <c r="I3992" s="26" t="s">
        <v>576</v>
      </c>
    </row>
    <row r="3993" spans="1:9" x14ac:dyDescent="0.3">
      <c r="A3993" s="24">
        <v>45377</v>
      </c>
      <c r="B3993" t="s">
        <v>72</v>
      </c>
      <c r="C3993" t="s">
        <v>29</v>
      </c>
      <c r="D3993">
        <v>0.65</v>
      </c>
      <c r="E3993" t="s">
        <v>358</v>
      </c>
      <c r="F3993" t="s">
        <v>31</v>
      </c>
      <c r="G3993" t="s">
        <v>2757</v>
      </c>
      <c r="H3993" t="s">
        <v>18</v>
      </c>
      <c r="I3993" s="26" t="s">
        <v>576</v>
      </c>
    </row>
    <row r="3994" spans="1:9" x14ac:dyDescent="0.3">
      <c r="A3994" s="24">
        <v>45377</v>
      </c>
      <c r="B3994" t="s">
        <v>72</v>
      </c>
      <c r="C3994" t="s">
        <v>29</v>
      </c>
      <c r="D3994">
        <v>0.7</v>
      </c>
      <c r="E3994" t="s">
        <v>358</v>
      </c>
      <c r="F3994" t="s">
        <v>31</v>
      </c>
      <c r="H3994" t="s">
        <v>18</v>
      </c>
      <c r="I3994" s="26" t="s">
        <v>576</v>
      </c>
    </row>
    <row r="3995" spans="1:9" x14ac:dyDescent="0.3">
      <c r="A3995" s="24">
        <v>45377</v>
      </c>
      <c r="B3995" t="s">
        <v>72</v>
      </c>
      <c r="C3995" t="s">
        <v>29</v>
      </c>
      <c r="D3995">
        <v>1.1000000000000001</v>
      </c>
      <c r="E3995" t="s">
        <v>271</v>
      </c>
      <c r="F3995" t="s">
        <v>31</v>
      </c>
      <c r="H3995" t="s">
        <v>18</v>
      </c>
      <c r="I3995" s="26" t="s">
        <v>576</v>
      </c>
    </row>
    <row r="3996" spans="1:9" x14ac:dyDescent="0.3">
      <c r="A3996" s="24">
        <v>45377</v>
      </c>
      <c r="B3996" t="s">
        <v>72</v>
      </c>
      <c r="C3996" t="s">
        <v>29</v>
      </c>
      <c r="D3996">
        <v>1.42</v>
      </c>
      <c r="E3996" t="s">
        <v>30</v>
      </c>
      <c r="F3996" t="s">
        <v>55</v>
      </c>
      <c r="G3996" t="s">
        <v>2758</v>
      </c>
      <c r="H3996" t="s">
        <v>18</v>
      </c>
      <c r="I3996" s="26" t="s">
        <v>576</v>
      </c>
    </row>
    <row r="3997" spans="1:9" x14ac:dyDescent="0.3">
      <c r="A3997" s="24">
        <v>45377</v>
      </c>
      <c r="B3997" t="s">
        <v>72</v>
      </c>
      <c r="C3997" t="s">
        <v>53</v>
      </c>
      <c r="D3997">
        <v>0.13</v>
      </c>
      <c r="E3997" t="s">
        <v>54</v>
      </c>
      <c r="F3997" t="s">
        <v>55</v>
      </c>
      <c r="G3997" t="s">
        <v>2759</v>
      </c>
      <c r="H3997" t="s">
        <v>18</v>
      </c>
      <c r="I3997" s="26" t="s">
        <v>576</v>
      </c>
    </row>
    <row r="3998" spans="1:9" x14ac:dyDescent="0.3">
      <c r="A3998" s="24">
        <v>45377</v>
      </c>
      <c r="B3998" t="s">
        <v>72</v>
      </c>
      <c r="C3998" t="s">
        <v>53</v>
      </c>
      <c r="D3998">
        <v>0.33</v>
      </c>
      <c r="E3998" t="s">
        <v>54</v>
      </c>
      <c r="F3998" t="s">
        <v>55</v>
      </c>
      <c r="H3998" t="s">
        <v>18</v>
      </c>
      <c r="I3998" s="26" t="s">
        <v>576</v>
      </c>
    </row>
    <row r="3999" spans="1:9" x14ac:dyDescent="0.3">
      <c r="A3999" s="24">
        <v>45377</v>
      </c>
      <c r="B3999" t="s">
        <v>72</v>
      </c>
      <c r="C3999" t="s">
        <v>53</v>
      </c>
      <c r="D3999">
        <v>0.48</v>
      </c>
      <c r="E3999" t="s">
        <v>54</v>
      </c>
      <c r="F3999" t="s">
        <v>55</v>
      </c>
      <c r="G3999" t="s">
        <v>110</v>
      </c>
      <c r="H3999" t="s">
        <v>18</v>
      </c>
      <c r="I3999" s="26" t="s">
        <v>576</v>
      </c>
    </row>
    <row r="4000" spans="1:9" x14ac:dyDescent="0.3">
      <c r="A4000" s="24">
        <v>45377</v>
      </c>
      <c r="B4000" t="s">
        <v>72</v>
      </c>
      <c r="C4000" t="s">
        <v>53</v>
      </c>
      <c r="D4000">
        <v>0.82</v>
      </c>
      <c r="E4000" t="s">
        <v>54</v>
      </c>
      <c r="F4000" t="s">
        <v>55</v>
      </c>
      <c r="G4000" t="s">
        <v>2760</v>
      </c>
      <c r="H4000" t="s">
        <v>18</v>
      </c>
      <c r="I4000" s="26" t="s">
        <v>576</v>
      </c>
    </row>
    <row r="4001" spans="1:9" x14ac:dyDescent="0.3">
      <c r="A4001" s="24">
        <v>45377</v>
      </c>
      <c r="B4001" t="s">
        <v>72</v>
      </c>
      <c r="C4001" t="s">
        <v>53</v>
      </c>
      <c r="D4001">
        <v>1.28</v>
      </c>
      <c r="E4001" t="s">
        <v>54</v>
      </c>
      <c r="F4001" t="s">
        <v>55</v>
      </c>
      <c r="G4001" t="s">
        <v>2761</v>
      </c>
      <c r="H4001" t="s">
        <v>18</v>
      </c>
      <c r="I4001" s="26" t="s">
        <v>576</v>
      </c>
    </row>
    <row r="4002" spans="1:9" x14ac:dyDescent="0.3">
      <c r="A4002" s="24">
        <v>45377</v>
      </c>
      <c r="B4002" t="s">
        <v>72</v>
      </c>
      <c r="C4002" t="s">
        <v>60</v>
      </c>
      <c r="D4002">
        <v>0.5</v>
      </c>
      <c r="E4002" t="s">
        <v>271</v>
      </c>
      <c r="F4002" t="s">
        <v>31</v>
      </c>
      <c r="H4002" t="s">
        <v>18</v>
      </c>
      <c r="I4002" s="26" t="s">
        <v>576</v>
      </c>
    </row>
    <row r="4003" spans="1:9" x14ac:dyDescent="0.3">
      <c r="A4003" s="24">
        <v>45377</v>
      </c>
      <c r="B4003" t="s">
        <v>79</v>
      </c>
      <c r="C4003" t="s">
        <v>53</v>
      </c>
      <c r="D4003">
        <v>8</v>
      </c>
      <c r="E4003" t="s">
        <v>54</v>
      </c>
      <c r="F4003" t="s">
        <v>55</v>
      </c>
      <c r="H4003" t="s">
        <v>18</v>
      </c>
      <c r="I4003" s="26" t="s">
        <v>576</v>
      </c>
    </row>
    <row r="4004" spans="1:9" x14ac:dyDescent="0.3">
      <c r="A4004" s="24">
        <v>45377</v>
      </c>
      <c r="B4004" t="s">
        <v>88</v>
      </c>
      <c r="C4004" t="s">
        <v>89</v>
      </c>
      <c r="D4004">
        <v>8</v>
      </c>
      <c r="E4004" t="s">
        <v>54</v>
      </c>
      <c r="F4004" t="s">
        <v>55</v>
      </c>
      <c r="G4004" t="s">
        <v>2762</v>
      </c>
      <c r="H4004" t="s">
        <v>18</v>
      </c>
      <c r="I4004" s="26" t="s">
        <v>576</v>
      </c>
    </row>
    <row r="4005" spans="1:9" x14ac:dyDescent="0.3">
      <c r="A4005" s="24">
        <v>45377</v>
      </c>
      <c r="B4005" t="s">
        <v>97</v>
      </c>
      <c r="C4005" t="s">
        <v>89</v>
      </c>
      <c r="D4005">
        <v>3</v>
      </c>
      <c r="E4005" t="s">
        <v>54</v>
      </c>
      <c r="F4005" t="s">
        <v>55</v>
      </c>
      <c r="G4005" t="s">
        <v>2763</v>
      </c>
      <c r="H4005" t="s">
        <v>18</v>
      </c>
      <c r="I4005" s="26" t="s">
        <v>576</v>
      </c>
    </row>
    <row r="4006" spans="1:9" x14ac:dyDescent="0.3">
      <c r="A4006" s="24">
        <v>45377</v>
      </c>
      <c r="B4006" t="s">
        <v>99</v>
      </c>
      <c r="C4006" t="s">
        <v>89</v>
      </c>
      <c r="D4006">
        <v>9.25</v>
      </c>
      <c r="E4006" t="s">
        <v>54</v>
      </c>
      <c r="F4006" t="s">
        <v>55</v>
      </c>
      <c r="G4006" t="s">
        <v>2639</v>
      </c>
      <c r="H4006" t="s">
        <v>18</v>
      </c>
      <c r="I4006" s="26" t="s">
        <v>576</v>
      </c>
    </row>
    <row r="4007" spans="1:9" x14ac:dyDescent="0.3">
      <c r="A4007" s="24">
        <v>45377</v>
      </c>
      <c r="B4007" t="s">
        <v>101</v>
      </c>
      <c r="C4007" t="s">
        <v>73</v>
      </c>
      <c r="D4007">
        <v>8</v>
      </c>
      <c r="E4007" t="s">
        <v>54</v>
      </c>
      <c r="F4007" t="s">
        <v>55</v>
      </c>
      <c r="G4007" t="s">
        <v>2640</v>
      </c>
      <c r="H4007" t="s">
        <v>18</v>
      </c>
      <c r="I4007" s="26" t="s">
        <v>576</v>
      </c>
    </row>
    <row r="4008" spans="1:9" x14ac:dyDescent="0.3">
      <c r="A4008" s="24">
        <v>45377</v>
      </c>
      <c r="B4008" t="s">
        <v>113</v>
      </c>
      <c r="C4008" t="s">
        <v>29</v>
      </c>
      <c r="D4008">
        <v>0.47</v>
      </c>
      <c r="E4008" t="s">
        <v>127</v>
      </c>
      <c r="F4008" t="s">
        <v>31</v>
      </c>
      <c r="G4008" t="s">
        <v>207</v>
      </c>
      <c r="H4008" t="s">
        <v>18</v>
      </c>
      <c r="I4008" s="26" t="s">
        <v>576</v>
      </c>
    </row>
    <row r="4009" spans="1:9" x14ac:dyDescent="0.3">
      <c r="A4009" s="24">
        <v>45377</v>
      </c>
      <c r="B4009" t="s">
        <v>113</v>
      </c>
      <c r="C4009" t="s">
        <v>29</v>
      </c>
      <c r="D4009">
        <v>0.5</v>
      </c>
      <c r="E4009" t="s">
        <v>114</v>
      </c>
      <c r="F4009" t="s">
        <v>31</v>
      </c>
      <c r="G4009" t="s">
        <v>2396</v>
      </c>
      <c r="H4009" t="s">
        <v>18</v>
      </c>
      <c r="I4009" s="26" t="s">
        <v>576</v>
      </c>
    </row>
    <row r="4010" spans="1:9" x14ac:dyDescent="0.3">
      <c r="A4010" s="24">
        <v>45377</v>
      </c>
      <c r="B4010" t="s">
        <v>113</v>
      </c>
      <c r="C4010" t="s">
        <v>29</v>
      </c>
      <c r="D4010">
        <v>0.87</v>
      </c>
      <c r="E4010" t="s">
        <v>116</v>
      </c>
      <c r="F4010" t="s">
        <v>31</v>
      </c>
      <c r="G4010" t="s">
        <v>118</v>
      </c>
      <c r="H4010" t="s">
        <v>18</v>
      </c>
      <c r="I4010" s="26" t="s">
        <v>576</v>
      </c>
    </row>
    <row r="4011" spans="1:9" x14ac:dyDescent="0.3">
      <c r="A4011" s="24">
        <v>45377</v>
      </c>
      <c r="B4011" t="s">
        <v>113</v>
      </c>
      <c r="C4011" t="s">
        <v>53</v>
      </c>
      <c r="D4011">
        <v>0.3</v>
      </c>
      <c r="E4011" t="s">
        <v>54</v>
      </c>
      <c r="F4011" t="s">
        <v>55</v>
      </c>
      <c r="G4011" t="s">
        <v>119</v>
      </c>
      <c r="H4011" t="s">
        <v>18</v>
      </c>
      <c r="I4011" s="26" t="s">
        <v>576</v>
      </c>
    </row>
    <row r="4012" spans="1:9" x14ac:dyDescent="0.3">
      <c r="A4012" s="24">
        <v>45377</v>
      </c>
      <c r="B4012" t="s">
        <v>113</v>
      </c>
      <c r="C4012" t="s">
        <v>53</v>
      </c>
      <c r="D4012">
        <v>0.35</v>
      </c>
      <c r="E4012" t="s">
        <v>54</v>
      </c>
      <c r="F4012" t="s">
        <v>55</v>
      </c>
      <c r="G4012" t="s">
        <v>2764</v>
      </c>
      <c r="H4012" t="s">
        <v>18</v>
      </c>
      <c r="I4012" s="26" t="s">
        <v>576</v>
      </c>
    </row>
    <row r="4013" spans="1:9" x14ac:dyDescent="0.3">
      <c r="A4013" s="24">
        <v>45377</v>
      </c>
      <c r="B4013" t="s">
        <v>113</v>
      </c>
      <c r="C4013" t="s">
        <v>53</v>
      </c>
      <c r="D4013">
        <v>0.5</v>
      </c>
      <c r="E4013" t="s">
        <v>54</v>
      </c>
      <c r="F4013" t="s">
        <v>55</v>
      </c>
      <c r="G4013" t="s">
        <v>110</v>
      </c>
      <c r="H4013" t="s">
        <v>18</v>
      </c>
      <c r="I4013" s="26" t="s">
        <v>576</v>
      </c>
    </row>
    <row r="4014" spans="1:9" x14ac:dyDescent="0.3">
      <c r="A4014" s="24">
        <v>45377</v>
      </c>
      <c r="B4014" t="s">
        <v>113</v>
      </c>
      <c r="C4014" t="s">
        <v>232</v>
      </c>
      <c r="D4014">
        <v>0.12</v>
      </c>
      <c r="E4014" t="s">
        <v>114</v>
      </c>
      <c r="F4014" t="s">
        <v>31</v>
      </c>
      <c r="G4014" t="s">
        <v>2765</v>
      </c>
      <c r="H4014" t="s">
        <v>18</v>
      </c>
      <c r="I4014" s="26" t="s">
        <v>576</v>
      </c>
    </row>
    <row r="4015" spans="1:9" x14ac:dyDescent="0.3">
      <c r="A4015" s="24">
        <v>45377</v>
      </c>
      <c r="B4015" t="s">
        <v>113</v>
      </c>
      <c r="C4015" t="s">
        <v>58</v>
      </c>
      <c r="D4015">
        <v>1.07</v>
      </c>
      <c r="E4015" t="s">
        <v>54</v>
      </c>
      <c r="F4015" t="s">
        <v>55</v>
      </c>
      <c r="G4015" t="s">
        <v>2766</v>
      </c>
      <c r="H4015" t="s">
        <v>18</v>
      </c>
      <c r="I4015" s="26" t="s">
        <v>576</v>
      </c>
    </row>
    <row r="4016" spans="1:9" x14ac:dyDescent="0.3">
      <c r="A4016" s="24">
        <v>45377</v>
      </c>
      <c r="B4016" t="s">
        <v>113</v>
      </c>
      <c r="C4016" t="s">
        <v>60</v>
      </c>
      <c r="D4016">
        <v>0.45</v>
      </c>
      <c r="E4016" t="s">
        <v>81</v>
      </c>
      <c r="F4016" t="s">
        <v>31</v>
      </c>
      <c r="G4016" t="s">
        <v>2767</v>
      </c>
      <c r="H4016" t="s">
        <v>18</v>
      </c>
      <c r="I4016" s="26" t="s">
        <v>576</v>
      </c>
    </row>
    <row r="4017" spans="1:9" x14ac:dyDescent="0.3">
      <c r="A4017" s="24">
        <v>45377</v>
      </c>
      <c r="B4017" t="s">
        <v>113</v>
      </c>
      <c r="C4017" t="s">
        <v>60</v>
      </c>
      <c r="D4017">
        <v>0.88</v>
      </c>
      <c r="E4017" t="s">
        <v>127</v>
      </c>
      <c r="F4017" t="s">
        <v>31</v>
      </c>
      <c r="G4017" t="s">
        <v>126</v>
      </c>
      <c r="H4017" t="s">
        <v>18</v>
      </c>
      <c r="I4017" s="26" t="s">
        <v>576</v>
      </c>
    </row>
    <row r="4018" spans="1:9" x14ac:dyDescent="0.3">
      <c r="A4018" s="24">
        <v>45377</v>
      </c>
      <c r="B4018" t="s">
        <v>113</v>
      </c>
      <c r="C4018" t="s">
        <v>60</v>
      </c>
      <c r="D4018">
        <v>1.2</v>
      </c>
      <c r="E4018" t="s">
        <v>61</v>
      </c>
      <c r="F4018" t="s">
        <v>31</v>
      </c>
      <c r="G4018" t="s">
        <v>2768</v>
      </c>
      <c r="H4018" t="s">
        <v>18</v>
      </c>
      <c r="I4018" s="26" t="s">
        <v>576</v>
      </c>
    </row>
    <row r="4019" spans="1:9" x14ac:dyDescent="0.3">
      <c r="A4019" s="24">
        <v>45377</v>
      </c>
      <c r="B4019" t="s">
        <v>113</v>
      </c>
      <c r="C4019" t="s">
        <v>60</v>
      </c>
      <c r="D4019">
        <v>1.3</v>
      </c>
      <c r="E4019" t="s">
        <v>137</v>
      </c>
      <c r="F4019" t="s">
        <v>31</v>
      </c>
      <c r="G4019" t="s">
        <v>126</v>
      </c>
      <c r="H4019" t="s">
        <v>18</v>
      </c>
      <c r="I4019" s="26" t="s">
        <v>576</v>
      </c>
    </row>
    <row r="4020" spans="1:9" x14ac:dyDescent="0.3">
      <c r="A4020" s="24">
        <v>45377</v>
      </c>
      <c r="B4020" t="s">
        <v>132</v>
      </c>
      <c r="C4020" t="s">
        <v>53</v>
      </c>
      <c r="D4020">
        <v>8.33</v>
      </c>
      <c r="E4020" t="s">
        <v>54</v>
      </c>
      <c r="F4020" t="s">
        <v>55</v>
      </c>
      <c r="G4020" t="s">
        <v>2769</v>
      </c>
      <c r="H4020" t="s">
        <v>18</v>
      </c>
      <c r="I4020" s="26" t="s">
        <v>576</v>
      </c>
    </row>
    <row r="4021" spans="1:9" x14ac:dyDescent="0.3">
      <c r="A4021" s="24">
        <v>45377</v>
      </c>
      <c r="B4021" t="s">
        <v>132</v>
      </c>
      <c r="C4021" t="s">
        <v>90</v>
      </c>
      <c r="D4021">
        <v>1.5</v>
      </c>
      <c r="E4021" t="s">
        <v>1216</v>
      </c>
      <c r="F4021" t="s">
        <v>31</v>
      </c>
      <c r="G4021" t="s">
        <v>2770</v>
      </c>
      <c r="H4021" t="s">
        <v>18</v>
      </c>
      <c r="I4021" s="26" t="s">
        <v>576</v>
      </c>
    </row>
    <row r="4022" spans="1:9" x14ac:dyDescent="0.3">
      <c r="A4022" s="24">
        <v>45377</v>
      </c>
      <c r="B4022" t="s">
        <v>134</v>
      </c>
      <c r="C4022" t="s">
        <v>29</v>
      </c>
      <c r="D4022">
        <v>0.65</v>
      </c>
      <c r="E4022" t="s">
        <v>420</v>
      </c>
      <c r="F4022" t="s">
        <v>31</v>
      </c>
      <c r="G4022" t="s">
        <v>2771</v>
      </c>
      <c r="H4022" t="s">
        <v>18</v>
      </c>
      <c r="I4022" s="26" t="s">
        <v>576</v>
      </c>
    </row>
    <row r="4023" spans="1:9" x14ac:dyDescent="0.3">
      <c r="A4023" s="24">
        <v>45377</v>
      </c>
      <c r="B4023" t="s">
        <v>134</v>
      </c>
      <c r="C4023" t="s">
        <v>29</v>
      </c>
      <c r="D4023">
        <v>0.93</v>
      </c>
      <c r="E4023" t="s">
        <v>423</v>
      </c>
      <c r="F4023" t="s">
        <v>31</v>
      </c>
      <c r="G4023" t="s">
        <v>2772</v>
      </c>
      <c r="H4023" t="s">
        <v>18</v>
      </c>
      <c r="I4023" s="26" t="s">
        <v>576</v>
      </c>
    </row>
    <row r="4024" spans="1:9" x14ac:dyDescent="0.3">
      <c r="A4024" s="24">
        <v>45377</v>
      </c>
      <c r="B4024" t="s">
        <v>134</v>
      </c>
      <c r="C4024" t="s">
        <v>29</v>
      </c>
      <c r="D4024">
        <v>1</v>
      </c>
      <c r="E4024" t="s">
        <v>137</v>
      </c>
      <c r="F4024" t="s">
        <v>31</v>
      </c>
      <c r="G4024" t="s">
        <v>2773</v>
      </c>
      <c r="H4024" t="s">
        <v>18</v>
      </c>
      <c r="I4024" s="26" t="s">
        <v>576</v>
      </c>
    </row>
    <row r="4025" spans="1:9" x14ac:dyDescent="0.3">
      <c r="A4025" s="24">
        <v>45377</v>
      </c>
      <c r="B4025" t="s">
        <v>134</v>
      </c>
      <c r="C4025" t="s">
        <v>29</v>
      </c>
      <c r="D4025">
        <v>1.03</v>
      </c>
      <c r="E4025" t="s">
        <v>423</v>
      </c>
      <c r="F4025" t="s">
        <v>31</v>
      </c>
      <c r="G4025" t="s">
        <v>2774</v>
      </c>
      <c r="H4025" t="s">
        <v>18</v>
      </c>
      <c r="I4025" s="26" t="s">
        <v>576</v>
      </c>
    </row>
    <row r="4026" spans="1:9" x14ac:dyDescent="0.3">
      <c r="A4026" s="24">
        <v>45377</v>
      </c>
      <c r="B4026" t="s">
        <v>134</v>
      </c>
      <c r="C4026" t="s">
        <v>29</v>
      </c>
      <c r="D4026">
        <v>1.1299999999999999</v>
      </c>
      <c r="E4026" t="s">
        <v>139</v>
      </c>
      <c r="F4026" t="s">
        <v>31</v>
      </c>
      <c r="G4026" t="s">
        <v>2775</v>
      </c>
      <c r="H4026" t="s">
        <v>18</v>
      </c>
      <c r="I4026" s="26" t="s">
        <v>576</v>
      </c>
    </row>
    <row r="4027" spans="1:9" x14ac:dyDescent="0.3">
      <c r="A4027" s="24">
        <v>45377</v>
      </c>
      <c r="B4027" t="s">
        <v>134</v>
      </c>
      <c r="C4027" t="s">
        <v>29</v>
      </c>
      <c r="D4027">
        <v>1.68</v>
      </c>
      <c r="E4027" t="s">
        <v>135</v>
      </c>
      <c r="F4027" t="s">
        <v>31</v>
      </c>
      <c r="G4027" t="s">
        <v>427</v>
      </c>
      <c r="H4027" t="s">
        <v>18</v>
      </c>
      <c r="I4027" s="26" t="s">
        <v>576</v>
      </c>
    </row>
    <row r="4028" spans="1:9" x14ac:dyDescent="0.3">
      <c r="A4028" s="24">
        <v>45377</v>
      </c>
      <c r="B4028" t="s">
        <v>134</v>
      </c>
      <c r="C4028" t="s">
        <v>53</v>
      </c>
      <c r="D4028">
        <v>0.5</v>
      </c>
      <c r="E4028" t="s">
        <v>54</v>
      </c>
      <c r="F4028" t="s">
        <v>55</v>
      </c>
      <c r="G4028" t="s">
        <v>110</v>
      </c>
      <c r="H4028" t="s">
        <v>18</v>
      </c>
      <c r="I4028" s="26" t="s">
        <v>576</v>
      </c>
    </row>
    <row r="4029" spans="1:9" x14ac:dyDescent="0.3">
      <c r="A4029" s="24">
        <v>45377</v>
      </c>
      <c r="B4029" t="s">
        <v>134</v>
      </c>
      <c r="C4029" t="s">
        <v>58</v>
      </c>
      <c r="D4029">
        <v>1.07</v>
      </c>
      <c r="E4029" t="s">
        <v>54</v>
      </c>
      <c r="F4029" t="s">
        <v>55</v>
      </c>
      <c r="G4029" t="s">
        <v>2776</v>
      </c>
      <c r="H4029" t="s">
        <v>18</v>
      </c>
      <c r="I4029" s="26" t="s">
        <v>576</v>
      </c>
    </row>
    <row r="4030" spans="1:9" x14ac:dyDescent="0.3">
      <c r="A4030" s="24">
        <v>45377</v>
      </c>
      <c r="B4030" t="s">
        <v>150</v>
      </c>
      <c r="C4030" t="s">
        <v>29</v>
      </c>
      <c r="D4030">
        <v>0.5</v>
      </c>
      <c r="E4030" t="s">
        <v>437</v>
      </c>
      <c r="F4030" t="s">
        <v>31</v>
      </c>
      <c r="G4030" t="s">
        <v>2777</v>
      </c>
      <c r="H4030" t="s">
        <v>18</v>
      </c>
      <c r="I4030" s="26" t="s">
        <v>576</v>
      </c>
    </row>
    <row r="4031" spans="1:9" x14ac:dyDescent="0.3">
      <c r="A4031" s="24">
        <v>45377</v>
      </c>
      <c r="B4031" t="s">
        <v>150</v>
      </c>
      <c r="C4031" t="s">
        <v>29</v>
      </c>
      <c r="D4031">
        <v>0.5</v>
      </c>
      <c r="E4031" t="s">
        <v>114</v>
      </c>
      <c r="F4031" t="s">
        <v>31</v>
      </c>
      <c r="G4031" t="s">
        <v>2778</v>
      </c>
      <c r="H4031" t="s">
        <v>18</v>
      </c>
      <c r="I4031" s="26" t="s">
        <v>576</v>
      </c>
    </row>
    <row r="4032" spans="1:9" x14ac:dyDescent="0.3">
      <c r="A4032" s="24">
        <v>45377</v>
      </c>
      <c r="B4032" t="s">
        <v>150</v>
      </c>
      <c r="C4032" t="s">
        <v>29</v>
      </c>
      <c r="D4032">
        <v>0.68</v>
      </c>
      <c r="E4032" t="s">
        <v>151</v>
      </c>
      <c r="F4032" t="s">
        <v>55</v>
      </c>
      <c r="G4032" t="s">
        <v>2779</v>
      </c>
      <c r="H4032" t="s">
        <v>18</v>
      </c>
      <c r="I4032" s="26" t="s">
        <v>576</v>
      </c>
    </row>
    <row r="4033" spans="1:9" x14ac:dyDescent="0.3">
      <c r="A4033" s="24">
        <v>45377</v>
      </c>
      <c r="B4033" t="s">
        <v>150</v>
      </c>
      <c r="C4033" t="s">
        <v>29</v>
      </c>
      <c r="D4033">
        <v>0.85</v>
      </c>
      <c r="E4033" t="s">
        <v>483</v>
      </c>
      <c r="F4033" t="s">
        <v>31</v>
      </c>
      <c r="G4033" t="s">
        <v>2780</v>
      </c>
      <c r="H4033" t="s">
        <v>18</v>
      </c>
      <c r="I4033" s="26" t="s">
        <v>576</v>
      </c>
    </row>
    <row r="4034" spans="1:9" x14ac:dyDescent="0.3">
      <c r="A4034" s="24">
        <v>45377</v>
      </c>
      <c r="B4034" t="s">
        <v>150</v>
      </c>
      <c r="C4034" t="s">
        <v>29</v>
      </c>
      <c r="D4034">
        <v>0.9</v>
      </c>
      <c r="E4034" t="s">
        <v>483</v>
      </c>
      <c r="F4034" t="s">
        <v>31</v>
      </c>
      <c r="G4034" t="s">
        <v>2781</v>
      </c>
      <c r="H4034" t="s">
        <v>18</v>
      </c>
      <c r="I4034" s="26" t="s">
        <v>576</v>
      </c>
    </row>
    <row r="4035" spans="1:9" x14ac:dyDescent="0.3">
      <c r="A4035" s="24">
        <v>45377</v>
      </c>
      <c r="B4035" t="s">
        <v>150</v>
      </c>
      <c r="C4035" t="s">
        <v>29</v>
      </c>
      <c r="D4035">
        <v>0.97</v>
      </c>
      <c r="E4035" t="s">
        <v>483</v>
      </c>
      <c r="F4035" t="s">
        <v>31</v>
      </c>
      <c r="G4035" t="s">
        <v>152</v>
      </c>
      <c r="H4035" t="s">
        <v>18</v>
      </c>
      <c r="I4035" s="26" t="s">
        <v>576</v>
      </c>
    </row>
    <row r="4036" spans="1:9" x14ac:dyDescent="0.3">
      <c r="A4036" s="24">
        <v>45377</v>
      </c>
      <c r="B4036" t="s">
        <v>150</v>
      </c>
      <c r="C4036" t="s">
        <v>29</v>
      </c>
      <c r="D4036">
        <v>0.98</v>
      </c>
      <c r="E4036" t="s">
        <v>114</v>
      </c>
      <c r="F4036" t="s">
        <v>31</v>
      </c>
      <c r="G4036" t="s">
        <v>2782</v>
      </c>
      <c r="H4036" t="s">
        <v>18</v>
      </c>
      <c r="I4036" s="26" t="s">
        <v>576</v>
      </c>
    </row>
    <row r="4037" spans="1:9" x14ac:dyDescent="0.3">
      <c r="A4037" s="24">
        <v>45377</v>
      </c>
      <c r="B4037" t="s">
        <v>150</v>
      </c>
      <c r="C4037" t="s">
        <v>29</v>
      </c>
      <c r="D4037">
        <v>1</v>
      </c>
      <c r="E4037" t="s">
        <v>437</v>
      </c>
      <c r="F4037" t="s">
        <v>31</v>
      </c>
      <c r="G4037" t="s">
        <v>2414</v>
      </c>
      <c r="H4037" t="s">
        <v>18</v>
      </c>
      <c r="I4037" s="26" t="s">
        <v>576</v>
      </c>
    </row>
    <row r="4038" spans="1:9" x14ac:dyDescent="0.3">
      <c r="A4038" s="24">
        <v>45377</v>
      </c>
      <c r="B4038" t="s">
        <v>150</v>
      </c>
      <c r="C4038" t="s">
        <v>53</v>
      </c>
      <c r="D4038">
        <v>0.15</v>
      </c>
      <c r="E4038" t="s">
        <v>54</v>
      </c>
      <c r="F4038" t="s">
        <v>55</v>
      </c>
      <c r="G4038" t="s">
        <v>2783</v>
      </c>
      <c r="H4038" t="s">
        <v>18</v>
      </c>
      <c r="I4038" s="26" t="s">
        <v>576</v>
      </c>
    </row>
    <row r="4039" spans="1:9" x14ac:dyDescent="0.3">
      <c r="A4039" s="24">
        <v>45377</v>
      </c>
      <c r="B4039" t="s">
        <v>150</v>
      </c>
      <c r="C4039" t="s">
        <v>148</v>
      </c>
      <c r="D4039">
        <v>0.52</v>
      </c>
      <c r="E4039" t="s">
        <v>54</v>
      </c>
      <c r="F4039" t="s">
        <v>55</v>
      </c>
      <c r="G4039" t="s">
        <v>2784</v>
      </c>
      <c r="H4039" t="s">
        <v>18</v>
      </c>
      <c r="I4039" s="26" t="s">
        <v>576</v>
      </c>
    </row>
    <row r="4040" spans="1:9" x14ac:dyDescent="0.3">
      <c r="A4040" s="24">
        <v>45377</v>
      </c>
      <c r="B4040" t="s">
        <v>150</v>
      </c>
      <c r="C4040" t="s">
        <v>60</v>
      </c>
      <c r="D4040">
        <v>0.22</v>
      </c>
      <c r="E4040" t="s">
        <v>162</v>
      </c>
      <c r="F4040" t="s">
        <v>31</v>
      </c>
      <c r="G4040" t="s">
        <v>2785</v>
      </c>
      <c r="H4040" t="s">
        <v>18</v>
      </c>
      <c r="I4040" s="26" t="s">
        <v>576</v>
      </c>
    </row>
    <row r="4041" spans="1:9" x14ac:dyDescent="0.3">
      <c r="A4041" s="24">
        <v>45377</v>
      </c>
      <c r="B4041" t="s">
        <v>150</v>
      </c>
      <c r="C4041" t="s">
        <v>60</v>
      </c>
      <c r="D4041">
        <v>0.3</v>
      </c>
      <c r="E4041" t="s">
        <v>156</v>
      </c>
      <c r="F4041" t="s">
        <v>31</v>
      </c>
      <c r="G4041" t="s">
        <v>2786</v>
      </c>
      <c r="H4041" t="s">
        <v>18</v>
      </c>
      <c r="I4041" s="26" t="s">
        <v>576</v>
      </c>
    </row>
    <row r="4042" spans="1:9" x14ac:dyDescent="0.3">
      <c r="A4042" s="24">
        <v>45377</v>
      </c>
      <c r="B4042" t="s">
        <v>150</v>
      </c>
      <c r="C4042" t="s">
        <v>60</v>
      </c>
      <c r="D4042">
        <v>0.4</v>
      </c>
      <c r="E4042" t="s">
        <v>156</v>
      </c>
      <c r="F4042" t="s">
        <v>31</v>
      </c>
      <c r="G4042" t="s">
        <v>2787</v>
      </c>
      <c r="H4042" t="s">
        <v>18</v>
      </c>
      <c r="I4042" s="26" t="s">
        <v>576</v>
      </c>
    </row>
    <row r="4043" spans="1:9" x14ac:dyDescent="0.3">
      <c r="A4043" s="24">
        <v>45377</v>
      </c>
      <c r="B4043" t="s">
        <v>150</v>
      </c>
      <c r="C4043" t="s">
        <v>60</v>
      </c>
      <c r="D4043">
        <v>0.9</v>
      </c>
      <c r="E4043" t="s">
        <v>162</v>
      </c>
      <c r="F4043" t="s">
        <v>31</v>
      </c>
      <c r="G4043" t="s">
        <v>624</v>
      </c>
      <c r="H4043" t="s">
        <v>18</v>
      </c>
      <c r="I4043" s="26" t="s">
        <v>576</v>
      </c>
    </row>
    <row r="4044" spans="1:9" x14ac:dyDescent="0.3">
      <c r="A4044" s="24">
        <v>45377</v>
      </c>
      <c r="B4044" t="s">
        <v>164</v>
      </c>
      <c r="C4044" t="s">
        <v>73</v>
      </c>
      <c r="D4044">
        <v>8</v>
      </c>
      <c r="E4044" t="s">
        <v>54</v>
      </c>
      <c r="F4044" t="s">
        <v>55</v>
      </c>
      <c r="H4044" t="s">
        <v>18</v>
      </c>
      <c r="I4044" s="26" t="s">
        <v>576</v>
      </c>
    </row>
    <row r="4045" spans="1:9" x14ac:dyDescent="0.3">
      <c r="A4045" s="24">
        <v>45377</v>
      </c>
      <c r="B4045" t="s">
        <v>169</v>
      </c>
      <c r="C4045" t="s">
        <v>29</v>
      </c>
      <c r="D4045">
        <v>7.98</v>
      </c>
      <c r="E4045" t="s">
        <v>170</v>
      </c>
      <c r="F4045" t="s">
        <v>31</v>
      </c>
      <c r="H4045" t="s">
        <v>18</v>
      </c>
      <c r="I4045" s="26" t="s">
        <v>576</v>
      </c>
    </row>
    <row r="4046" spans="1:9" x14ac:dyDescent="0.3">
      <c r="A4046" s="24">
        <v>45377</v>
      </c>
      <c r="B4046" t="s">
        <v>175</v>
      </c>
      <c r="C4046" t="s">
        <v>29</v>
      </c>
      <c r="D4046">
        <v>0.17</v>
      </c>
      <c r="E4046" t="s">
        <v>178</v>
      </c>
      <c r="F4046" t="s">
        <v>31</v>
      </c>
      <c r="H4046" t="s">
        <v>18</v>
      </c>
      <c r="I4046" s="26" t="s">
        <v>576</v>
      </c>
    </row>
    <row r="4047" spans="1:9" x14ac:dyDescent="0.3">
      <c r="A4047" s="24">
        <v>45377</v>
      </c>
      <c r="B4047" t="s">
        <v>175</v>
      </c>
      <c r="C4047" t="s">
        <v>29</v>
      </c>
      <c r="D4047">
        <v>0.37</v>
      </c>
      <c r="E4047" t="s">
        <v>176</v>
      </c>
      <c r="F4047" t="s">
        <v>31</v>
      </c>
      <c r="H4047" t="s">
        <v>18</v>
      </c>
      <c r="I4047" s="26" t="s">
        <v>576</v>
      </c>
    </row>
    <row r="4048" spans="1:9" x14ac:dyDescent="0.3">
      <c r="A4048" s="24">
        <v>45377</v>
      </c>
      <c r="B4048" t="s">
        <v>175</v>
      </c>
      <c r="C4048" t="s">
        <v>29</v>
      </c>
      <c r="D4048">
        <v>0.45</v>
      </c>
      <c r="E4048" t="s">
        <v>179</v>
      </c>
      <c r="F4048" t="s">
        <v>31</v>
      </c>
      <c r="H4048" t="s">
        <v>18</v>
      </c>
      <c r="I4048" s="26" t="s">
        <v>576</v>
      </c>
    </row>
    <row r="4049" spans="1:9" x14ac:dyDescent="0.3">
      <c r="A4049" s="24">
        <v>45377</v>
      </c>
      <c r="B4049" t="s">
        <v>175</v>
      </c>
      <c r="C4049" t="s">
        <v>29</v>
      </c>
      <c r="D4049">
        <v>1</v>
      </c>
      <c r="E4049" t="s">
        <v>185</v>
      </c>
      <c r="F4049" t="s">
        <v>31</v>
      </c>
      <c r="G4049" t="s">
        <v>2788</v>
      </c>
      <c r="H4049" t="s">
        <v>18</v>
      </c>
      <c r="I4049" s="26" t="s">
        <v>576</v>
      </c>
    </row>
    <row r="4050" spans="1:9" x14ac:dyDescent="0.3">
      <c r="A4050" s="24">
        <v>45377</v>
      </c>
      <c r="B4050" t="s">
        <v>175</v>
      </c>
      <c r="C4050" t="s">
        <v>29</v>
      </c>
      <c r="D4050">
        <v>1.32</v>
      </c>
      <c r="E4050" t="s">
        <v>177</v>
      </c>
      <c r="F4050" t="s">
        <v>31</v>
      </c>
      <c r="H4050" t="s">
        <v>18</v>
      </c>
      <c r="I4050" s="26" t="s">
        <v>576</v>
      </c>
    </row>
    <row r="4051" spans="1:9" x14ac:dyDescent="0.3">
      <c r="A4051" s="24">
        <v>45377</v>
      </c>
      <c r="B4051" t="s">
        <v>175</v>
      </c>
      <c r="C4051" t="s">
        <v>29</v>
      </c>
      <c r="D4051">
        <v>1.6</v>
      </c>
      <c r="E4051" t="s">
        <v>182</v>
      </c>
      <c r="F4051" t="s">
        <v>31</v>
      </c>
      <c r="H4051" t="s">
        <v>18</v>
      </c>
      <c r="I4051" s="26" t="s">
        <v>576</v>
      </c>
    </row>
    <row r="4052" spans="1:9" x14ac:dyDescent="0.3">
      <c r="A4052" s="24">
        <v>45377</v>
      </c>
      <c r="B4052" t="s">
        <v>175</v>
      </c>
      <c r="C4052" t="s">
        <v>29</v>
      </c>
      <c r="D4052">
        <v>1.98</v>
      </c>
      <c r="E4052" t="s">
        <v>127</v>
      </c>
      <c r="F4052" t="s">
        <v>31</v>
      </c>
      <c r="G4052" t="s">
        <v>2789</v>
      </c>
      <c r="H4052" t="s">
        <v>18</v>
      </c>
      <c r="I4052" s="26" t="s">
        <v>576</v>
      </c>
    </row>
    <row r="4053" spans="1:9" x14ac:dyDescent="0.3">
      <c r="A4053" s="24">
        <v>45377</v>
      </c>
      <c r="B4053" t="s">
        <v>175</v>
      </c>
      <c r="C4053" t="s">
        <v>53</v>
      </c>
      <c r="D4053">
        <v>0.33</v>
      </c>
      <c r="E4053" t="s">
        <v>54</v>
      </c>
      <c r="F4053" t="s">
        <v>55</v>
      </c>
      <c r="H4053" t="s">
        <v>18</v>
      </c>
      <c r="I4053" s="26" t="s">
        <v>576</v>
      </c>
    </row>
    <row r="4054" spans="1:9" x14ac:dyDescent="0.3">
      <c r="A4054" s="24">
        <v>45377</v>
      </c>
      <c r="B4054" t="s">
        <v>175</v>
      </c>
      <c r="C4054" t="s">
        <v>58</v>
      </c>
      <c r="D4054">
        <v>0.28000000000000003</v>
      </c>
      <c r="E4054" t="s">
        <v>54</v>
      </c>
      <c r="F4054" t="s">
        <v>55</v>
      </c>
      <c r="G4054" t="s">
        <v>2790</v>
      </c>
      <c r="H4054" t="s">
        <v>18</v>
      </c>
      <c r="I4054" s="26" t="s">
        <v>576</v>
      </c>
    </row>
    <row r="4055" spans="1:9" x14ac:dyDescent="0.3">
      <c r="A4055" s="24">
        <v>45377</v>
      </c>
      <c r="B4055" t="s">
        <v>175</v>
      </c>
      <c r="C4055" t="s">
        <v>60</v>
      </c>
      <c r="D4055">
        <v>0.5</v>
      </c>
      <c r="E4055" t="s">
        <v>127</v>
      </c>
      <c r="F4055" t="s">
        <v>31</v>
      </c>
      <c r="H4055" t="s">
        <v>18</v>
      </c>
      <c r="I4055" s="26" t="s">
        <v>576</v>
      </c>
    </row>
    <row r="4056" spans="1:9" x14ac:dyDescent="0.3">
      <c r="A4056" s="24">
        <v>45377</v>
      </c>
      <c r="B4056" t="s">
        <v>188</v>
      </c>
      <c r="C4056" t="s">
        <v>454</v>
      </c>
      <c r="D4056">
        <v>8</v>
      </c>
      <c r="E4056" t="s">
        <v>54</v>
      </c>
      <c r="F4056" t="s">
        <v>55</v>
      </c>
      <c r="G4056" t="s">
        <v>2015</v>
      </c>
      <c r="H4056" t="s">
        <v>18</v>
      </c>
      <c r="I4056" s="26" t="s">
        <v>576</v>
      </c>
    </row>
    <row r="4057" spans="1:9" x14ac:dyDescent="0.3">
      <c r="A4057" s="24">
        <v>45377</v>
      </c>
      <c r="B4057" t="s">
        <v>190</v>
      </c>
      <c r="C4057" t="s">
        <v>950</v>
      </c>
      <c r="D4057">
        <v>7</v>
      </c>
      <c r="E4057" t="s">
        <v>54</v>
      </c>
      <c r="F4057" t="s">
        <v>55</v>
      </c>
      <c r="H4057" t="s">
        <v>18</v>
      </c>
      <c r="I4057" s="26" t="s">
        <v>576</v>
      </c>
    </row>
    <row r="4058" spans="1:9" x14ac:dyDescent="0.3">
      <c r="A4058" s="24">
        <v>45377</v>
      </c>
      <c r="B4058" t="s">
        <v>190</v>
      </c>
      <c r="C4058" t="s">
        <v>267</v>
      </c>
      <c r="D4058">
        <v>1</v>
      </c>
      <c r="E4058" t="s">
        <v>54</v>
      </c>
      <c r="F4058" t="s">
        <v>55</v>
      </c>
      <c r="H4058" t="s">
        <v>18</v>
      </c>
      <c r="I4058" s="26" t="s">
        <v>576</v>
      </c>
    </row>
    <row r="4059" spans="1:9" x14ac:dyDescent="0.3">
      <c r="A4059" s="24">
        <v>45377</v>
      </c>
      <c r="B4059" t="s">
        <v>191</v>
      </c>
      <c r="C4059" t="s">
        <v>89</v>
      </c>
      <c r="D4059">
        <v>8</v>
      </c>
      <c r="E4059" t="s">
        <v>54</v>
      </c>
      <c r="F4059" t="s">
        <v>55</v>
      </c>
      <c r="G4059" t="s">
        <v>2666</v>
      </c>
      <c r="H4059" t="s">
        <v>18</v>
      </c>
      <c r="I4059" s="26" t="s">
        <v>576</v>
      </c>
    </row>
    <row r="4060" spans="1:9" x14ac:dyDescent="0.3">
      <c r="A4060" s="24">
        <v>45377</v>
      </c>
      <c r="B4060" t="s">
        <v>193</v>
      </c>
      <c r="C4060" t="s">
        <v>29</v>
      </c>
      <c r="D4060">
        <v>0.12</v>
      </c>
      <c r="E4060" t="s">
        <v>116</v>
      </c>
      <c r="F4060" t="s">
        <v>31</v>
      </c>
      <c r="G4060" t="s">
        <v>2791</v>
      </c>
      <c r="H4060" t="s">
        <v>18</v>
      </c>
      <c r="I4060" s="26" t="s">
        <v>576</v>
      </c>
    </row>
    <row r="4061" spans="1:9" x14ac:dyDescent="0.3">
      <c r="A4061" s="24">
        <v>45377</v>
      </c>
      <c r="B4061" t="s">
        <v>193</v>
      </c>
      <c r="C4061" t="s">
        <v>29</v>
      </c>
      <c r="D4061">
        <v>0.15</v>
      </c>
      <c r="E4061" t="s">
        <v>748</v>
      </c>
      <c r="F4061" t="s">
        <v>31</v>
      </c>
      <c r="G4061" t="s">
        <v>2792</v>
      </c>
      <c r="H4061" t="s">
        <v>18</v>
      </c>
      <c r="I4061" s="26" t="s">
        <v>576</v>
      </c>
    </row>
    <row r="4062" spans="1:9" x14ac:dyDescent="0.3">
      <c r="A4062" s="24">
        <v>45377</v>
      </c>
      <c r="B4062" t="s">
        <v>193</v>
      </c>
      <c r="C4062" t="s">
        <v>29</v>
      </c>
      <c r="D4062">
        <v>0.5</v>
      </c>
      <c r="E4062" t="s">
        <v>195</v>
      </c>
      <c r="F4062" t="s">
        <v>31</v>
      </c>
      <c r="G4062" t="s">
        <v>2793</v>
      </c>
      <c r="H4062" t="s">
        <v>18</v>
      </c>
      <c r="I4062" s="26" t="s">
        <v>576</v>
      </c>
    </row>
    <row r="4063" spans="1:9" x14ac:dyDescent="0.3">
      <c r="A4063" s="24">
        <v>45377</v>
      </c>
      <c r="B4063" t="s">
        <v>193</v>
      </c>
      <c r="C4063" t="s">
        <v>29</v>
      </c>
      <c r="D4063">
        <v>0.57999999999999996</v>
      </c>
      <c r="E4063" t="s">
        <v>205</v>
      </c>
      <c r="F4063" t="s">
        <v>31</v>
      </c>
      <c r="G4063" t="s">
        <v>2794</v>
      </c>
      <c r="H4063" t="s">
        <v>18</v>
      </c>
      <c r="I4063" s="26" t="s">
        <v>576</v>
      </c>
    </row>
    <row r="4064" spans="1:9" x14ac:dyDescent="0.3">
      <c r="A4064" s="24">
        <v>45377</v>
      </c>
      <c r="B4064" t="s">
        <v>193</v>
      </c>
      <c r="C4064" t="s">
        <v>29</v>
      </c>
      <c r="D4064">
        <v>1.72</v>
      </c>
      <c r="E4064" t="s">
        <v>748</v>
      </c>
      <c r="F4064" t="s">
        <v>31</v>
      </c>
      <c r="G4064" t="s">
        <v>2795</v>
      </c>
      <c r="H4064" t="s">
        <v>18</v>
      </c>
      <c r="I4064" s="26" t="s">
        <v>576</v>
      </c>
    </row>
    <row r="4065" spans="1:9" x14ac:dyDescent="0.3">
      <c r="A4065" s="24">
        <v>45377</v>
      </c>
      <c r="B4065" t="s">
        <v>193</v>
      </c>
      <c r="C4065" t="s">
        <v>197</v>
      </c>
      <c r="D4065">
        <v>0.5</v>
      </c>
      <c r="E4065" t="s">
        <v>54</v>
      </c>
      <c r="F4065" t="s">
        <v>55</v>
      </c>
      <c r="G4065" t="s">
        <v>2796</v>
      </c>
      <c r="H4065" t="s">
        <v>18</v>
      </c>
      <c r="I4065" s="26" t="s">
        <v>576</v>
      </c>
    </row>
    <row r="4066" spans="1:9" x14ac:dyDescent="0.3">
      <c r="A4066" s="24">
        <v>45377</v>
      </c>
      <c r="B4066" t="s">
        <v>193</v>
      </c>
      <c r="C4066" t="s">
        <v>197</v>
      </c>
      <c r="D4066">
        <v>1</v>
      </c>
      <c r="E4066" t="s">
        <v>54</v>
      </c>
      <c r="F4066" t="s">
        <v>55</v>
      </c>
      <c r="G4066" t="s">
        <v>2797</v>
      </c>
      <c r="H4066" t="s">
        <v>18</v>
      </c>
      <c r="I4066" s="26" t="s">
        <v>576</v>
      </c>
    </row>
    <row r="4067" spans="1:9" x14ac:dyDescent="0.3">
      <c r="A4067" s="24">
        <v>45377</v>
      </c>
      <c r="B4067" t="s">
        <v>193</v>
      </c>
      <c r="C4067" t="s">
        <v>53</v>
      </c>
      <c r="D4067">
        <v>0.75</v>
      </c>
      <c r="E4067" t="s">
        <v>54</v>
      </c>
      <c r="F4067" t="s">
        <v>55</v>
      </c>
      <c r="G4067" t="s">
        <v>2798</v>
      </c>
      <c r="H4067" t="s">
        <v>18</v>
      </c>
      <c r="I4067" s="26" t="s">
        <v>576</v>
      </c>
    </row>
    <row r="4068" spans="1:9" x14ac:dyDescent="0.3">
      <c r="A4068" s="24">
        <v>45377</v>
      </c>
      <c r="B4068" t="s">
        <v>193</v>
      </c>
      <c r="C4068" t="s">
        <v>90</v>
      </c>
      <c r="D4068">
        <v>0.53</v>
      </c>
      <c r="E4068" t="s">
        <v>116</v>
      </c>
      <c r="F4068" t="s">
        <v>31</v>
      </c>
      <c r="G4068" t="s">
        <v>2799</v>
      </c>
      <c r="H4068" t="s">
        <v>18</v>
      </c>
      <c r="I4068" s="26" t="s">
        <v>576</v>
      </c>
    </row>
    <row r="4069" spans="1:9" x14ac:dyDescent="0.3">
      <c r="A4069" s="24">
        <v>45377</v>
      </c>
      <c r="B4069" t="s">
        <v>193</v>
      </c>
      <c r="C4069" t="s">
        <v>60</v>
      </c>
      <c r="D4069">
        <v>0.25</v>
      </c>
      <c r="E4069" t="s">
        <v>162</v>
      </c>
      <c r="F4069" t="s">
        <v>31</v>
      </c>
      <c r="G4069" t="s">
        <v>2800</v>
      </c>
      <c r="H4069" t="s">
        <v>18</v>
      </c>
      <c r="I4069" s="26" t="s">
        <v>576</v>
      </c>
    </row>
    <row r="4070" spans="1:9" x14ac:dyDescent="0.3">
      <c r="A4070" s="24">
        <v>45377</v>
      </c>
      <c r="B4070" t="s">
        <v>193</v>
      </c>
      <c r="C4070" t="s">
        <v>60</v>
      </c>
      <c r="D4070">
        <v>0.92</v>
      </c>
      <c r="E4070" t="s">
        <v>162</v>
      </c>
      <c r="F4070" t="s">
        <v>31</v>
      </c>
      <c r="G4070" t="s">
        <v>2801</v>
      </c>
      <c r="H4070" t="s">
        <v>18</v>
      </c>
      <c r="I4070" s="26" t="s">
        <v>576</v>
      </c>
    </row>
    <row r="4071" spans="1:9" x14ac:dyDescent="0.3">
      <c r="A4071" s="24">
        <v>45377</v>
      </c>
      <c r="B4071" t="s">
        <v>212</v>
      </c>
      <c r="C4071" t="s">
        <v>73</v>
      </c>
      <c r="D4071">
        <v>8</v>
      </c>
      <c r="E4071" t="s">
        <v>54</v>
      </c>
      <c r="F4071" t="s">
        <v>55</v>
      </c>
      <c r="H4071" t="s">
        <v>18</v>
      </c>
      <c r="I4071" s="26" t="s">
        <v>576</v>
      </c>
    </row>
    <row r="4072" spans="1:9" x14ac:dyDescent="0.3">
      <c r="A4072" s="24">
        <v>45377</v>
      </c>
      <c r="B4072" t="s">
        <v>498</v>
      </c>
      <c r="C4072" t="s">
        <v>123</v>
      </c>
      <c r="D4072">
        <v>1.5</v>
      </c>
      <c r="E4072" t="s">
        <v>54</v>
      </c>
      <c r="F4072" t="s">
        <v>55</v>
      </c>
      <c r="G4072" t="s">
        <v>2802</v>
      </c>
      <c r="H4072" t="s">
        <v>18</v>
      </c>
      <c r="I4072" s="26" t="s">
        <v>576</v>
      </c>
    </row>
    <row r="4073" spans="1:9" x14ac:dyDescent="0.3">
      <c r="A4073" s="24">
        <v>45377</v>
      </c>
      <c r="B4073" t="s">
        <v>498</v>
      </c>
      <c r="C4073" t="s">
        <v>173</v>
      </c>
      <c r="D4073">
        <v>6.5</v>
      </c>
      <c r="E4073" t="s">
        <v>49</v>
      </c>
      <c r="F4073" t="s">
        <v>31</v>
      </c>
      <c r="G4073" t="s">
        <v>2803</v>
      </c>
      <c r="H4073" t="s">
        <v>18</v>
      </c>
      <c r="I4073" s="26" t="s">
        <v>576</v>
      </c>
    </row>
    <row r="4074" spans="1:9" x14ac:dyDescent="0.3">
      <c r="A4074" s="24">
        <v>45377</v>
      </c>
      <c r="B4074" t="s">
        <v>240</v>
      </c>
      <c r="C4074" t="s">
        <v>29</v>
      </c>
      <c r="D4074">
        <v>1.18</v>
      </c>
      <c r="E4074" t="s">
        <v>217</v>
      </c>
      <c r="F4074" t="s">
        <v>31</v>
      </c>
      <c r="H4074" t="s">
        <v>18</v>
      </c>
      <c r="I4074" s="26" t="s">
        <v>576</v>
      </c>
    </row>
    <row r="4075" spans="1:9" x14ac:dyDescent="0.3">
      <c r="A4075" s="24">
        <v>45377</v>
      </c>
      <c r="B4075" t="s">
        <v>240</v>
      </c>
      <c r="C4075" t="s">
        <v>29</v>
      </c>
      <c r="D4075">
        <v>1.27</v>
      </c>
      <c r="E4075" t="s">
        <v>81</v>
      </c>
      <c r="F4075" t="s">
        <v>31</v>
      </c>
      <c r="G4075" t="s">
        <v>2321</v>
      </c>
      <c r="H4075" t="s">
        <v>18</v>
      </c>
      <c r="I4075" s="26" t="s">
        <v>576</v>
      </c>
    </row>
    <row r="4076" spans="1:9" x14ac:dyDescent="0.3">
      <c r="A4076" s="24">
        <v>45377</v>
      </c>
      <c r="B4076" t="s">
        <v>240</v>
      </c>
      <c r="C4076" t="s">
        <v>29</v>
      </c>
      <c r="D4076">
        <v>1.42</v>
      </c>
      <c r="E4076" t="s">
        <v>241</v>
      </c>
      <c r="F4076" t="s">
        <v>31</v>
      </c>
      <c r="H4076" t="s">
        <v>18</v>
      </c>
      <c r="I4076" s="26" t="s">
        <v>576</v>
      </c>
    </row>
    <row r="4077" spans="1:9" x14ac:dyDescent="0.3">
      <c r="A4077" s="24">
        <v>45377</v>
      </c>
      <c r="B4077" t="s">
        <v>240</v>
      </c>
      <c r="C4077" t="s">
        <v>29</v>
      </c>
      <c r="D4077">
        <v>4.37</v>
      </c>
      <c r="E4077" t="s">
        <v>81</v>
      </c>
      <c r="F4077" t="s">
        <v>31</v>
      </c>
      <c r="H4077" t="s">
        <v>18</v>
      </c>
      <c r="I4077" s="26" t="s">
        <v>576</v>
      </c>
    </row>
    <row r="4078" spans="1:9" x14ac:dyDescent="0.3">
      <c r="A4078" s="24">
        <v>45377</v>
      </c>
      <c r="B4078" t="s">
        <v>240</v>
      </c>
      <c r="C4078" t="s">
        <v>58</v>
      </c>
      <c r="D4078">
        <v>0.32</v>
      </c>
      <c r="E4078" t="s">
        <v>54</v>
      </c>
      <c r="F4078" t="s">
        <v>55</v>
      </c>
      <c r="G4078" t="s">
        <v>2804</v>
      </c>
      <c r="H4078" t="s">
        <v>18</v>
      </c>
      <c r="I4078" s="26" t="s">
        <v>576</v>
      </c>
    </row>
    <row r="4079" spans="1:9" x14ac:dyDescent="0.3">
      <c r="A4079" s="24">
        <v>45377</v>
      </c>
      <c r="B4079" t="s">
        <v>240</v>
      </c>
      <c r="C4079" t="s">
        <v>60</v>
      </c>
      <c r="D4079">
        <v>0.3</v>
      </c>
      <c r="E4079" t="s">
        <v>139</v>
      </c>
      <c r="F4079" t="s">
        <v>31</v>
      </c>
      <c r="G4079" t="s">
        <v>2805</v>
      </c>
      <c r="H4079" t="s">
        <v>18</v>
      </c>
      <c r="I4079" s="26" t="s">
        <v>576</v>
      </c>
    </row>
    <row r="4080" spans="1:9" x14ac:dyDescent="0.3">
      <c r="A4080" s="24">
        <v>45377</v>
      </c>
      <c r="B4080" t="s">
        <v>240</v>
      </c>
      <c r="C4080" t="s">
        <v>60</v>
      </c>
      <c r="D4080">
        <v>0.88</v>
      </c>
      <c r="E4080" t="s">
        <v>139</v>
      </c>
      <c r="F4080" t="s">
        <v>31</v>
      </c>
      <c r="H4080" t="s">
        <v>18</v>
      </c>
      <c r="I4080" s="26" t="s">
        <v>576</v>
      </c>
    </row>
    <row r="4081" spans="1:9" x14ac:dyDescent="0.3">
      <c r="A4081" s="24">
        <v>45377</v>
      </c>
      <c r="B4081" t="s">
        <v>249</v>
      </c>
      <c r="C4081" t="s">
        <v>250</v>
      </c>
      <c r="D4081">
        <v>0.25</v>
      </c>
      <c r="E4081" t="s">
        <v>81</v>
      </c>
      <c r="F4081" t="s">
        <v>55</v>
      </c>
      <c r="G4081" t="s">
        <v>2806</v>
      </c>
      <c r="H4081" t="s">
        <v>18</v>
      </c>
      <c r="I4081" s="26" t="s">
        <v>576</v>
      </c>
    </row>
    <row r="4082" spans="1:9" x14ac:dyDescent="0.3">
      <c r="A4082" s="24">
        <v>45377</v>
      </c>
      <c r="B4082" t="s">
        <v>249</v>
      </c>
      <c r="C4082" t="s">
        <v>252</v>
      </c>
      <c r="D4082">
        <v>1.25</v>
      </c>
      <c r="E4082" t="s">
        <v>54</v>
      </c>
      <c r="F4082" t="s">
        <v>55</v>
      </c>
      <c r="H4082" t="s">
        <v>18</v>
      </c>
      <c r="I4082" s="26" t="s">
        <v>576</v>
      </c>
    </row>
    <row r="4083" spans="1:9" x14ac:dyDescent="0.3">
      <c r="A4083" s="24">
        <v>45377</v>
      </c>
      <c r="B4083" t="s">
        <v>249</v>
      </c>
      <c r="C4083" t="s">
        <v>252</v>
      </c>
      <c r="D4083">
        <v>6</v>
      </c>
      <c r="E4083" t="s">
        <v>81</v>
      </c>
      <c r="F4083" t="s">
        <v>31</v>
      </c>
      <c r="H4083" t="s">
        <v>18</v>
      </c>
      <c r="I4083" s="26" t="s">
        <v>576</v>
      </c>
    </row>
    <row r="4084" spans="1:9" x14ac:dyDescent="0.3">
      <c r="A4084" s="24">
        <v>45377</v>
      </c>
      <c r="B4084" t="s">
        <v>249</v>
      </c>
      <c r="C4084" t="s">
        <v>53</v>
      </c>
      <c r="D4084">
        <v>0.5</v>
      </c>
      <c r="E4084" t="s">
        <v>54</v>
      </c>
      <c r="F4084" t="s">
        <v>55</v>
      </c>
      <c r="G4084" t="s">
        <v>253</v>
      </c>
      <c r="H4084" t="s">
        <v>18</v>
      </c>
      <c r="I4084" s="26" t="s">
        <v>576</v>
      </c>
    </row>
    <row r="4085" spans="1:9" x14ac:dyDescent="0.3">
      <c r="A4085" s="24">
        <v>45377</v>
      </c>
      <c r="B4085" t="s">
        <v>262</v>
      </c>
      <c r="C4085" t="s">
        <v>29</v>
      </c>
      <c r="D4085">
        <v>0.3</v>
      </c>
      <c r="E4085" t="s">
        <v>263</v>
      </c>
      <c r="F4085" t="s">
        <v>31</v>
      </c>
      <c r="G4085" t="s">
        <v>2807</v>
      </c>
      <c r="H4085" t="s">
        <v>18</v>
      </c>
      <c r="I4085" s="26" t="s">
        <v>576</v>
      </c>
    </row>
    <row r="4086" spans="1:9" x14ac:dyDescent="0.3">
      <c r="A4086" s="24">
        <v>45377</v>
      </c>
      <c r="B4086" t="s">
        <v>262</v>
      </c>
      <c r="C4086" t="s">
        <v>29</v>
      </c>
      <c r="D4086">
        <v>1.35</v>
      </c>
      <c r="E4086" t="s">
        <v>263</v>
      </c>
      <c r="F4086" t="s">
        <v>31</v>
      </c>
      <c r="G4086" t="s">
        <v>2808</v>
      </c>
      <c r="H4086" t="s">
        <v>18</v>
      </c>
      <c r="I4086" s="26" t="s">
        <v>576</v>
      </c>
    </row>
    <row r="4087" spans="1:9" x14ac:dyDescent="0.3">
      <c r="A4087" s="24">
        <v>45377</v>
      </c>
      <c r="B4087" t="s">
        <v>262</v>
      </c>
      <c r="C4087" t="s">
        <v>29</v>
      </c>
      <c r="D4087">
        <v>4.9800000000000004</v>
      </c>
      <c r="E4087" t="s">
        <v>263</v>
      </c>
      <c r="F4087" t="s">
        <v>31</v>
      </c>
      <c r="G4087" t="s">
        <v>2809</v>
      </c>
      <c r="H4087" t="s">
        <v>18</v>
      </c>
      <c r="I4087" s="26" t="s">
        <v>576</v>
      </c>
    </row>
    <row r="4088" spans="1:9" x14ac:dyDescent="0.3">
      <c r="A4088" s="24">
        <v>45377</v>
      </c>
      <c r="B4088" t="s">
        <v>262</v>
      </c>
      <c r="C4088" t="s">
        <v>53</v>
      </c>
      <c r="D4088">
        <v>0.5</v>
      </c>
      <c r="E4088" t="s">
        <v>54</v>
      </c>
      <c r="F4088" t="s">
        <v>55</v>
      </c>
      <c r="G4088" t="s">
        <v>253</v>
      </c>
      <c r="H4088" t="s">
        <v>18</v>
      </c>
      <c r="I4088" s="26" t="s">
        <v>576</v>
      </c>
    </row>
    <row r="4089" spans="1:9" x14ac:dyDescent="0.3">
      <c r="A4089" s="24">
        <v>45377</v>
      </c>
      <c r="B4089" t="s">
        <v>262</v>
      </c>
      <c r="C4089" t="s">
        <v>58</v>
      </c>
      <c r="D4089">
        <v>0.2</v>
      </c>
      <c r="E4089" t="s">
        <v>54</v>
      </c>
      <c r="F4089" t="s">
        <v>55</v>
      </c>
      <c r="G4089" t="s">
        <v>2810</v>
      </c>
      <c r="H4089" t="s">
        <v>18</v>
      </c>
      <c r="I4089" s="26" t="s">
        <v>576</v>
      </c>
    </row>
    <row r="4090" spans="1:9" x14ac:dyDescent="0.3">
      <c r="A4090" s="24">
        <v>45377</v>
      </c>
      <c r="B4090" t="s">
        <v>262</v>
      </c>
      <c r="C4090" t="s">
        <v>58</v>
      </c>
      <c r="D4090">
        <v>0.27</v>
      </c>
      <c r="E4090" t="s">
        <v>54</v>
      </c>
      <c r="F4090" t="s">
        <v>55</v>
      </c>
      <c r="G4090" t="s">
        <v>2811</v>
      </c>
      <c r="H4090" t="s">
        <v>18</v>
      </c>
      <c r="I4090" s="26" t="s">
        <v>576</v>
      </c>
    </row>
    <row r="4091" spans="1:9" x14ac:dyDescent="0.3">
      <c r="A4091" s="24">
        <v>45377</v>
      </c>
      <c r="B4091" t="s">
        <v>262</v>
      </c>
      <c r="C4091" t="s">
        <v>58</v>
      </c>
      <c r="D4091">
        <v>0.4</v>
      </c>
      <c r="E4091" t="s">
        <v>54</v>
      </c>
      <c r="F4091" t="s">
        <v>55</v>
      </c>
      <c r="G4091" t="s">
        <v>2812</v>
      </c>
      <c r="H4091" t="s">
        <v>18</v>
      </c>
      <c r="I4091" s="26" t="s">
        <v>576</v>
      </c>
    </row>
    <row r="4092" spans="1:9" x14ac:dyDescent="0.3">
      <c r="A4092" s="24">
        <v>45377</v>
      </c>
      <c r="B4092" t="s">
        <v>266</v>
      </c>
      <c r="C4092" t="s">
        <v>267</v>
      </c>
      <c r="D4092">
        <v>9</v>
      </c>
      <c r="E4092" t="s">
        <v>54</v>
      </c>
      <c r="F4092" t="s">
        <v>55</v>
      </c>
      <c r="G4092" t="s">
        <v>2813</v>
      </c>
      <c r="H4092" t="s">
        <v>18</v>
      </c>
      <c r="I4092" s="26" t="s">
        <v>576</v>
      </c>
    </row>
    <row r="4093" spans="1:9" x14ac:dyDescent="0.3">
      <c r="A4093" s="24">
        <v>45377</v>
      </c>
      <c r="B4093" t="s">
        <v>269</v>
      </c>
      <c r="C4093" t="s">
        <v>29</v>
      </c>
      <c r="D4093">
        <v>1.05</v>
      </c>
      <c r="E4093" t="s">
        <v>460</v>
      </c>
      <c r="F4093" t="s">
        <v>31</v>
      </c>
      <c r="G4093" t="s">
        <v>995</v>
      </c>
      <c r="H4093" t="s">
        <v>18</v>
      </c>
      <c r="I4093" s="26" t="s">
        <v>576</v>
      </c>
    </row>
    <row r="4094" spans="1:9" x14ac:dyDescent="0.3">
      <c r="A4094" s="24">
        <v>45377</v>
      </c>
      <c r="B4094" t="s">
        <v>269</v>
      </c>
      <c r="C4094" t="s">
        <v>29</v>
      </c>
      <c r="D4094">
        <v>1.53</v>
      </c>
      <c r="E4094" t="s">
        <v>116</v>
      </c>
      <c r="F4094" t="s">
        <v>31</v>
      </c>
      <c r="G4094" t="s">
        <v>995</v>
      </c>
      <c r="H4094" t="s">
        <v>18</v>
      </c>
      <c r="I4094" s="26" t="s">
        <v>576</v>
      </c>
    </row>
    <row r="4095" spans="1:9" x14ac:dyDescent="0.3">
      <c r="A4095" s="24">
        <v>45377</v>
      </c>
      <c r="B4095" t="s">
        <v>269</v>
      </c>
      <c r="C4095" t="s">
        <v>29</v>
      </c>
      <c r="D4095">
        <v>2.0499999999999998</v>
      </c>
      <c r="E4095" t="s">
        <v>271</v>
      </c>
      <c r="F4095" t="s">
        <v>31</v>
      </c>
      <c r="G4095" t="s">
        <v>2814</v>
      </c>
      <c r="H4095" t="s">
        <v>18</v>
      </c>
      <c r="I4095" s="26" t="s">
        <v>576</v>
      </c>
    </row>
    <row r="4096" spans="1:9" x14ac:dyDescent="0.3">
      <c r="A4096" s="24">
        <v>45377</v>
      </c>
      <c r="B4096" t="s">
        <v>269</v>
      </c>
      <c r="C4096" t="s">
        <v>148</v>
      </c>
      <c r="D4096">
        <v>2.2000000000000002</v>
      </c>
      <c r="E4096" t="s">
        <v>54</v>
      </c>
      <c r="F4096" t="s">
        <v>55</v>
      </c>
      <c r="G4096" t="s">
        <v>2815</v>
      </c>
      <c r="H4096" t="s">
        <v>18</v>
      </c>
      <c r="I4096" s="26" t="s">
        <v>576</v>
      </c>
    </row>
    <row r="4097" spans="1:9" x14ac:dyDescent="0.3">
      <c r="A4097" s="24">
        <v>45377</v>
      </c>
      <c r="B4097" t="s">
        <v>269</v>
      </c>
      <c r="C4097" t="s">
        <v>58</v>
      </c>
      <c r="D4097">
        <v>0.25</v>
      </c>
      <c r="E4097" t="s">
        <v>54</v>
      </c>
      <c r="F4097" t="s">
        <v>55</v>
      </c>
      <c r="G4097" t="s">
        <v>2816</v>
      </c>
      <c r="H4097" t="s">
        <v>18</v>
      </c>
      <c r="I4097" s="26" t="s">
        <v>576</v>
      </c>
    </row>
    <row r="4098" spans="1:9" x14ac:dyDescent="0.3">
      <c r="A4098" s="24">
        <v>45377</v>
      </c>
      <c r="B4098" t="s">
        <v>269</v>
      </c>
      <c r="C4098" t="s">
        <v>58</v>
      </c>
      <c r="D4098">
        <v>0.43</v>
      </c>
      <c r="E4098" t="s">
        <v>54</v>
      </c>
      <c r="F4098" t="s">
        <v>55</v>
      </c>
      <c r="G4098" t="s">
        <v>2817</v>
      </c>
      <c r="H4098" t="s">
        <v>18</v>
      </c>
      <c r="I4098" s="26" t="s">
        <v>576</v>
      </c>
    </row>
    <row r="4099" spans="1:9" x14ac:dyDescent="0.3">
      <c r="A4099" s="24">
        <v>45377</v>
      </c>
      <c r="B4099" t="s">
        <v>269</v>
      </c>
      <c r="C4099" t="s">
        <v>60</v>
      </c>
      <c r="D4099">
        <v>0.53</v>
      </c>
      <c r="E4099" t="s">
        <v>203</v>
      </c>
      <c r="F4099" t="s">
        <v>31</v>
      </c>
      <c r="G4099" t="s">
        <v>2818</v>
      </c>
      <c r="H4099" t="s">
        <v>18</v>
      </c>
      <c r="I4099" s="26" t="s">
        <v>576</v>
      </c>
    </row>
    <row r="4100" spans="1:9" x14ac:dyDescent="0.3">
      <c r="A4100" s="24">
        <v>45377</v>
      </c>
      <c r="B4100" t="s">
        <v>278</v>
      </c>
      <c r="C4100" t="s">
        <v>73</v>
      </c>
      <c r="D4100">
        <v>8</v>
      </c>
      <c r="E4100" t="s">
        <v>54</v>
      </c>
      <c r="F4100" t="s">
        <v>55</v>
      </c>
      <c r="G4100" t="s">
        <v>2819</v>
      </c>
      <c r="H4100" t="s">
        <v>18</v>
      </c>
      <c r="I4100" s="26" t="s">
        <v>576</v>
      </c>
    </row>
    <row r="4101" spans="1:9" x14ac:dyDescent="0.3">
      <c r="A4101" s="24">
        <v>45377</v>
      </c>
      <c r="B4101" t="s">
        <v>286</v>
      </c>
      <c r="C4101" t="s">
        <v>287</v>
      </c>
      <c r="D4101">
        <v>10</v>
      </c>
      <c r="E4101" t="s">
        <v>54</v>
      </c>
      <c r="F4101" t="s">
        <v>55</v>
      </c>
      <c r="G4101" t="s">
        <v>2702</v>
      </c>
      <c r="H4101" t="s">
        <v>18</v>
      </c>
      <c r="I4101" s="26" t="s">
        <v>576</v>
      </c>
    </row>
    <row r="4102" spans="1:9" x14ac:dyDescent="0.3">
      <c r="A4102" s="24">
        <v>45377</v>
      </c>
      <c r="B4102" t="s">
        <v>289</v>
      </c>
      <c r="C4102" t="s">
        <v>29</v>
      </c>
      <c r="D4102">
        <v>0.5</v>
      </c>
      <c r="E4102" t="s">
        <v>291</v>
      </c>
      <c r="F4102" t="s">
        <v>31</v>
      </c>
      <c r="G4102" t="s">
        <v>1925</v>
      </c>
      <c r="H4102" t="s">
        <v>18</v>
      </c>
      <c r="I4102" s="26" t="s">
        <v>576</v>
      </c>
    </row>
    <row r="4103" spans="1:9" x14ac:dyDescent="0.3">
      <c r="A4103" s="24">
        <v>45377</v>
      </c>
      <c r="B4103" t="s">
        <v>289</v>
      </c>
      <c r="C4103" t="s">
        <v>29</v>
      </c>
      <c r="D4103">
        <v>0.5</v>
      </c>
      <c r="E4103" t="s">
        <v>290</v>
      </c>
      <c r="F4103" t="s">
        <v>31</v>
      </c>
      <c r="H4103" t="s">
        <v>18</v>
      </c>
      <c r="I4103" s="26" t="s">
        <v>576</v>
      </c>
    </row>
    <row r="4104" spans="1:9" x14ac:dyDescent="0.3">
      <c r="A4104" s="24">
        <v>45377</v>
      </c>
      <c r="B4104" t="s">
        <v>289</v>
      </c>
      <c r="C4104" t="s">
        <v>29</v>
      </c>
      <c r="D4104">
        <v>1</v>
      </c>
      <c r="E4104" t="s">
        <v>151</v>
      </c>
      <c r="F4104" t="s">
        <v>31</v>
      </c>
      <c r="H4104" t="s">
        <v>18</v>
      </c>
      <c r="I4104" s="26" t="s">
        <v>576</v>
      </c>
    </row>
    <row r="4105" spans="1:9" x14ac:dyDescent="0.3">
      <c r="A4105" s="24">
        <v>45377</v>
      </c>
      <c r="B4105" t="s">
        <v>289</v>
      </c>
      <c r="C4105" t="s">
        <v>29</v>
      </c>
      <c r="D4105">
        <v>1.25</v>
      </c>
      <c r="E4105" t="s">
        <v>226</v>
      </c>
      <c r="F4105" t="s">
        <v>31</v>
      </c>
      <c r="H4105" t="s">
        <v>18</v>
      </c>
      <c r="I4105" s="26" t="s">
        <v>576</v>
      </c>
    </row>
    <row r="4106" spans="1:9" x14ac:dyDescent="0.3">
      <c r="A4106" s="24">
        <v>45377</v>
      </c>
      <c r="B4106" t="s">
        <v>289</v>
      </c>
      <c r="C4106" t="s">
        <v>60</v>
      </c>
      <c r="D4106">
        <v>0.25</v>
      </c>
      <c r="E4106" t="s">
        <v>1021</v>
      </c>
      <c r="F4106" t="s">
        <v>31</v>
      </c>
      <c r="H4106" t="s">
        <v>18</v>
      </c>
      <c r="I4106" s="26" t="s">
        <v>576</v>
      </c>
    </row>
    <row r="4107" spans="1:9" x14ac:dyDescent="0.3">
      <c r="A4107" s="24">
        <v>45377</v>
      </c>
      <c r="B4107" t="s">
        <v>289</v>
      </c>
      <c r="C4107" t="s">
        <v>60</v>
      </c>
      <c r="D4107">
        <v>0.5</v>
      </c>
      <c r="E4107" t="s">
        <v>291</v>
      </c>
      <c r="F4107" t="s">
        <v>31</v>
      </c>
      <c r="G4107" t="s">
        <v>2820</v>
      </c>
      <c r="H4107" t="s">
        <v>18</v>
      </c>
      <c r="I4107" s="26" t="s">
        <v>576</v>
      </c>
    </row>
    <row r="4108" spans="1:9" x14ac:dyDescent="0.3">
      <c r="A4108" s="24">
        <v>45377</v>
      </c>
      <c r="B4108" t="s">
        <v>289</v>
      </c>
      <c r="C4108" t="s">
        <v>60</v>
      </c>
      <c r="D4108">
        <v>0.5</v>
      </c>
      <c r="E4108" t="s">
        <v>848</v>
      </c>
      <c r="F4108" t="s">
        <v>31</v>
      </c>
      <c r="H4108" t="s">
        <v>18</v>
      </c>
      <c r="I4108" s="26" t="s">
        <v>576</v>
      </c>
    </row>
    <row r="4109" spans="1:9" x14ac:dyDescent="0.3">
      <c r="A4109" s="24">
        <v>45377</v>
      </c>
      <c r="B4109" t="s">
        <v>289</v>
      </c>
      <c r="C4109" t="s">
        <v>60</v>
      </c>
      <c r="D4109">
        <v>1</v>
      </c>
      <c r="E4109" t="s">
        <v>524</v>
      </c>
      <c r="F4109" t="s">
        <v>31</v>
      </c>
      <c r="H4109" t="s">
        <v>18</v>
      </c>
      <c r="I4109" s="26" t="s">
        <v>576</v>
      </c>
    </row>
    <row r="4110" spans="1:9" x14ac:dyDescent="0.3">
      <c r="A4110" s="24">
        <v>45377</v>
      </c>
      <c r="B4110" t="s">
        <v>294</v>
      </c>
      <c r="C4110" t="s">
        <v>202</v>
      </c>
      <c r="D4110">
        <v>0.92</v>
      </c>
      <c r="E4110" t="s">
        <v>1022</v>
      </c>
      <c r="F4110" t="s">
        <v>55</v>
      </c>
      <c r="G4110" t="s">
        <v>2199</v>
      </c>
      <c r="H4110" t="s">
        <v>18</v>
      </c>
      <c r="I4110" s="26" t="s">
        <v>576</v>
      </c>
    </row>
    <row r="4111" spans="1:9" x14ac:dyDescent="0.3">
      <c r="A4111" s="24">
        <v>45377</v>
      </c>
      <c r="B4111" t="s">
        <v>294</v>
      </c>
      <c r="C4111" t="s">
        <v>202</v>
      </c>
      <c r="D4111">
        <v>1.98</v>
      </c>
      <c r="E4111" t="s">
        <v>30</v>
      </c>
      <c r="F4111" t="s">
        <v>55</v>
      </c>
      <c r="G4111" t="s">
        <v>2821</v>
      </c>
      <c r="H4111" t="s">
        <v>18</v>
      </c>
      <c r="I4111" s="26" t="s">
        <v>576</v>
      </c>
    </row>
    <row r="4112" spans="1:9" x14ac:dyDescent="0.3">
      <c r="A4112" s="24">
        <v>45377</v>
      </c>
      <c r="B4112" t="s">
        <v>294</v>
      </c>
      <c r="C4112" t="s">
        <v>53</v>
      </c>
      <c r="D4112">
        <v>3.83</v>
      </c>
      <c r="E4112" t="s">
        <v>54</v>
      </c>
      <c r="F4112" t="s">
        <v>55</v>
      </c>
      <c r="G4112" t="s">
        <v>2343</v>
      </c>
      <c r="H4112" t="s">
        <v>18</v>
      </c>
      <c r="I4112" s="26" t="s">
        <v>576</v>
      </c>
    </row>
    <row r="4113" spans="1:9" x14ac:dyDescent="0.3">
      <c r="A4113" s="24">
        <v>45377</v>
      </c>
      <c r="B4113" t="s">
        <v>301</v>
      </c>
      <c r="C4113" t="s">
        <v>29</v>
      </c>
      <c r="D4113">
        <v>0.18</v>
      </c>
      <c r="E4113" t="s">
        <v>156</v>
      </c>
      <c r="F4113" t="s">
        <v>31</v>
      </c>
      <c r="G4113" t="s">
        <v>489</v>
      </c>
      <c r="H4113" t="s">
        <v>18</v>
      </c>
      <c r="I4113" s="26" t="s">
        <v>576</v>
      </c>
    </row>
    <row r="4114" spans="1:9" x14ac:dyDescent="0.3">
      <c r="A4114" s="24">
        <v>45377</v>
      </c>
      <c r="B4114" t="s">
        <v>301</v>
      </c>
      <c r="C4114" t="s">
        <v>29</v>
      </c>
      <c r="D4114">
        <v>0.23</v>
      </c>
      <c r="E4114" t="s">
        <v>304</v>
      </c>
      <c r="F4114" t="s">
        <v>31</v>
      </c>
      <c r="G4114" t="s">
        <v>852</v>
      </c>
      <c r="H4114" t="s">
        <v>18</v>
      </c>
      <c r="I4114" s="26" t="s">
        <v>576</v>
      </c>
    </row>
    <row r="4115" spans="1:9" x14ac:dyDescent="0.3">
      <c r="A4115" s="24">
        <v>45377</v>
      </c>
      <c r="B4115" t="s">
        <v>301</v>
      </c>
      <c r="C4115" t="s">
        <v>29</v>
      </c>
      <c r="D4115">
        <v>0.32</v>
      </c>
      <c r="E4115" t="s">
        <v>156</v>
      </c>
      <c r="F4115" t="s">
        <v>31</v>
      </c>
      <c r="H4115" t="s">
        <v>18</v>
      </c>
      <c r="I4115" s="26" t="s">
        <v>576</v>
      </c>
    </row>
    <row r="4116" spans="1:9" x14ac:dyDescent="0.3">
      <c r="A4116" s="24">
        <v>45377</v>
      </c>
      <c r="B4116" t="s">
        <v>301</v>
      </c>
      <c r="C4116" t="s">
        <v>29</v>
      </c>
      <c r="D4116">
        <v>0.57999999999999996</v>
      </c>
      <c r="E4116" t="s">
        <v>304</v>
      </c>
      <c r="F4116" t="s">
        <v>31</v>
      </c>
      <c r="G4116" t="s">
        <v>303</v>
      </c>
      <c r="H4116" t="s">
        <v>18</v>
      </c>
      <c r="I4116" s="26" t="s">
        <v>576</v>
      </c>
    </row>
    <row r="4117" spans="1:9" x14ac:dyDescent="0.3">
      <c r="A4117" s="24">
        <v>45377</v>
      </c>
      <c r="B4117" t="s">
        <v>301</v>
      </c>
      <c r="C4117" t="s">
        <v>29</v>
      </c>
      <c r="D4117">
        <v>0.73</v>
      </c>
      <c r="E4117" t="s">
        <v>304</v>
      </c>
      <c r="F4117" t="s">
        <v>31</v>
      </c>
      <c r="G4117" t="s">
        <v>305</v>
      </c>
      <c r="H4117" t="s">
        <v>18</v>
      </c>
      <c r="I4117" s="26" t="s">
        <v>576</v>
      </c>
    </row>
    <row r="4118" spans="1:9" x14ac:dyDescent="0.3">
      <c r="A4118" s="24">
        <v>45377</v>
      </c>
      <c r="B4118" t="s">
        <v>301</v>
      </c>
      <c r="C4118" t="s">
        <v>29</v>
      </c>
      <c r="D4118">
        <v>0.97</v>
      </c>
      <c r="E4118" t="s">
        <v>304</v>
      </c>
      <c r="F4118" t="s">
        <v>31</v>
      </c>
      <c r="G4118" t="s">
        <v>1488</v>
      </c>
      <c r="H4118" t="s">
        <v>18</v>
      </c>
      <c r="I4118" s="26" t="s">
        <v>576</v>
      </c>
    </row>
    <row r="4119" spans="1:9" x14ac:dyDescent="0.3">
      <c r="A4119" s="24">
        <v>45377</v>
      </c>
      <c r="B4119" t="s">
        <v>301</v>
      </c>
      <c r="C4119" t="s">
        <v>29</v>
      </c>
      <c r="D4119">
        <v>0.97</v>
      </c>
      <c r="E4119" t="s">
        <v>156</v>
      </c>
      <c r="F4119" t="s">
        <v>31</v>
      </c>
      <c r="G4119" t="s">
        <v>852</v>
      </c>
      <c r="H4119" t="s">
        <v>18</v>
      </c>
      <c r="I4119" s="26" t="s">
        <v>576</v>
      </c>
    </row>
    <row r="4120" spans="1:9" x14ac:dyDescent="0.3">
      <c r="A4120" s="24">
        <v>45377</v>
      </c>
      <c r="B4120" t="s">
        <v>301</v>
      </c>
      <c r="C4120" t="s">
        <v>29</v>
      </c>
      <c r="D4120">
        <v>1.17</v>
      </c>
      <c r="E4120" t="s">
        <v>304</v>
      </c>
      <c r="F4120" t="s">
        <v>31</v>
      </c>
      <c r="G4120" t="s">
        <v>2822</v>
      </c>
      <c r="H4120" t="s">
        <v>18</v>
      </c>
      <c r="I4120" s="26" t="s">
        <v>576</v>
      </c>
    </row>
    <row r="4121" spans="1:9" x14ac:dyDescent="0.3">
      <c r="A4121" s="24">
        <v>45377</v>
      </c>
      <c r="B4121" t="s">
        <v>301</v>
      </c>
      <c r="C4121" t="s">
        <v>29</v>
      </c>
      <c r="D4121">
        <v>1.5</v>
      </c>
      <c r="E4121" t="s">
        <v>156</v>
      </c>
      <c r="F4121" t="s">
        <v>31</v>
      </c>
      <c r="G4121" t="s">
        <v>303</v>
      </c>
      <c r="H4121" t="s">
        <v>18</v>
      </c>
      <c r="I4121" s="26" t="s">
        <v>576</v>
      </c>
    </row>
    <row r="4122" spans="1:9" x14ac:dyDescent="0.3">
      <c r="A4122" s="24">
        <v>45377</v>
      </c>
      <c r="B4122" t="s">
        <v>301</v>
      </c>
      <c r="C4122" t="s">
        <v>60</v>
      </c>
      <c r="D4122">
        <v>1.42</v>
      </c>
      <c r="E4122" t="s">
        <v>137</v>
      </c>
      <c r="F4122" t="s">
        <v>31</v>
      </c>
      <c r="H4122" t="s">
        <v>18</v>
      </c>
      <c r="I4122" s="26" t="s">
        <v>576</v>
      </c>
    </row>
    <row r="4123" spans="1:9" x14ac:dyDescent="0.3">
      <c r="A4123" s="24">
        <v>45377</v>
      </c>
      <c r="B4123" t="s">
        <v>313</v>
      </c>
      <c r="C4123" t="s">
        <v>29</v>
      </c>
      <c r="D4123">
        <v>1.87</v>
      </c>
      <c r="E4123" t="s">
        <v>170</v>
      </c>
      <c r="F4123" t="s">
        <v>31</v>
      </c>
      <c r="H4123" t="s">
        <v>18</v>
      </c>
      <c r="I4123" s="26" t="s">
        <v>576</v>
      </c>
    </row>
    <row r="4124" spans="1:9" x14ac:dyDescent="0.3">
      <c r="A4124" s="24">
        <v>45377</v>
      </c>
      <c r="B4124" t="s">
        <v>313</v>
      </c>
      <c r="C4124" t="s">
        <v>29</v>
      </c>
      <c r="D4124">
        <v>1.9</v>
      </c>
      <c r="E4124" t="s">
        <v>91</v>
      </c>
      <c r="F4124" t="s">
        <v>31</v>
      </c>
      <c r="G4124" t="s">
        <v>617</v>
      </c>
      <c r="H4124" t="s">
        <v>18</v>
      </c>
      <c r="I4124" s="26" t="s">
        <v>576</v>
      </c>
    </row>
    <row r="4125" spans="1:9" x14ac:dyDescent="0.3">
      <c r="A4125" s="24">
        <v>45377</v>
      </c>
      <c r="B4125" t="s">
        <v>313</v>
      </c>
      <c r="C4125" t="s">
        <v>53</v>
      </c>
      <c r="D4125">
        <v>0.27</v>
      </c>
      <c r="E4125" t="s">
        <v>54</v>
      </c>
      <c r="F4125" t="s">
        <v>55</v>
      </c>
      <c r="G4125" t="s">
        <v>705</v>
      </c>
      <c r="H4125" t="s">
        <v>18</v>
      </c>
      <c r="I4125" s="26" t="s">
        <v>576</v>
      </c>
    </row>
    <row r="4126" spans="1:9" x14ac:dyDescent="0.3">
      <c r="A4126" s="24">
        <v>45377</v>
      </c>
      <c r="B4126" t="s">
        <v>313</v>
      </c>
      <c r="C4126" t="s">
        <v>53</v>
      </c>
      <c r="D4126">
        <v>0.42</v>
      </c>
      <c r="E4126" t="s">
        <v>54</v>
      </c>
      <c r="F4126" t="s">
        <v>55</v>
      </c>
      <c r="H4126" t="s">
        <v>18</v>
      </c>
      <c r="I4126" s="26" t="s">
        <v>576</v>
      </c>
    </row>
    <row r="4127" spans="1:9" x14ac:dyDescent="0.3">
      <c r="A4127" s="24">
        <v>45377</v>
      </c>
      <c r="B4127" t="s">
        <v>313</v>
      </c>
      <c r="C4127" t="s">
        <v>60</v>
      </c>
      <c r="D4127">
        <v>1.22</v>
      </c>
      <c r="E4127" t="s">
        <v>170</v>
      </c>
      <c r="F4127" t="s">
        <v>31</v>
      </c>
      <c r="G4127" t="s">
        <v>2823</v>
      </c>
      <c r="H4127" t="s">
        <v>18</v>
      </c>
      <c r="I4127" s="26" t="s">
        <v>576</v>
      </c>
    </row>
    <row r="4128" spans="1:9" x14ac:dyDescent="0.3">
      <c r="A4128" s="24">
        <v>45377</v>
      </c>
      <c r="B4128" t="s">
        <v>313</v>
      </c>
      <c r="C4128" t="s">
        <v>60</v>
      </c>
      <c r="D4128">
        <v>1.33</v>
      </c>
      <c r="E4128" t="s">
        <v>170</v>
      </c>
      <c r="F4128" t="s">
        <v>31</v>
      </c>
      <c r="G4128" t="s">
        <v>2824</v>
      </c>
      <c r="H4128" t="s">
        <v>18</v>
      </c>
      <c r="I4128" s="26" t="s">
        <v>576</v>
      </c>
    </row>
    <row r="4129" spans="1:9" x14ac:dyDescent="0.3">
      <c r="A4129" s="24">
        <v>45377</v>
      </c>
      <c r="B4129" t="s">
        <v>313</v>
      </c>
      <c r="C4129" t="s">
        <v>60</v>
      </c>
      <c r="D4129">
        <v>1.45</v>
      </c>
      <c r="E4129" t="s">
        <v>162</v>
      </c>
      <c r="F4129" t="s">
        <v>31</v>
      </c>
      <c r="H4129" t="s">
        <v>18</v>
      </c>
      <c r="I4129" s="26" t="s">
        <v>576</v>
      </c>
    </row>
    <row r="4130" spans="1:9" x14ac:dyDescent="0.3">
      <c r="A4130" s="24">
        <v>45377</v>
      </c>
      <c r="B4130" t="s">
        <v>318</v>
      </c>
      <c r="C4130" t="s">
        <v>53</v>
      </c>
      <c r="D4130">
        <v>0.75</v>
      </c>
      <c r="E4130" t="s">
        <v>54</v>
      </c>
      <c r="F4130" t="s">
        <v>55</v>
      </c>
      <c r="G4130" t="s">
        <v>2825</v>
      </c>
      <c r="H4130" t="s">
        <v>18</v>
      </c>
      <c r="I4130" s="26" t="s">
        <v>576</v>
      </c>
    </row>
    <row r="4131" spans="1:9" x14ac:dyDescent="0.3">
      <c r="A4131" s="24">
        <v>45377</v>
      </c>
      <c r="B4131" t="s">
        <v>318</v>
      </c>
      <c r="C4131" t="s">
        <v>53</v>
      </c>
      <c r="D4131">
        <v>2.82</v>
      </c>
      <c r="E4131" t="s">
        <v>54</v>
      </c>
      <c r="F4131" t="s">
        <v>55</v>
      </c>
      <c r="G4131" t="s">
        <v>2826</v>
      </c>
      <c r="H4131" t="s">
        <v>18</v>
      </c>
      <c r="I4131" s="26" t="s">
        <v>576</v>
      </c>
    </row>
    <row r="4132" spans="1:9" x14ac:dyDescent="0.3">
      <c r="A4132" s="24">
        <v>45377</v>
      </c>
      <c r="B4132" t="s">
        <v>318</v>
      </c>
      <c r="C4132" t="s">
        <v>53</v>
      </c>
      <c r="D4132">
        <v>4.45</v>
      </c>
      <c r="E4132" t="s">
        <v>54</v>
      </c>
      <c r="F4132" t="s">
        <v>55</v>
      </c>
      <c r="G4132" t="s">
        <v>2827</v>
      </c>
      <c r="H4132" t="s">
        <v>18</v>
      </c>
      <c r="I4132" s="26" t="s">
        <v>576</v>
      </c>
    </row>
    <row r="4133" spans="1:9" x14ac:dyDescent="0.3">
      <c r="A4133" s="24">
        <v>45377</v>
      </c>
      <c r="B4133" t="s">
        <v>324</v>
      </c>
      <c r="C4133" t="s">
        <v>29</v>
      </c>
      <c r="D4133">
        <v>2.5</v>
      </c>
      <c r="E4133" t="s">
        <v>81</v>
      </c>
      <c r="F4133" t="s">
        <v>31</v>
      </c>
      <c r="G4133" t="s">
        <v>2071</v>
      </c>
      <c r="H4133" t="s">
        <v>18</v>
      </c>
      <c r="I4133" s="26" t="s">
        <v>576</v>
      </c>
    </row>
    <row r="4134" spans="1:9" x14ac:dyDescent="0.3">
      <c r="A4134" s="24">
        <v>45377</v>
      </c>
      <c r="B4134" t="s">
        <v>324</v>
      </c>
      <c r="C4134" t="s">
        <v>29</v>
      </c>
      <c r="D4134">
        <v>6.18</v>
      </c>
      <c r="E4134" t="s">
        <v>81</v>
      </c>
      <c r="F4134" t="s">
        <v>31</v>
      </c>
      <c r="H4134" t="s">
        <v>18</v>
      </c>
      <c r="I4134" s="26" t="s">
        <v>576</v>
      </c>
    </row>
    <row r="4135" spans="1:9" x14ac:dyDescent="0.3">
      <c r="A4135" s="24">
        <v>45377</v>
      </c>
      <c r="B4135" t="s">
        <v>328</v>
      </c>
      <c r="C4135" t="s">
        <v>53</v>
      </c>
      <c r="D4135">
        <v>0.55000000000000004</v>
      </c>
      <c r="E4135" t="s">
        <v>54</v>
      </c>
      <c r="F4135" t="s">
        <v>55</v>
      </c>
      <c r="G4135" t="s">
        <v>2075</v>
      </c>
      <c r="H4135" t="s">
        <v>18</v>
      </c>
      <c r="I4135" s="26" t="s">
        <v>576</v>
      </c>
    </row>
    <row r="4136" spans="1:9" x14ac:dyDescent="0.3">
      <c r="A4136" s="24">
        <v>45377</v>
      </c>
      <c r="B4136" t="s">
        <v>328</v>
      </c>
      <c r="C4136" t="s">
        <v>60</v>
      </c>
      <c r="D4136">
        <v>0.02</v>
      </c>
      <c r="E4136" t="s">
        <v>162</v>
      </c>
      <c r="F4136" t="s">
        <v>31</v>
      </c>
      <c r="G4136" t="s">
        <v>2828</v>
      </c>
      <c r="H4136" t="s">
        <v>18</v>
      </c>
      <c r="I4136" s="26" t="s">
        <v>576</v>
      </c>
    </row>
    <row r="4137" spans="1:9" x14ac:dyDescent="0.3">
      <c r="A4137" s="24">
        <v>45377</v>
      </c>
      <c r="B4137" t="s">
        <v>328</v>
      </c>
      <c r="C4137" t="s">
        <v>60</v>
      </c>
      <c r="D4137">
        <v>1.47</v>
      </c>
      <c r="E4137" t="s">
        <v>81</v>
      </c>
      <c r="F4137" t="s">
        <v>31</v>
      </c>
      <c r="G4137" t="s">
        <v>2829</v>
      </c>
      <c r="H4137" t="s">
        <v>18</v>
      </c>
      <c r="I4137" s="26" t="s">
        <v>576</v>
      </c>
    </row>
    <row r="4138" spans="1:9" x14ac:dyDescent="0.3">
      <c r="A4138" s="24">
        <v>45377</v>
      </c>
      <c r="B4138" t="s">
        <v>328</v>
      </c>
      <c r="C4138" t="s">
        <v>60</v>
      </c>
      <c r="D4138">
        <v>2.2200000000000002</v>
      </c>
      <c r="E4138" t="s">
        <v>162</v>
      </c>
      <c r="F4138" t="s">
        <v>31</v>
      </c>
      <c r="G4138" t="s">
        <v>2830</v>
      </c>
      <c r="H4138" t="s">
        <v>18</v>
      </c>
      <c r="I4138" s="26" t="s">
        <v>576</v>
      </c>
    </row>
    <row r="4139" spans="1:9" x14ac:dyDescent="0.3">
      <c r="A4139" s="24">
        <v>45377</v>
      </c>
      <c r="B4139" t="s">
        <v>328</v>
      </c>
      <c r="C4139" t="s">
        <v>442</v>
      </c>
      <c r="D4139">
        <v>4</v>
      </c>
      <c r="E4139" t="s">
        <v>54</v>
      </c>
      <c r="F4139" t="s">
        <v>55</v>
      </c>
      <c r="H4139" t="s">
        <v>18</v>
      </c>
      <c r="I4139" s="26" t="s">
        <v>576</v>
      </c>
    </row>
    <row r="4140" spans="1:9" x14ac:dyDescent="0.3">
      <c r="A4140" s="24">
        <v>45377</v>
      </c>
      <c r="B4140" t="s">
        <v>329</v>
      </c>
      <c r="C4140" t="s">
        <v>408</v>
      </c>
      <c r="D4140">
        <v>1.1200000000000001</v>
      </c>
      <c r="E4140" t="s">
        <v>1856</v>
      </c>
      <c r="F4140" t="s">
        <v>31</v>
      </c>
      <c r="G4140" t="s">
        <v>2831</v>
      </c>
      <c r="H4140" t="s">
        <v>18</v>
      </c>
      <c r="I4140" s="26" t="s">
        <v>576</v>
      </c>
    </row>
    <row r="4141" spans="1:9" x14ac:dyDescent="0.3">
      <c r="A4141" s="24">
        <v>45377</v>
      </c>
      <c r="B4141" t="s">
        <v>331</v>
      </c>
      <c r="C4141" t="s">
        <v>29</v>
      </c>
      <c r="D4141">
        <v>0.67</v>
      </c>
      <c r="E4141" t="s">
        <v>176</v>
      </c>
      <c r="F4141" t="s">
        <v>31</v>
      </c>
      <c r="H4141" t="s">
        <v>18</v>
      </c>
      <c r="I4141" s="26" t="s">
        <v>576</v>
      </c>
    </row>
    <row r="4142" spans="1:9" x14ac:dyDescent="0.3">
      <c r="A4142" s="24">
        <v>45377</v>
      </c>
      <c r="B4142" t="s">
        <v>331</v>
      </c>
      <c r="C4142" t="s">
        <v>29</v>
      </c>
      <c r="D4142">
        <v>0.88</v>
      </c>
      <c r="E4142" t="s">
        <v>218</v>
      </c>
      <c r="F4142" t="s">
        <v>31</v>
      </c>
      <c r="H4142" t="s">
        <v>18</v>
      </c>
      <c r="I4142" s="26" t="s">
        <v>576</v>
      </c>
    </row>
    <row r="4143" spans="1:9" x14ac:dyDescent="0.3">
      <c r="A4143" s="24">
        <v>45377</v>
      </c>
      <c r="B4143" t="s">
        <v>331</v>
      </c>
      <c r="C4143" t="s">
        <v>29</v>
      </c>
      <c r="D4143">
        <v>1.42</v>
      </c>
      <c r="E4143" t="s">
        <v>91</v>
      </c>
      <c r="F4143" t="s">
        <v>31</v>
      </c>
      <c r="H4143" t="s">
        <v>18</v>
      </c>
      <c r="I4143" s="26" t="s">
        <v>576</v>
      </c>
    </row>
    <row r="4144" spans="1:9" x14ac:dyDescent="0.3">
      <c r="A4144" s="24">
        <v>45377</v>
      </c>
      <c r="B4144" t="s">
        <v>331</v>
      </c>
      <c r="C4144" t="s">
        <v>29</v>
      </c>
      <c r="D4144">
        <v>2.2200000000000002</v>
      </c>
      <c r="E4144" t="s">
        <v>91</v>
      </c>
      <c r="F4144" t="s">
        <v>31</v>
      </c>
      <c r="G4144" t="s">
        <v>2832</v>
      </c>
      <c r="H4144" t="s">
        <v>18</v>
      </c>
      <c r="I4144" s="26" t="s">
        <v>576</v>
      </c>
    </row>
    <row r="4145" spans="1:9" x14ac:dyDescent="0.3">
      <c r="A4145" s="24">
        <v>45377</v>
      </c>
      <c r="B4145" t="s">
        <v>331</v>
      </c>
      <c r="C4145" t="s">
        <v>29</v>
      </c>
      <c r="D4145">
        <v>2.3199999999999998</v>
      </c>
      <c r="E4145" t="s">
        <v>91</v>
      </c>
      <c r="F4145" t="s">
        <v>31</v>
      </c>
      <c r="G4145" t="s">
        <v>2833</v>
      </c>
      <c r="H4145" t="s">
        <v>18</v>
      </c>
      <c r="I4145" s="26" t="s">
        <v>576</v>
      </c>
    </row>
    <row r="4146" spans="1:9" x14ac:dyDescent="0.3">
      <c r="A4146" s="24">
        <v>45377</v>
      </c>
      <c r="B4146" t="s">
        <v>331</v>
      </c>
      <c r="C4146" t="s">
        <v>53</v>
      </c>
      <c r="D4146">
        <v>0.5</v>
      </c>
      <c r="E4146" t="s">
        <v>54</v>
      </c>
      <c r="F4146" t="s">
        <v>55</v>
      </c>
      <c r="G4146" t="s">
        <v>332</v>
      </c>
      <c r="H4146" t="s">
        <v>18</v>
      </c>
      <c r="I4146" s="26" t="s">
        <v>576</v>
      </c>
    </row>
    <row r="4147" spans="1:9" x14ac:dyDescent="0.3">
      <c r="A4147" s="24">
        <v>45377</v>
      </c>
      <c r="B4147" t="s">
        <v>340</v>
      </c>
      <c r="C4147" t="s">
        <v>202</v>
      </c>
      <c r="D4147">
        <v>0.25</v>
      </c>
      <c r="E4147" t="s">
        <v>156</v>
      </c>
      <c r="F4147" t="s">
        <v>31</v>
      </c>
      <c r="G4147" t="s">
        <v>2834</v>
      </c>
      <c r="H4147" t="s">
        <v>18</v>
      </c>
      <c r="I4147" s="26" t="s">
        <v>576</v>
      </c>
    </row>
    <row r="4148" spans="1:9" x14ac:dyDescent="0.3">
      <c r="A4148" s="24">
        <v>45377</v>
      </c>
      <c r="B4148" t="s">
        <v>340</v>
      </c>
      <c r="C4148" t="s">
        <v>202</v>
      </c>
      <c r="D4148">
        <v>0.25</v>
      </c>
      <c r="E4148" t="s">
        <v>665</v>
      </c>
      <c r="F4148" t="s">
        <v>31</v>
      </c>
      <c r="G4148" t="s">
        <v>2835</v>
      </c>
      <c r="H4148" t="s">
        <v>18</v>
      </c>
      <c r="I4148" s="26" t="s">
        <v>576</v>
      </c>
    </row>
    <row r="4149" spans="1:9" x14ac:dyDescent="0.3">
      <c r="A4149" s="24">
        <v>45377</v>
      </c>
      <c r="B4149" t="s">
        <v>340</v>
      </c>
      <c r="C4149" t="s">
        <v>202</v>
      </c>
      <c r="D4149">
        <v>8.5</v>
      </c>
      <c r="E4149" t="s">
        <v>1216</v>
      </c>
      <c r="F4149" t="s">
        <v>31</v>
      </c>
      <c r="G4149" t="s">
        <v>2836</v>
      </c>
      <c r="H4149" t="s">
        <v>18</v>
      </c>
      <c r="I4149" s="26" t="s">
        <v>576</v>
      </c>
    </row>
    <row r="4150" spans="1:9" x14ac:dyDescent="0.3">
      <c r="A4150" s="24">
        <v>45377</v>
      </c>
      <c r="B4150" t="s">
        <v>351</v>
      </c>
      <c r="C4150" t="s">
        <v>250</v>
      </c>
      <c r="D4150">
        <v>2.5</v>
      </c>
      <c r="E4150" t="s">
        <v>81</v>
      </c>
      <c r="F4150" t="s">
        <v>31</v>
      </c>
      <c r="G4150" t="s">
        <v>2837</v>
      </c>
      <c r="H4150" t="s">
        <v>18</v>
      </c>
      <c r="I4150" s="26" t="s">
        <v>576</v>
      </c>
    </row>
    <row r="4151" spans="1:9" x14ac:dyDescent="0.3">
      <c r="A4151" s="24">
        <v>45377</v>
      </c>
      <c r="B4151" t="s">
        <v>351</v>
      </c>
      <c r="C4151" t="s">
        <v>29</v>
      </c>
      <c r="D4151">
        <v>0.5</v>
      </c>
      <c r="E4151" t="s">
        <v>848</v>
      </c>
      <c r="F4151" t="s">
        <v>31</v>
      </c>
      <c r="G4151" t="s">
        <v>2838</v>
      </c>
      <c r="H4151" t="s">
        <v>18</v>
      </c>
      <c r="I4151" s="26" t="s">
        <v>576</v>
      </c>
    </row>
    <row r="4152" spans="1:9" x14ac:dyDescent="0.3">
      <c r="A4152" s="24">
        <v>45377</v>
      </c>
      <c r="B4152" t="s">
        <v>351</v>
      </c>
      <c r="C4152" t="s">
        <v>29</v>
      </c>
      <c r="D4152">
        <v>0.5</v>
      </c>
      <c r="E4152" t="s">
        <v>1021</v>
      </c>
      <c r="F4152" t="s">
        <v>31</v>
      </c>
      <c r="G4152" t="s">
        <v>2839</v>
      </c>
      <c r="H4152" t="s">
        <v>18</v>
      </c>
      <c r="I4152" s="26" t="s">
        <v>576</v>
      </c>
    </row>
    <row r="4153" spans="1:9" x14ac:dyDescent="0.3">
      <c r="A4153" s="24">
        <v>45377</v>
      </c>
      <c r="B4153" t="s">
        <v>351</v>
      </c>
      <c r="C4153" t="s">
        <v>29</v>
      </c>
      <c r="D4153">
        <v>2</v>
      </c>
      <c r="E4153" t="s">
        <v>81</v>
      </c>
      <c r="F4153" t="s">
        <v>31</v>
      </c>
      <c r="G4153" t="s">
        <v>2840</v>
      </c>
      <c r="H4153" t="s">
        <v>18</v>
      </c>
      <c r="I4153" s="26" t="s">
        <v>576</v>
      </c>
    </row>
    <row r="4154" spans="1:9" x14ac:dyDescent="0.3">
      <c r="A4154" s="24">
        <v>45377</v>
      </c>
      <c r="B4154" t="s">
        <v>351</v>
      </c>
      <c r="C4154" t="s">
        <v>85</v>
      </c>
      <c r="D4154">
        <v>0.5</v>
      </c>
      <c r="E4154" t="s">
        <v>81</v>
      </c>
      <c r="F4154" t="s">
        <v>31</v>
      </c>
      <c r="G4154" t="s">
        <v>2841</v>
      </c>
      <c r="H4154" t="s">
        <v>18</v>
      </c>
      <c r="I4154" s="26" t="s">
        <v>576</v>
      </c>
    </row>
    <row r="4155" spans="1:9" x14ac:dyDescent="0.3">
      <c r="A4155" s="24">
        <v>45377</v>
      </c>
      <c r="B4155" t="s">
        <v>351</v>
      </c>
      <c r="C4155" t="s">
        <v>85</v>
      </c>
      <c r="D4155">
        <v>1</v>
      </c>
      <c r="E4155" t="s">
        <v>81</v>
      </c>
      <c r="F4155" t="s">
        <v>31</v>
      </c>
      <c r="G4155" t="s">
        <v>2842</v>
      </c>
      <c r="H4155" t="s">
        <v>18</v>
      </c>
      <c r="I4155" s="26" t="s">
        <v>576</v>
      </c>
    </row>
    <row r="4156" spans="1:9" x14ac:dyDescent="0.3">
      <c r="A4156" s="24">
        <v>45377</v>
      </c>
      <c r="B4156" t="s">
        <v>351</v>
      </c>
      <c r="C4156" t="s">
        <v>53</v>
      </c>
      <c r="D4156">
        <v>1</v>
      </c>
      <c r="E4156" t="s">
        <v>54</v>
      </c>
      <c r="F4156" t="s">
        <v>55</v>
      </c>
      <c r="G4156" t="s">
        <v>2843</v>
      </c>
      <c r="H4156" t="s">
        <v>18</v>
      </c>
      <c r="I4156" s="26" t="s">
        <v>576</v>
      </c>
    </row>
    <row r="4157" spans="1:9" x14ac:dyDescent="0.3">
      <c r="A4157" s="24">
        <v>45377</v>
      </c>
      <c r="B4157" t="s">
        <v>355</v>
      </c>
      <c r="C4157" t="s">
        <v>29</v>
      </c>
      <c r="D4157">
        <v>0.2</v>
      </c>
      <c r="E4157" t="s">
        <v>91</v>
      </c>
      <c r="F4157" t="s">
        <v>31</v>
      </c>
      <c r="G4157" t="s">
        <v>2844</v>
      </c>
      <c r="H4157" t="s">
        <v>18</v>
      </c>
      <c r="I4157" s="26" t="s">
        <v>576</v>
      </c>
    </row>
    <row r="4158" spans="1:9" x14ac:dyDescent="0.3">
      <c r="A4158" s="24">
        <v>45377</v>
      </c>
      <c r="B4158" t="s">
        <v>355</v>
      </c>
      <c r="C4158" t="s">
        <v>29</v>
      </c>
      <c r="D4158">
        <v>1.1000000000000001</v>
      </c>
      <c r="E4158" t="s">
        <v>91</v>
      </c>
      <c r="F4158" t="s">
        <v>31</v>
      </c>
      <c r="G4158" t="s">
        <v>2845</v>
      </c>
      <c r="H4158" t="s">
        <v>18</v>
      </c>
      <c r="I4158" s="26" t="s">
        <v>576</v>
      </c>
    </row>
    <row r="4159" spans="1:9" x14ac:dyDescent="0.3">
      <c r="A4159" s="24">
        <v>45377</v>
      </c>
      <c r="B4159" t="s">
        <v>355</v>
      </c>
      <c r="C4159" t="s">
        <v>29</v>
      </c>
      <c r="D4159">
        <v>1.6</v>
      </c>
      <c r="E4159" t="s">
        <v>91</v>
      </c>
      <c r="F4159" t="s">
        <v>31</v>
      </c>
      <c r="G4159" t="s">
        <v>2846</v>
      </c>
      <c r="H4159" t="s">
        <v>18</v>
      </c>
      <c r="I4159" s="26" t="s">
        <v>576</v>
      </c>
    </row>
    <row r="4160" spans="1:9" x14ac:dyDescent="0.3">
      <c r="A4160" s="24">
        <v>45377</v>
      </c>
      <c r="B4160" t="s">
        <v>355</v>
      </c>
      <c r="C4160" t="s">
        <v>29</v>
      </c>
      <c r="D4160">
        <v>1.7</v>
      </c>
      <c r="E4160" t="s">
        <v>91</v>
      </c>
      <c r="F4160" t="s">
        <v>31</v>
      </c>
      <c r="G4160" t="s">
        <v>2847</v>
      </c>
      <c r="H4160" t="s">
        <v>18</v>
      </c>
      <c r="I4160" s="26" t="s">
        <v>576</v>
      </c>
    </row>
    <row r="4161" spans="1:9" x14ac:dyDescent="0.3">
      <c r="A4161" s="24">
        <v>45377</v>
      </c>
      <c r="B4161" t="s">
        <v>355</v>
      </c>
      <c r="C4161" t="s">
        <v>202</v>
      </c>
      <c r="D4161">
        <v>0.5</v>
      </c>
      <c r="E4161" t="s">
        <v>91</v>
      </c>
      <c r="F4161" t="s">
        <v>31</v>
      </c>
      <c r="G4161" t="s">
        <v>2848</v>
      </c>
      <c r="H4161" t="s">
        <v>18</v>
      </c>
      <c r="I4161" s="26" t="s">
        <v>576</v>
      </c>
    </row>
    <row r="4162" spans="1:9" x14ac:dyDescent="0.3">
      <c r="A4162" s="24">
        <v>45377</v>
      </c>
      <c r="B4162" t="s">
        <v>355</v>
      </c>
      <c r="C4162" t="s">
        <v>202</v>
      </c>
      <c r="D4162">
        <v>0.8</v>
      </c>
      <c r="E4162" t="s">
        <v>91</v>
      </c>
      <c r="F4162" t="s">
        <v>31</v>
      </c>
      <c r="G4162" t="s">
        <v>2849</v>
      </c>
      <c r="H4162" t="s">
        <v>18</v>
      </c>
      <c r="I4162" s="26" t="s">
        <v>576</v>
      </c>
    </row>
    <row r="4163" spans="1:9" x14ac:dyDescent="0.3">
      <c r="A4163" s="24">
        <v>45377</v>
      </c>
      <c r="B4163" t="s">
        <v>355</v>
      </c>
      <c r="C4163" t="s">
        <v>85</v>
      </c>
      <c r="D4163">
        <v>1</v>
      </c>
      <c r="E4163" t="s">
        <v>91</v>
      </c>
      <c r="F4163" t="s">
        <v>31</v>
      </c>
      <c r="G4163" t="s">
        <v>2850</v>
      </c>
      <c r="H4163" t="s">
        <v>18</v>
      </c>
      <c r="I4163" s="26" t="s">
        <v>576</v>
      </c>
    </row>
    <row r="4164" spans="1:9" x14ac:dyDescent="0.3">
      <c r="A4164" s="24">
        <v>45377</v>
      </c>
      <c r="B4164" t="s">
        <v>355</v>
      </c>
      <c r="C4164" t="s">
        <v>85</v>
      </c>
      <c r="D4164">
        <v>1.2</v>
      </c>
      <c r="E4164" t="s">
        <v>91</v>
      </c>
      <c r="F4164" t="s">
        <v>31</v>
      </c>
      <c r="G4164" t="s">
        <v>2851</v>
      </c>
      <c r="H4164" t="s">
        <v>18</v>
      </c>
      <c r="I4164" s="26" t="s">
        <v>576</v>
      </c>
    </row>
    <row r="4165" spans="1:9" x14ac:dyDescent="0.3">
      <c r="A4165" s="24">
        <v>45378</v>
      </c>
      <c r="B4165" t="s">
        <v>28</v>
      </c>
      <c r="C4165" t="s">
        <v>73</v>
      </c>
      <c r="D4165">
        <v>8</v>
      </c>
      <c r="E4165" t="s">
        <v>54</v>
      </c>
      <c r="F4165" t="s">
        <v>55</v>
      </c>
      <c r="G4165" t="s">
        <v>74</v>
      </c>
      <c r="H4165" t="s">
        <v>18</v>
      </c>
      <c r="I4165" s="26" t="s">
        <v>747</v>
      </c>
    </row>
    <row r="4166" spans="1:9" x14ac:dyDescent="0.3">
      <c r="A4166" s="24">
        <v>45378</v>
      </c>
      <c r="B4166" t="s">
        <v>64</v>
      </c>
      <c r="C4166" t="s">
        <v>173</v>
      </c>
      <c r="D4166">
        <v>1</v>
      </c>
      <c r="E4166" t="s">
        <v>162</v>
      </c>
      <c r="F4166" t="s">
        <v>31</v>
      </c>
      <c r="G4166" t="s">
        <v>2852</v>
      </c>
      <c r="H4166" t="s">
        <v>18</v>
      </c>
      <c r="I4166" s="26" t="s">
        <v>747</v>
      </c>
    </row>
    <row r="4167" spans="1:9" x14ac:dyDescent="0.3">
      <c r="A4167" s="24">
        <v>45378</v>
      </c>
      <c r="B4167" t="s">
        <v>64</v>
      </c>
      <c r="C4167" t="s">
        <v>379</v>
      </c>
      <c r="D4167">
        <v>0.33</v>
      </c>
      <c r="E4167" t="s">
        <v>66</v>
      </c>
      <c r="F4167" t="s">
        <v>31</v>
      </c>
      <c r="G4167" t="s">
        <v>2853</v>
      </c>
      <c r="H4167" t="s">
        <v>18</v>
      </c>
      <c r="I4167" s="26" t="s">
        <v>747</v>
      </c>
    </row>
    <row r="4168" spans="1:9" x14ac:dyDescent="0.3">
      <c r="A4168" s="24">
        <v>45378</v>
      </c>
      <c r="B4168" t="s">
        <v>64</v>
      </c>
      <c r="C4168" t="s">
        <v>68</v>
      </c>
      <c r="D4168">
        <v>7</v>
      </c>
      <c r="E4168" t="s">
        <v>66</v>
      </c>
      <c r="F4168" t="s">
        <v>31</v>
      </c>
      <c r="G4168" t="s">
        <v>2854</v>
      </c>
      <c r="H4168" t="s">
        <v>18</v>
      </c>
      <c r="I4168" s="26" t="s">
        <v>747</v>
      </c>
    </row>
    <row r="4169" spans="1:9" x14ac:dyDescent="0.3">
      <c r="A4169" s="24">
        <v>45378</v>
      </c>
      <c r="B4169" t="s">
        <v>64</v>
      </c>
      <c r="C4169" t="s">
        <v>70</v>
      </c>
      <c r="D4169">
        <v>0.5</v>
      </c>
      <c r="E4169" t="s">
        <v>66</v>
      </c>
      <c r="F4169" t="s">
        <v>31</v>
      </c>
      <c r="G4169" t="s">
        <v>2855</v>
      </c>
      <c r="H4169" t="s">
        <v>18</v>
      </c>
      <c r="I4169" s="26" t="s">
        <v>747</v>
      </c>
    </row>
    <row r="4170" spans="1:9" x14ac:dyDescent="0.3">
      <c r="A4170" s="24">
        <v>45378</v>
      </c>
      <c r="B4170" t="s">
        <v>72</v>
      </c>
      <c r="C4170" t="s">
        <v>29</v>
      </c>
      <c r="D4170">
        <v>1.37</v>
      </c>
      <c r="E4170" t="s">
        <v>358</v>
      </c>
      <c r="F4170" t="s">
        <v>55</v>
      </c>
      <c r="G4170" t="s">
        <v>2856</v>
      </c>
      <c r="H4170" t="s">
        <v>18</v>
      </c>
      <c r="I4170" s="26" t="s">
        <v>747</v>
      </c>
    </row>
    <row r="4171" spans="1:9" x14ac:dyDescent="0.3">
      <c r="A4171" s="24">
        <v>45378</v>
      </c>
      <c r="B4171" t="s">
        <v>72</v>
      </c>
      <c r="C4171" t="s">
        <v>29</v>
      </c>
      <c r="D4171">
        <v>2.52</v>
      </c>
      <c r="E4171" t="s">
        <v>271</v>
      </c>
      <c r="F4171" t="s">
        <v>31</v>
      </c>
      <c r="H4171" t="s">
        <v>18</v>
      </c>
      <c r="I4171" s="26" t="s">
        <v>747</v>
      </c>
    </row>
    <row r="4172" spans="1:9" x14ac:dyDescent="0.3">
      <c r="A4172" s="24">
        <v>45378</v>
      </c>
      <c r="B4172" t="s">
        <v>72</v>
      </c>
      <c r="C4172" t="s">
        <v>53</v>
      </c>
      <c r="D4172">
        <v>0.93</v>
      </c>
      <c r="E4172" t="s">
        <v>54</v>
      </c>
      <c r="F4172" t="s">
        <v>55</v>
      </c>
      <c r="G4172" t="s">
        <v>2857</v>
      </c>
      <c r="H4172" t="s">
        <v>18</v>
      </c>
      <c r="I4172" s="26" t="s">
        <v>747</v>
      </c>
    </row>
    <row r="4173" spans="1:9" x14ac:dyDescent="0.3">
      <c r="A4173" s="24">
        <v>45378</v>
      </c>
      <c r="B4173" t="s">
        <v>72</v>
      </c>
      <c r="C4173" t="s">
        <v>53</v>
      </c>
      <c r="D4173">
        <v>1.48</v>
      </c>
      <c r="E4173" t="s">
        <v>54</v>
      </c>
      <c r="F4173" t="s">
        <v>55</v>
      </c>
      <c r="G4173" t="s">
        <v>2858</v>
      </c>
      <c r="H4173" t="s">
        <v>18</v>
      </c>
      <c r="I4173" s="26" t="s">
        <v>747</v>
      </c>
    </row>
    <row r="4174" spans="1:9" x14ac:dyDescent="0.3">
      <c r="A4174" s="24">
        <v>45378</v>
      </c>
      <c r="B4174" t="s">
        <v>72</v>
      </c>
      <c r="C4174" t="s">
        <v>58</v>
      </c>
      <c r="D4174">
        <v>1.33</v>
      </c>
      <c r="E4174" t="s">
        <v>54</v>
      </c>
      <c r="F4174" t="s">
        <v>55</v>
      </c>
      <c r="G4174" t="s">
        <v>2859</v>
      </c>
      <c r="H4174" t="s">
        <v>18</v>
      </c>
      <c r="I4174" s="26" t="s">
        <v>747</v>
      </c>
    </row>
    <row r="4175" spans="1:9" x14ac:dyDescent="0.3">
      <c r="A4175" s="24">
        <v>45378</v>
      </c>
      <c r="B4175" t="s">
        <v>72</v>
      </c>
      <c r="C4175" t="s">
        <v>60</v>
      </c>
      <c r="D4175">
        <v>0.48</v>
      </c>
      <c r="E4175" t="s">
        <v>156</v>
      </c>
      <c r="F4175" t="s">
        <v>31</v>
      </c>
      <c r="H4175" t="s">
        <v>18</v>
      </c>
      <c r="I4175" s="26" t="s">
        <v>747</v>
      </c>
    </row>
    <row r="4176" spans="1:9" x14ac:dyDescent="0.3">
      <c r="A4176" s="24">
        <v>45378</v>
      </c>
      <c r="B4176" t="s">
        <v>79</v>
      </c>
      <c r="C4176" t="s">
        <v>403</v>
      </c>
      <c r="D4176">
        <v>2</v>
      </c>
      <c r="E4176" t="s">
        <v>334</v>
      </c>
      <c r="F4176" t="s">
        <v>55</v>
      </c>
      <c r="G4176" t="s">
        <v>2860</v>
      </c>
      <c r="H4176" t="s">
        <v>18</v>
      </c>
      <c r="I4176" s="26" t="s">
        <v>747</v>
      </c>
    </row>
    <row r="4177" spans="1:9" x14ac:dyDescent="0.3">
      <c r="A4177" s="24">
        <v>45378</v>
      </c>
      <c r="B4177" t="s">
        <v>79</v>
      </c>
      <c r="C4177" t="s">
        <v>403</v>
      </c>
      <c r="D4177">
        <v>2</v>
      </c>
      <c r="E4177" t="s">
        <v>334</v>
      </c>
      <c r="F4177" t="s">
        <v>31</v>
      </c>
      <c r="H4177" t="s">
        <v>18</v>
      </c>
      <c r="I4177" s="26" t="s">
        <v>747</v>
      </c>
    </row>
    <row r="4178" spans="1:9" x14ac:dyDescent="0.3">
      <c r="A4178" s="24">
        <v>45378</v>
      </c>
      <c r="B4178" t="s">
        <v>79</v>
      </c>
      <c r="C4178" t="s">
        <v>53</v>
      </c>
      <c r="D4178">
        <v>4</v>
      </c>
      <c r="E4178" t="s">
        <v>54</v>
      </c>
      <c r="F4178" t="s">
        <v>55</v>
      </c>
      <c r="H4178" t="s">
        <v>18</v>
      </c>
      <c r="I4178" s="26" t="s">
        <v>747</v>
      </c>
    </row>
    <row r="4179" spans="1:9" x14ac:dyDescent="0.3">
      <c r="A4179" s="24">
        <v>45378</v>
      </c>
      <c r="B4179" t="s">
        <v>88</v>
      </c>
      <c r="C4179" t="s">
        <v>89</v>
      </c>
      <c r="D4179">
        <v>8</v>
      </c>
      <c r="E4179" t="s">
        <v>54</v>
      </c>
      <c r="F4179" t="s">
        <v>55</v>
      </c>
      <c r="G4179" t="s">
        <v>2861</v>
      </c>
      <c r="H4179" t="s">
        <v>18</v>
      </c>
      <c r="I4179" s="26" t="s">
        <v>747</v>
      </c>
    </row>
    <row r="4180" spans="1:9" x14ac:dyDescent="0.3">
      <c r="A4180" s="24">
        <v>45378</v>
      </c>
      <c r="B4180" t="s">
        <v>99</v>
      </c>
      <c r="C4180" t="s">
        <v>89</v>
      </c>
      <c r="D4180">
        <v>9.08</v>
      </c>
      <c r="E4180" t="s">
        <v>54</v>
      </c>
      <c r="F4180" t="s">
        <v>55</v>
      </c>
      <c r="G4180" t="s">
        <v>2639</v>
      </c>
      <c r="H4180" t="s">
        <v>18</v>
      </c>
      <c r="I4180" s="26" t="s">
        <v>747</v>
      </c>
    </row>
    <row r="4181" spans="1:9" x14ac:dyDescent="0.3">
      <c r="A4181" s="24">
        <v>45378</v>
      </c>
      <c r="B4181" t="s">
        <v>101</v>
      </c>
      <c r="C4181" t="s">
        <v>29</v>
      </c>
      <c r="D4181">
        <v>0.92</v>
      </c>
      <c r="E4181" t="s">
        <v>725</v>
      </c>
      <c r="F4181" t="s">
        <v>31</v>
      </c>
      <c r="G4181" t="s">
        <v>2862</v>
      </c>
      <c r="H4181" t="s">
        <v>18</v>
      </c>
      <c r="I4181" s="26" t="s">
        <v>747</v>
      </c>
    </row>
    <row r="4182" spans="1:9" x14ac:dyDescent="0.3">
      <c r="A4182" s="24">
        <v>45378</v>
      </c>
      <c r="B4182" t="s">
        <v>101</v>
      </c>
      <c r="C4182" t="s">
        <v>29</v>
      </c>
      <c r="D4182">
        <v>3.25</v>
      </c>
      <c r="E4182" t="s">
        <v>108</v>
      </c>
      <c r="F4182" t="s">
        <v>31</v>
      </c>
      <c r="G4182" t="s">
        <v>2863</v>
      </c>
      <c r="H4182" t="s">
        <v>18</v>
      </c>
      <c r="I4182" s="26" t="s">
        <v>747</v>
      </c>
    </row>
    <row r="4183" spans="1:9" x14ac:dyDescent="0.3">
      <c r="A4183" s="24">
        <v>45378</v>
      </c>
      <c r="B4183" t="s">
        <v>101</v>
      </c>
      <c r="C4183" t="s">
        <v>60</v>
      </c>
      <c r="D4183">
        <v>0.25</v>
      </c>
      <c r="E4183" t="s">
        <v>229</v>
      </c>
      <c r="F4183" t="s">
        <v>31</v>
      </c>
      <c r="G4183" t="s">
        <v>919</v>
      </c>
      <c r="H4183" t="s">
        <v>18</v>
      </c>
      <c r="I4183" s="26" t="s">
        <v>747</v>
      </c>
    </row>
    <row r="4184" spans="1:9" x14ac:dyDescent="0.3">
      <c r="A4184" s="24">
        <v>45378</v>
      </c>
      <c r="B4184" t="s">
        <v>101</v>
      </c>
      <c r="C4184" t="s">
        <v>60</v>
      </c>
      <c r="D4184">
        <v>0.25</v>
      </c>
      <c r="E4184" t="s">
        <v>230</v>
      </c>
      <c r="F4184" t="s">
        <v>31</v>
      </c>
      <c r="G4184" t="s">
        <v>919</v>
      </c>
      <c r="H4184" t="s">
        <v>18</v>
      </c>
      <c r="I4184" s="26" t="s">
        <v>747</v>
      </c>
    </row>
    <row r="4185" spans="1:9" x14ac:dyDescent="0.3">
      <c r="A4185" s="24">
        <v>45378</v>
      </c>
      <c r="B4185" t="s">
        <v>101</v>
      </c>
      <c r="C4185" t="s">
        <v>60</v>
      </c>
      <c r="D4185">
        <v>0.67</v>
      </c>
      <c r="E4185" t="s">
        <v>102</v>
      </c>
      <c r="F4185" t="s">
        <v>31</v>
      </c>
      <c r="G4185" t="s">
        <v>919</v>
      </c>
      <c r="H4185" t="s">
        <v>18</v>
      </c>
      <c r="I4185" s="26" t="s">
        <v>747</v>
      </c>
    </row>
    <row r="4186" spans="1:9" x14ac:dyDescent="0.3">
      <c r="A4186" s="24">
        <v>45378</v>
      </c>
      <c r="B4186" t="s">
        <v>101</v>
      </c>
      <c r="C4186" t="s">
        <v>60</v>
      </c>
      <c r="D4186">
        <v>0.83</v>
      </c>
      <c r="E4186" t="s">
        <v>1246</v>
      </c>
      <c r="F4186" t="s">
        <v>31</v>
      </c>
      <c r="G4186" t="s">
        <v>919</v>
      </c>
      <c r="H4186" t="s">
        <v>18</v>
      </c>
      <c r="I4186" s="26" t="s">
        <v>747</v>
      </c>
    </row>
    <row r="4187" spans="1:9" x14ac:dyDescent="0.3">
      <c r="A4187" s="24">
        <v>45378</v>
      </c>
      <c r="B4187" t="s">
        <v>101</v>
      </c>
      <c r="C4187" t="s">
        <v>60</v>
      </c>
      <c r="D4187">
        <v>0.83</v>
      </c>
      <c r="E4187" t="s">
        <v>104</v>
      </c>
      <c r="F4187" t="s">
        <v>31</v>
      </c>
      <c r="G4187" t="s">
        <v>919</v>
      </c>
      <c r="H4187" t="s">
        <v>18</v>
      </c>
      <c r="I4187" s="26" t="s">
        <v>747</v>
      </c>
    </row>
    <row r="4188" spans="1:9" x14ac:dyDescent="0.3">
      <c r="A4188" s="24">
        <v>45378</v>
      </c>
      <c r="B4188" t="s">
        <v>101</v>
      </c>
      <c r="C4188" t="s">
        <v>60</v>
      </c>
      <c r="D4188">
        <v>1</v>
      </c>
      <c r="E4188" t="s">
        <v>229</v>
      </c>
      <c r="F4188" t="s">
        <v>55</v>
      </c>
      <c r="G4188" t="s">
        <v>2864</v>
      </c>
      <c r="H4188" t="s">
        <v>18</v>
      </c>
      <c r="I4188" s="26" t="s">
        <v>747</v>
      </c>
    </row>
    <row r="4189" spans="1:9" x14ac:dyDescent="0.3">
      <c r="A4189" s="24">
        <v>45378</v>
      </c>
      <c r="B4189" t="s">
        <v>113</v>
      </c>
      <c r="C4189" t="s">
        <v>29</v>
      </c>
      <c r="D4189">
        <v>0.23</v>
      </c>
      <c r="E4189" t="s">
        <v>137</v>
      </c>
      <c r="F4189" t="s">
        <v>31</v>
      </c>
      <c r="G4189" t="s">
        <v>2865</v>
      </c>
      <c r="H4189" t="s">
        <v>18</v>
      </c>
      <c r="I4189" s="26" t="s">
        <v>747</v>
      </c>
    </row>
    <row r="4190" spans="1:9" x14ac:dyDescent="0.3">
      <c r="A4190" s="24">
        <v>45378</v>
      </c>
      <c r="B4190" t="s">
        <v>113</v>
      </c>
      <c r="C4190" t="s">
        <v>29</v>
      </c>
      <c r="D4190">
        <v>0.28000000000000003</v>
      </c>
      <c r="E4190" t="s">
        <v>437</v>
      </c>
      <c r="F4190" t="s">
        <v>31</v>
      </c>
      <c r="G4190" t="s">
        <v>2866</v>
      </c>
      <c r="H4190" t="s">
        <v>18</v>
      </c>
      <c r="I4190" s="26" t="s">
        <v>747</v>
      </c>
    </row>
    <row r="4191" spans="1:9" x14ac:dyDescent="0.3">
      <c r="A4191" s="24">
        <v>45378</v>
      </c>
      <c r="B4191" t="s">
        <v>113</v>
      </c>
      <c r="C4191" t="s">
        <v>29</v>
      </c>
      <c r="D4191">
        <v>0.33</v>
      </c>
      <c r="E4191" t="s">
        <v>437</v>
      </c>
      <c r="F4191" t="s">
        <v>31</v>
      </c>
      <c r="G4191" t="s">
        <v>2867</v>
      </c>
      <c r="H4191" t="s">
        <v>18</v>
      </c>
      <c r="I4191" s="26" t="s">
        <v>747</v>
      </c>
    </row>
    <row r="4192" spans="1:9" x14ac:dyDescent="0.3">
      <c r="A4192" s="24">
        <v>45378</v>
      </c>
      <c r="B4192" t="s">
        <v>113</v>
      </c>
      <c r="C4192" t="s">
        <v>29</v>
      </c>
      <c r="D4192">
        <v>0.48</v>
      </c>
      <c r="E4192" t="s">
        <v>127</v>
      </c>
      <c r="F4192" t="s">
        <v>31</v>
      </c>
      <c r="G4192" t="s">
        <v>2396</v>
      </c>
      <c r="H4192" t="s">
        <v>18</v>
      </c>
      <c r="I4192" s="26" t="s">
        <v>747</v>
      </c>
    </row>
    <row r="4193" spans="1:9" x14ac:dyDescent="0.3">
      <c r="A4193" s="24">
        <v>45378</v>
      </c>
      <c r="B4193" t="s">
        <v>113</v>
      </c>
      <c r="C4193" t="s">
        <v>29</v>
      </c>
      <c r="D4193">
        <v>0.55000000000000004</v>
      </c>
      <c r="E4193" t="s">
        <v>437</v>
      </c>
      <c r="F4193" t="s">
        <v>31</v>
      </c>
      <c r="G4193" t="s">
        <v>2868</v>
      </c>
      <c r="H4193" t="s">
        <v>18</v>
      </c>
      <c r="I4193" s="26" t="s">
        <v>747</v>
      </c>
    </row>
    <row r="4194" spans="1:9" x14ac:dyDescent="0.3">
      <c r="A4194" s="24">
        <v>45378</v>
      </c>
      <c r="B4194" t="s">
        <v>113</v>
      </c>
      <c r="C4194" t="s">
        <v>29</v>
      </c>
      <c r="D4194">
        <v>0.85</v>
      </c>
      <c r="E4194" t="s">
        <v>81</v>
      </c>
      <c r="F4194" t="s">
        <v>31</v>
      </c>
      <c r="G4194" t="s">
        <v>412</v>
      </c>
      <c r="H4194" t="s">
        <v>18</v>
      </c>
      <c r="I4194" s="26" t="s">
        <v>747</v>
      </c>
    </row>
    <row r="4195" spans="1:9" x14ac:dyDescent="0.3">
      <c r="A4195" s="24">
        <v>45378</v>
      </c>
      <c r="B4195" t="s">
        <v>113</v>
      </c>
      <c r="C4195" t="s">
        <v>53</v>
      </c>
      <c r="D4195">
        <v>0.5</v>
      </c>
      <c r="E4195" t="s">
        <v>54</v>
      </c>
      <c r="F4195" t="s">
        <v>55</v>
      </c>
      <c r="G4195" t="s">
        <v>110</v>
      </c>
      <c r="H4195" t="s">
        <v>18</v>
      </c>
      <c r="I4195" s="26" t="s">
        <v>747</v>
      </c>
    </row>
    <row r="4196" spans="1:9" x14ac:dyDescent="0.3">
      <c r="A4196" s="24">
        <v>45378</v>
      </c>
      <c r="B4196" t="s">
        <v>113</v>
      </c>
      <c r="C4196" t="s">
        <v>53</v>
      </c>
      <c r="D4196">
        <v>0.55000000000000004</v>
      </c>
      <c r="E4196" t="s">
        <v>54</v>
      </c>
      <c r="F4196" t="s">
        <v>55</v>
      </c>
      <c r="G4196" t="s">
        <v>2869</v>
      </c>
      <c r="H4196" t="s">
        <v>18</v>
      </c>
      <c r="I4196" s="26" t="s">
        <v>747</v>
      </c>
    </row>
    <row r="4197" spans="1:9" x14ac:dyDescent="0.3">
      <c r="A4197" s="24">
        <v>45378</v>
      </c>
      <c r="B4197" t="s">
        <v>113</v>
      </c>
      <c r="C4197" t="s">
        <v>58</v>
      </c>
      <c r="D4197">
        <v>0.13</v>
      </c>
      <c r="E4197" t="s">
        <v>54</v>
      </c>
      <c r="F4197" t="s">
        <v>55</v>
      </c>
      <c r="G4197" t="s">
        <v>2870</v>
      </c>
      <c r="H4197" t="s">
        <v>18</v>
      </c>
      <c r="I4197" s="26" t="s">
        <v>747</v>
      </c>
    </row>
    <row r="4198" spans="1:9" x14ac:dyDescent="0.3">
      <c r="A4198" s="24">
        <v>45378</v>
      </c>
      <c r="B4198" t="s">
        <v>113</v>
      </c>
      <c r="C4198" t="s">
        <v>58</v>
      </c>
      <c r="D4198">
        <v>1.35</v>
      </c>
      <c r="E4198" t="s">
        <v>54</v>
      </c>
      <c r="F4198" t="s">
        <v>55</v>
      </c>
      <c r="G4198" t="s">
        <v>1711</v>
      </c>
      <c r="H4198" t="s">
        <v>18</v>
      </c>
      <c r="I4198" s="26" t="s">
        <v>747</v>
      </c>
    </row>
    <row r="4199" spans="1:9" x14ac:dyDescent="0.3">
      <c r="A4199" s="24">
        <v>45378</v>
      </c>
      <c r="B4199" t="s">
        <v>113</v>
      </c>
      <c r="C4199" t="s">
        <v>60</v>
      </c>
      <c r="D4199">
        <v>0.18</v>
      </c>
      <c r="E4199" t="s">
        <v>81</v>
      </c>
      <c r="F4199" t="s">
        <v>31</v>
      </c>
      <c r="G4199" t="s">
        <v>2871</v>
      </c>
      <c r="H4199" t="s">
        <v>18</v>
      </c>
      <c r="I4199" s="26" t="s">
        <v>747</v>
      </c>
    </row>
    <row r="4200" spans="1:9" x14ac:dyDescent="0.3">
      <c r="A4200" s="24">
        <v>45378</v>
      </c>
      <c r="B4200" t="s">
        <v>113</v>
      </c>
      <c r="C4200" t="s">
        <v>60</v>
      </c>
      <c r="D4200">
        <v>0.18</v>
      </c>
      <c r="E4200" t="s">
        <v>81</v>
      </c>
      <c r="F4200" t="s">
        <v>31</v>
      </c>
      <c r="G4200" t="s">
        <v>2872</v>
      </c>
      <c r="H4200" t="s">
        <v>18</v>
      </c>
      <c r="I4200" s="26" t="s">
        <v>747</v>
      </c>
    </row>
    <row r="4201" spans="1:9" x14ac:dyDescent="0.3">
      <c r="A4201" s="24">
        <v>45378</v>
      </c>
      <c r="B4201" t="s">
        <v>113</v>
      </c>
      <c r="C4201" t="s">
        <v>60</v>
      </c>
      <c r="D4201">
        <v>0.25</v>
      </c>
      <c r="E4201" t="s">
        <v>81</v>
      </c>
      <c r="F4201" t="s">
        <v>31</v>
      </c>
      <c r="G4201" t="s">
        <v>412</v>
      </c>
      <c r="H4201" t="s">
        <v>18</v>
      </c>
      <c r="I4201" s="26" t="s">
        <v>747</v>
      </c>
    </row>
    <row r="4202" spans="1:9" x14ac:dyDescent="0.3">
      <c r="A4202" s="24">
        <v>45378</v>
      </c>
      <c r="B4202" t="s">
        <v>113</v>
      </c>
      <c r="C4202" t="s">
        <v>60</v>
      </c>
      <c r="D4202">
        <v>0.43</v>
      </c>
      <c r="E4202" t="s">
        <v>61</v>
      </c>
      <c r="F4202" t="s">
        <v>31</v>
      </c>
      <c r="G4202" t="s">
        <v>2873</v>
      </c>
      <c r="H4202" t="s">
        <v>18</v>
      </c>
      <c r="I4202" s="26" t="s">
        <v>747</v>
      </c>
    </row>
    <row r="4203" spans="1:9" x14ac:dyDescent="0.3">
      <c r="A4203" s="24">
        <v>45378</v>
      </c>
      <c r="B4203" t="s">
        <v>113</v>
      </c>
      <c r="C4203" t="s">
        <v>60</v>
      </c>
      <c r="D4203">
        <v>0.55000000000000004</v>
      </c>
      <c r="E4203" t="s">
        <v>81</v>
      </c>
      <c r="F4203" t="s">
        <v>31</v>
      </c>
      <c r="H4203" t="s">
        <v>18</v>
      </c>
      <c r="I4203" s="26" t="s">
        <v>747</v>
      </c>
    </row>
    <row r="4204" spans="1:9" x14ac:dyDescent="0.3">
      <c r="A4204" s="24">
        <v>45378</v>
      </c>
      <c r="B4204" t="s">
        <v>113</v>
      </c>
      <c r="C4204" t="s">
        <v>60</v>
      </c>
      <c r="D4204">
        <v>1.1299999999999999</v>
      </c>
      <c r="E4204" t="s">
        <v>61</v>
      </c>
      <c r="F4204" t="s">
        <v>31</v>
      </c>
      <c r="G4204" t="s">
        <v>126</v>
      </c>
      <c r="H4204" t="s">
        <v>18</v>
      </c>
      <c r="I4204" s="26" t="s">
        <v>747</v>
      </c>
    </row>
    <row r="4205" spans="1:9" x14ac:dyDescent="0.3">
      <c r="A4205" s="24">
        <v>45378</v>
      </c>
      <c r="B4205" t="s">
        <v>132</v>
      </c>
      <c r="C4205" t="s">
        <v>29</v>
      </c>
      <c r="D4205">
        <v>0.17</v>
      </c>
      <c r="E4205" t="s">
        <v>81</v>
      </c>
      <c r="F4205" t="s">
        <v>31</v>
      </c>
      <c r="G4205" t="e">
        <f>- Received raw invoices.</f>
        <v>#NAME?</v>
      </c>
      <c r="H4205" t="s">
        <v>18</v>
      </c>
      <c r="I4205" s="26" t="s">
        <v>747</v>
      </c>
    </row>
    <row r="4206" spans="1:9" x14ac:dyDescent="0.3">
      <c r="A4206" s="24">
        <v>45378</v>
      </c>
      <c r="B4206" t="s">
        <v>132</v>
      </c>
      <c r="C4206" t="s">
        <v>53</v>
      </c>
      <c r="D4206">
        <v>9.75</v>
      </c>
      <c r="E4206" t="s">
        <v>54</v>
      </c>
      <c r="F4206" t="s">
        <v>55</v>
      </c>
      <c r="G4206" t="s">
        <v>2874</v>
      </c>
      <c r="H4206" t="s">
        <v>18</v>
      </c>
      <c r="I4206" s="26" t="s">
        <v>747</v>
      </c>
    </row>
    <row r="4207" spans="1:9" x14ac:dyDescent="0.3">
      <c r="A4207" s="24">
        <v>45378</v>
      </c>
      <c r="B4207" t="s">
        <v>134</v>
      </c>
      <c r="C4207" t="s">
        <v>29</v>
      </c>
      <c r="D4207">
        <v>1</v>
      </c>
      <c r="E4207" t="s">
        <v>135</v>
      </c>
      <c r="F4207" t="s">
        <v>31</v>
      </c>
      <c r="G4207" t="s">
        <v>2875</v>
      </c>
      <c r="H4207" t="s">
        <v>18</v>
      </c>
      <c r="I4207" s="26" t="s">
        <v>747</v>
      </c>
    </row>
    <row r="4208" spans="1:9" x14ac:dyDescent="0.3">
      <c r="A4208" s="24">
        <v>45378</v>
      </c>
      <c r="B4208" t="s">
        <v>134</v>
      </c>
      <c r="C4208" t="s">
        <v>29</v>
      </c>
      <c r="D4208">
        <v>1.3</v>
      </c>
      <c r="E4208" t="s">
        <v>139</v>
      </c>
      <c r="F4208" t="s">
        <v>31</v>
      </c>
      <c r="G4208" t="s">
        <v>2876</v>
      </c>
      <c r="H4208" t="s">
        <v>18</v>
      </c>
      <c r="I4208" s="26" t="s">
        <v>747</v>
      </c>
    </row>
    <row r="4209" spans="1:9" x14ac:dyDescent="0.3">
      <c r="A4209" s="24">
        <v>45378</v>
      </c>
      <c r="B4209" t="s">
        <v>134</v>
      </c>
      <c r="C4209" t="s">
        <v>29</v>
      </c>
      <c r="D4209">
        <v>1.97</v>
      </c>
      <c r="E4209" t="s">
        <v>137</v>
      </c>
      <c r="F4209" t="s">
        <v>31</v>
      </c>
      <c r="G4209" t="s">
        <v>2877</v>
      </c>
      <c r="H4209" t="s">
        <v>18</v>
      </c>
      <c r="I4209" s="26" t="s">
        <v>747</v>
      </c>
    </row>
    <row r="4210" spans="1:9" x14ac:dyDescent="0.3">
      <c r="A4210" s="24">
        <v>45378</v>
      </c>
      <c r="B4210" t="s">
        <v>134</v>
      </c>
      <c r="C4210" t="s">
        <v>29</v>
      </c>
      <c r="D4210">
        <v>2.37</v>
      </c>
      <c r="E4210" t="s">
        <v>420</v>
      </c>
      <c r="F4210" t="s">
        <v>31</v>
      </c>
      <c r="G4210" t="s">
        <v>2878</v>
      </c>
      <c r="H4210" t="s">
        <v>18</v>
      </c>
      <c r="I4210" s="26" t="s">
        <v>747</v>
      </c>
    </row>
    <row r="4211" spans="1:9" x14ac:dyDescent="0.3">
      <c r="A4211" s="24">
        <v>45378</v>
      </c>
      <c r="B4211" t="s">
        <v>134</v>
      </c>
      <c r="C4211" t="s">
        <v>142</v>
      </c>
      <c r="D4211">
        <v>1.37</v>
      </c>
      <c r="E4211" t="s">
        <v>143</v>
      </c>
      <c r="F4211" t="s">
        <v>31</v>
      </c>
      <c r="G4211" t="s">
        <v>2879</v>
      </c>
      <c r="H4211" t="s">
        <v>18</v>
      </c>
      <c r="I4211" s="26" t="s">
        <v>747</v>
      </c>
    </row>
    <row r="4212" spans="1:9" x14ac:dyDescent="0.3">
      <c r="A4212" s="24">
        <v>45378</v>
      </c>
      <c r="B4212" t="s">
        <v>150</v>
      </c>
      <c r="C4212" t="s">
        <v>29</v>
      </c>
      <c r="D4212">
        <v>0.32</v>
      </c>
      <c r="E4212" t="s">
        <v>151</v>
      </c>
      <c r="F4212" t="s">
        <v>55</v>
      </c>
      <c r="G4212" t="s">
        <v>2880</v>
      </c>
      <c r="H4212" t="s">
        <v>18</v>
      </c>
      <c r="I4212" s="26" t="s">
        <v>747</v>
      </c>
    </row>
    <row r="4213" spans="1:9" x14ac:dyDescent="0.3">
      <c r="A4213" s="24">
        <v>45378</v>
      </c>
      <c r="B4213" t="s">
        <v>150</v>
      </c>
      <c r="C4213" t="s">
        <v>29</v>
      </c>
      <c r="D4213">
        <v>0.92</v>
      </c>
      <c r="E4213" t="s">
        <v>437</v>
      </c>
      <c r="F4213" t="s">
        <v>31</v>
      </c>
      <c r="G4213" t="s">
        <v>617</v>
      </c>
      <c r="H4213" t="s">
        <v>18</v>
      </c>
      <c r="I4213" s="26" t="s">
        <v>747</v>
      </c>
    </row>
    <row r="4214" spans="1:9" x14ac:dyDescent="0.3">
      <c r="A4214" s="24">
        <v>45378</v>
      </c>
      <c r="B4214" t="s">
        <v>150</v>
      </c>
      <c r="C4214" t="s">
        <v>29</v>
      </c>
      <c r="D4214">
        <v>1.18</v>
      </c>
      <c r="E4214" t="s">
        <v>114</v>
      </c>
      <c r="F4214" t="s">
        <v>31</v>
      </c>
      <c r="G4214" t="s">
        <v>2881</v>
      </c>
      <c r="H4214" t="s">
        <v>18</v>
      </c>
      <c r="I4214" s="26" t="s">
        <v>747</v>
      </c>
    </row>
    <row r="4215" spans="1:9" x14ac:dyDescent="0.3">
      <c r="A4215" s="24">
        <v>45378</v>
      </c>
      <c r="B4215" t="s">
        <v>150</v>
      </c>
      <c r="C4215" t="s">
        <v>85</v>
      </c>
      <c r="D4215">
        <v>0.32</v>
      </c>
      <c r="E4215" t="s">
        <v>437</v>
      </c>
      <c r="F4215" t="s">
        <v>55</v>
      </c>
      <c r="G4215" t="s">
        <v>2882</v>
      </c>
      <c r="H4215" t="s">
        <v>18</v>
      </c>
      <c r="I4215" s="26" t="s">
        <v>747</v>
      </c>
    </row>
    <row r="4216" spans="1:9" x14ac:dyDescent="0.3">
      <c r="A4216" s="24">
        <v>45378</v>
      </c>
      <c r="B4216" t="s">
        <v>150</v>
      </c>
      <c r="C4216" t="s">
        <v>53</v>
      </c>
      <c r="D4216">
        <v>0.25</v>
      </c>
      <c r="E4216" t="s">
        <v>54</v>
      </c>
      <c r="F4216" t="s">
        <v>55</v>
      </c>
      <c r="G4216" t="s">
        <v>158</v>
      </c>
      <c r="H4216" t="s">
        <v>18</v>
      </c>
      <c r="I4216" s="26" t="s">
        <v>747</v>
      </c>
    </row>
    <row r="4217" spans="1:9" x14ac:dyDescent="0.3">
      <c r="A4217" s="24">
        <v>45378</v>
      </c>
      <c r="B4217" t="s">
        <v>150</v>
      </c>
      <c r="C4217" t="s">
        <v>58</v>
      </c>
      <c r="D4217">
        <v>1.67</v>
      </c>
      <c r="E4217" t="s">
        <v>54</v>
      </c>
      <c r="F4217" t="s">
        <v>55</v>
      </c>
      <c r="G4217" t="s">
        <v>2883</v>
      </c>
      <c r="H4217" t="s">
        <v>18</v>
      </c>
      <c r="I4217" s="26" t="s">
        <v>747</v>
      </c>
    </row>
    <row r="4218" spans="1:9" x14ac:dyDescent="0.3">
      <c r="A4218" s="24">
        <v>45378</v>
      </c>
      <c r="B4218" t="s">
        <v>150</v>
      </c>
      <c r="C4218" t="s">
        <v>60</v>
      </c>
      <c r="D4218">
        <v>0.25</v>
      </c>
      <c r="E4218" t="s">
        <v>156</v>
      </c>
      <c r="F4218" t="s">
        <v>31</v>
      </c>
      <c r="G4218" t="s">
        <v>2884</v>
      </c>
      <c r="H4218" t="s">
        <v>18</v>
      </c>
      <c r="I4218" s="26" t="s">
        <v>747</v>
      </c>
    </row>
    <row r="4219" spans="1:9" x14ac:dyDescent="0.3">
      <c r="A4219" s="24">
        <v>45378</v>
      </c>
      <c r="B4219" t="s">
        <v>150</v>
      </c>
      <c r="C4219" t="s">
        <v>60</v>
      </c>
      <c r="D4219">
        <v>0.45</v>
      </c>
      <c r="E4219" t="s">
        <v>162</v>
      </c>
      <c r="F4219" t="s">
        <v>31</v>
      </c>
      <c r="G4219" t="s">
        <v>2885</v>
      </c>
      <c r="H4219" t="s">
        <v>18</v>
      </c>
      <c r="I4219" s="26" t="s">
        <v>747</v>
      </c>
    </row>
    <row r="4220" spans="1:9" x14ac:dyDescent="0.3">
      <c r="A4220" s="24">
        <v>45378</v>
      </c>
      <c r="B4220" t="s">
        <v>150</v>
      </c>
      <c r="C4220" t="s">
        <v>60</v>
      </c>
      <c r="D4220">
        <v>0.6</v>
      </c>
      <c r="E4220" t="s">
        <v>162</v>
      </c>
      <c r="F4220" t="s">
        <v>31</v>
      </c>
      <c r="G4220" t="s">
        <v>2886</v>
      </c>
      <c r="H4220" t="s">
        <v>18</v>
      </c>
      <c r="I4220" s="26" t="s">
        <v>747</v>
      </c>
    </row>
    <row r="4221" spans="1:9" x14ac:dyDescent="0.3">
      <c r="A4221" s="24">
        <v>45378</v>
      </c>
      <c r="B4221" t="s">
        <v>150</v>
      </c>
      <c r="C4221" t="s">
        <v>60</v>
      </c>
      <c r="D4221">
        <v>2.7</v>
      </c>
      <c r="E4221" t="s">
        <v>156</v>
      </c>
      <c r="F4221" t="s">
        <v>31</v>
      </c>
      <c r="G4221" t="s">
        <v>624</v>
      </c>
      <c r="H4221" t="s">
        <v>18</v>
      </c>
      <c r="I4221" s="26" t="s">
        <v>747</v>
      </c>
    </row>
    <row r="4222" spans="1:9" x14ac:dyDescent="0.3">
      <c r="A4222" s="24">
        <v>45378</v>
      </c>
      <c r="B4222" t="s">
        <v>164</v>
      </c>
      <c r="C4222" t="s">
        <v>73</v>
      </c>
      <c r="D4222">
        <v>8</v>
      </c>
      <c r="E4222" t="s">
        <v>54</v>
      </c>
      <c r="F4222" t="s">
        <v>55</v>
      </c>
      <c r="H4222" t="s">
        <v>18</v>
      </c>
      <c r="I4222" s="26" t="s">
        <v>747</v>
      </c>
    </row>
    <row r="4223" spans="1:9" x14ac:dyDescent="0.3">
      <c r="A4223" s="24">
        <v>45378</v>
      </c>
      <c r="B4223" t="s">
        <v>169</v>
      </c>
      <c r="C4223" t="s">
        <v>29</v>
      </c>
      <c r="D4223">
        <v>1.28</v>
      </c>
      <c r="E4223" t="s">
        <v>170</v>
      </c>
      <c r="F4223" t="s">
        <v>31</v>
      </c>
      <c r="H4223" t="s">
        <v>18</v>
      </c>
      <c r="I4223" s="26" t="s">
        <v>747</v>
      </c>
    </row>
    <row r="4224" spans="1:9" x14ac:dyDescent="0.3">
      <c r="A4224" s="24">
        <v>45378</v>
      </c>
      <c r="B4224" t="s">
        <v>169</v>
      </c>
      <c r="C4224" t="s">
        <v>58</v>
      </c>
      <c r="D4224">
        <v>0.6</v>
      </c>
      <c r="E4224" t="s">
        <v>54</v>
      </c>
      <c r="F4224" t="s">
        <v>55</v>
      </c>
      <c r="G4224" t="s">
        <v>171</v>
      </c>
      <c r="H4224" t="s">
        <v>18</v>
      </c>
      <c r="I4224" s="26" t="s">
        <v>747</v>
      </c>
    </row>
    <row r="4225" spans="1:9" x14ac:dyDescent="0.3">
      <c r="A4225" s="24">
        <v>45378</v>
      </c>
      <c r="B4225" t="s">
        <v>169</v>
      </c>
      <c r="C4225" t="s">
        <v>60</v>
      </c>
      <c r="D4225">
        <v>6.18</v>
      </c>
      <c r="E4225" t="s">
        <v>35</v>
      </c>
      <c r="F4225" t="s">
        <v>31</v>
      </c>
      <c r="H4225" t="s">
        <v>18</v>
      </c>
      <c r="I4225" s="26" t="s">
        <v>747</v>
      </c>
    </row>
    <row r="4226" spans="1:9" x14ac:dyDescent="0.3">
      <c r="A4226" s="24">
        <v>45378</v>
      </c>
      <c r="B4226" t="s">
        <v>175</v>
      </c>
      <c r="C4226" t="s">
        <v>29</v>
      </c>
      <c r="D4226">
        <v>0.5</v>
      </c>
      <c r="E4226" t="s">
        <v>182</v>
      </c>
      <c r="F4226" t="s">
        <v>31</v>
      </c>
      <c r="G4226" t="s">
        <v>2887</v>
      </c>
      <c r="H4226" t="s">
        <v>18</v>
      </c>
      <c r="I4226" s="26" t="s">
        <v>747</v>
      </c>
    </row>
    <row r="4227" spans="1:9" x14ac:dyDescent="0.3">
      <c r="A4227" s="24">
        <v>45378</v>
      </c>
      <c r="B4227" t="s">
        <v>175</v>
      </c>
      <c r="C4227" t="s">
        <v>29</v>
      </c>
      <c r="D4227">
        <v>1</v>
      </c>
      <c r="E4227" t="s">
        <v>170</v>
      </c>
      <c r="F4227" t="s">
        <v>31</v>
      </c>
      <c r="G4227" t="s">
        <v>949</v>
      </c>
      <c r="H4227" t="s">
        <v>18</v>
      </c>
      <c r="I4227" s="26" t="s">
        <v>747</v>
      </c>
    </row>
    <row r="4228" spans="1:9" x14ac:dyDescent="0.3">
      <c r="A4228" s="24">
        <v>45378</v>
      </c>
      <c r="B4228" t="s">
        <v>175</v>
      </c>
      <c r="C4228" t="s">
        <v>29</v>
      </c>
      <c r="D4228">
        <v>2.25</v>
      </c>
      <c r="E4228" t="s">
        <v>182</v>
      </c>
      <c r="F4228" t="s">
        <v>31</v>
      </c>
      <c r="G4228" t="s">
        <v>2888</v>
      </c>
      <c r="H4228" t="s">
        <v>18</v>
      </c>
      <c r="I4228" s="26" t="s">
        <v>747</v>
      </c>
    </row>
    <row r="4229" spans="1:9" x14ac:dyDescent="0.3">
      <c r="A4229" s="24">
        <v>45378</v>
      </c>
      <c r="B4229" t="s">
        <v>175</v>
      </c>
      <c r="C4229" t="s">
        <v>29</v>
      </c>
      <c r="D4229">
        <v>2.87</v>
      </c>
      <c r="E4229" t="s">
        <v>127</v>
      </c>
      <c r="F4229" t="s">
        <v>31</v>
      </c>
      <c r="H4229" t="s">
        <v>18</v>
      </c>
      <c r="I4229" s="26" t="s">
        <v>747</v>
      </c>
    </row>
    <row r="4230" spans="1:9" x14ac:dyDescent="0.3">
      <c r="A4230" s="24">
        <v>45378</v>
      </c>
      <c r="B4230" t="s">
        <v>175</v>
      </c>
      <c r="C4230" t="s">
        <v>53</v>
      </c>
      <c r="D4230">
        <v>0.03</v>
      </c>
      <c r="E4230" t="s">
        <v>54</v>
      </c>
      <c r="F4230" t="s">
        <v>55</v>
      </c>
      <c r="H4230" t="s">
        <v>18</v>
      </c>
      <c r="I4230" s="26" t="s">
        <v>747</v>
      </c>
    </row>
    <row r="4231" spans="1:9" x14ac:dyDescent="0.3">
      <c r="A4231" s="24">
        <v>45378</v>
      </c>
      <c r="B4231" t="s">
        <v>175</v>
      </c>
      <c r="C4231" t="s">
        <v>58</v>
      </c>
      <c r="D4231">
        <v>0.65</v>
      </c>
      <c r="E4231" t="s">
        <v>54</v>
      </c>
      <c r="F4231" t="s">
        <v>55</v>
      </c>
      <c r="G4231" t="s">
        <v>2889</v>
      </c>
      <c r="H4231" t="s">
        <v>18</v>
      </c>
      <c r="I4231" s="26" t="s">
        <v>747</v>
      </c>
    </row>
    <row r="4232" spans="1:9" x14ac:dyDescent="0.3">
      <c r="A4232" s="24">
        <v>45378</v>
      </c>
      <c r="B4232" t="s">
        <v>175</v>
      </c>
      <c r="C4232" t="s">
        <v>60</v>
      </c>
      <c r="D4232">
        <v>0.7</v>
      </c>
      <c r="E4232" t="s">
        <v>182</v>
      </c>
      <c r="F4232" t="s">
        <v>31</v>
      </c>
      <c r="H4232" t="s">
        <v>18</v>
      </c>
      <c r="I4232" s="26" t="s">
        <v>747</v>
      </c>
    </row>
    <row r="4233" spans="1:9" x14ac:dyDescent="0.3">
      <c r="A4233" s="24">
        <v>45378</v>
      </c>
      <c r="B4233" t="s">
        <v>188</v>
      </c>
      <c r="C4233" t="s">
        <v>454</v>
      </c>
      <c r="D4233">
        <v>8</v>
      </c>
      <c r="E4233" t="s">
        <v>54</v>
      </c>
      <c r="F4233" t="s">
        <v>55</v>
      </c>
      <c r="G4233" t="s">
        <v>2015</v>
      </c>
      <c r="H4233" t="s">
        <v>18</v>
      </c>
      <c r="I4233" s="26" t="s">
        <v>747</v>
      </c>
    </row>
    <row r="4234" spans="1:9" x14ac:dyDescent="0.3">
      <c r="A4234" s="24">
        <v>45378</v>
      </c>
      <c r="B4234" t="s">
        <v>190</v>
      </c>
      <c r="C4234" t="s">
        <v>950</v>
      </c>
      <c r="D4234">
        <v>8</v>
      </c>
      <c r="E4234" t="s">
        <v>54</v>
      </c>
      <c r="F4234" t="s">
        <v>55</v>
      </c>
      <c r="H4234" t="s">
        <v>18</v>
      </c>
      <c r="I4234" s="26" t="s">
        <v>747</v>
      </c>
    </row>
    <row r="4235" spans="1:9" x14ac:dyDescent="0.3">
      <c r="A4235" s="24">
        <v>45378</v>
      </c>
      <c r="B4235" t="s">
        <v>191</v>
      </c>
      <c r="C4235" t="s">
        <v>89</v>
      </c>
      <c r="D4235">
        <v>8</v>
      </c>
      <c r="E4235" t="s">
        <v>54</v>
      </c>
      <c r="F4235" t="s">
        <v>55</v>
      </c>
      <c r="G4235" t="s">
        <v>2666</v>
      </c>
      <c r="H4235" t="s">
        <v>18</v>
      </c>
      <c r="I4235" s="26" t="s">
        <v>747</v>
      </c>
    </row>
    <row r="4236" spans="1:9" x14ac:dyDescent="0.3">
      <c r="A4236" s="24">
        <v>45378</v>
      </c>
      <c r="B4236" t="s">
        <v>193</v>
      </c>
      <c r="C4236" t="s">
        <v>53</v>
      </c>
      <c r="D4236">
        <v>0.33</v>
      </c>
      <c r="E4236" t="s">
        <v>54</v>
      </c>
      <c r="F4236" t="s">
        <v>55</v>
      </c>
      <c r="G4236" t="s">
        <v>2890</v>
      </c>
      <c r="H4236" t="s">
        <v>18</v>
      </c>
      <c r="I4236" s="26" t="s">
        <v>747</v>
      </c>
    </row>
    <row r="4237" spans="1:9" x14ac:dyDescent="0.3">
      <c r="A4237" s="24">
        <v>45378</v>
      </c>
      <c r="B4237" t="s">
        <v>193</v>
      </c>
      <c r="C4237" t="s">
        <v>53</v>
      </c>
      <c r="D4237">
        <v>1.05</v>
      </c>
      <c r="E4237" t="s">
        <v>54</v>
      </c>
      <c r="F4237" t="s">
        <v>55</v>
      </c>
      <c r="G4237" t="s">
        <v>2891</v>
      </c>
      <c r="H4237" t="s">
        <v>18</v>
      </c>
      <c r="I4237" s="26" t="s">
        <v>747</v>
      </c>
    </row>
    <row r="4238" spans="1:9" x14ac:dyDescent="0.3">
      <c r="A4238" s="24">
        <v>45378</v>
      </c>
      <c r="B4238" t="s">
        <v>193</v>
      </c>
      <c r="C4238" t="s">
        <v>60</v>
      </c>
      <c r="D4238">
        <v>0.25</v>
      </c>
      <c r="E4238" t="s">
        <v>1246</v>
      </c>
      <c r="F4238" t="s">
        <v>31</v>
      </c>
      <c r="G4238" t="s">
        <v>2892</v>
      </c>
      <c r="H4238" t="s">
        <v>18</v>
      </c>
      <c r="I4238" s="26" t="s">
        <v>747</v>
      </c>
    </row>
    <row r="4239" spans="1:9" x14ac:dyDescent="0.3">
      <c r="A4239" s="24">
        <v>45378</v>
      </c>
      <c r="B4239" t="s">
        <v>193</v>
      </c>
      <c r="C4239" t="s">
        <v>60</v>
      </c>
      <c r="D4239">
        <v>0.55000000000000004</v>
      </c>
      <c r="E4239" t="s">
        <v>162</v>
      </c>
      <c r="F4239" t="s">
        <v>31</v>
      </c>
      <c r="G4239" t="s">
        <v>2893</v>
      </c>
      <c r="H4239" t="s">
        <v>18</v>
      </c>
      <c r="I4239" s="26" t="s">
        <v>747</v>
      </c>
    </row>
    <row r="4240" spans="1:9" x14ac:dyDescent="0.3">
      <c r="A4240" s="24">
        <v>45378</v>
      </c>
      <c r="B4240" t="s">
        <v>193</v>
      </c>
      <c r="C4240" t="s">
        <v>60</v>
      </c>
      <c r="D4240">
        <v>1.58</v>
      </c>
      <c r="E4240" t="s">
        <v>1246</v>
      </c>
      <c r="F4240" t="s">
        <v>31</v>
      </c>
      <c r="G4240" t="s">
        <v>2894</v>
      </c>
      <c r="H4240" t="s">
        <v>18</v>
      </c>
      <c r="I4240" s="26" t="s">
        <v>747</v>
      </c>
    </row>
    <row r="4241" spans="1:9" x14ac:dyDescent="0.3">
      <c r="A4241" s="24">
        <v>45378</v>
      </c>
      <c r="B4241" t="s">
        <v>193</v>
      </c>
      <c r="C4241" t="s">
        <v>60</v>
      </c>
      <c r="D4241">
        <v>2.5499999999999998</v>
      </c>
      <c r="E4241" t="s">
        <v>162</v>
      </c>
      <c r="F4241" t="s">
        <v>31</v>
      </c>
      <c r="G4241" t="s">
        <v>2895</v>
      </c>
      <c r="H4241" t="s">
        <v>18</v>
      </c>
      <c r="I4241" s="26" t="s">
        <v>747</v>
      </c>
    </row>
    <row r="4242" spans="1:9" x14ac:dyDescent="0.3">
      <c r="A4242" s="24">
        <v>45378</v>
      </c>
      <c r="B4242" t="s">
        <v>212</v>
      </c>
      <c r="C4242" t="s">
        <v>73</v>
      </c>
      <c r="D4242">
        <v>8</v>
      </c>
      <c r="E4242" t="s">
        <v>54</v>
      </c>
      <c r="F4242" t="s">
        <v>55</v>
      </c>
      <c r="H4242" t="s">
        <v>18</v>
      </c>
      <c r="I4242" s="26" t="s">
        <v>747</v>
      </c>
    </row>
    <row r="4243" spans="1:9" x14ac:dyDescent="0.3">
      <c r="A4243" s="24">
        <v>45378</v>
      </c>
      <c r="B4243" t="s">
        <v>498</v>
      </c>
      <c r="C4243" t="s">
        <v>123</v>
      </c>
      <c r="D4243">
        <v>2</v>
      </c>
      <c r="E4243" t="s">
        <v>54</v>
      </c>
      <c r="F4243" t="s">
        <v>55</v>
      </c>
      <c r="G4243" t="s">
        <v>2896</v>
      </c>
      <c r="H4243" t="s">
        <v>18</v>
      </c>
      <c r="I4243" s="26" t="s">
        <v>747</v>
      </c>
    </row>
    <row r="4244" spans="1:9" x14ac:dyDescent="0.3">
      <c r="A4244" s="24">
        <v>45378</v>
      </c>
      <c r="B4244" t="s">
        <v>498</v>
      </c>
      <c r="C4244" t="s">
        <v>173</v>
      </c>
      <c r="D4244">
        <v>6</v>
      </c>
      <c r="E4244" t="s">
        <v>49</v>
      </c>
      <c r="F4244" t="s">
        <v>31</v>
      </c>
      <c r="G4244" t="s">
        <v>2897</v>
      </c>
      <c r="H4244" t="s">
        <v>18</v>
      </c>
      <c r="I4244" s="26" t="s">
        <v>747</v>
      </c>
    </row>
    <row r="4245" spans="1:9" x14ac:dyDescent="0.3">
      <c r="A4245" s="24">
        <v>45378</v>
      </c>
      <c r="B4245" t="s">
        <v>240</v>
      </c>
      <c r="C4245" t="s">
        <v>442</v>
      </c>
      <c r="D4245">
        <v>8</v>
      </c>
      <c r="E4245" t="s">
        <v>54</v>
      </c>
      <c r="F4245" t="s">
        <v>55</v>
      </c>
      <c r="G4245" t="s">
        <v>2898</v>
      </c>
      <c r="H4245" t="s">
        <v>18</v>
      </c>
      <c r="I4245" s="26" t="s">
        <v>747</v>
      </c>
    </row>
    <row r="4246" spans="1:9" x14ac:dyDescent="0.3">
      <c r="A4246" s="24">
        <v>45378</v>
      </c>
      <c r="B4246" t="s">
        <v>249</v>
      </c>
      <c r="C4246" t="s">
        <v>250</v>
      </c>
      <c r="D4246">
        <v>1.5</v>
      </c>
      <c r="E4246" t="s">
        <v>81</v>
      </c>
      <c r="F4246" t="s">
        <v>55</v>
      </c>
      <c r="G4246" t="s">
        <v>1609</v>
      </c>
      <c r="H4246" t="s">
        <v>18</v>
      </c>
      <c r="I4246" s="26" t="s">
        <v>747</v>
      </c>
    </row>
    <row r="4247" spans="1:9" x14ac:dyDescent="0.3">
      <c r="A4247" s="24">
        <v>45378</v>
      </c>
      <c r="B4247" t="s">
        <v>249</v>
      </c>
      <c r="C4247" t="s">
        <v>252</v>
      </c>
      <c r="D4247">
        <v>2</v>
      </c>
      <c r="E4247" t="s">
        <v>81</v>
      </c>
      <c r="F4247" t="s">
        <v>31</v>
      </c>
      <c r="H4247" t="s">
        <v>18</v>
      </c>
      <c r="I4247" s="26" t="s">
        <v>747</v>
      </c>
    </row>
    <row r="4248" spans="1:9" x14ac:dyDescent="0.3">
      <c r="A4248" s="24">
        <v>45378</v>
      </c>
      <c r="B4248" t="s">
        <v>249</v>
      </c>
      <c r="C4248" t="s">
        <v>252</v>
      </c>
      <c r="D4248">
        <v>4</v>
      </c>
      <c r="E4248" t="s">
        <v>54</v>
      </c>
      <c r="F4248" t="s">
        <v>31</v>
      </c>
      <c r="H4248" t="s">
        <v>18</v>
      </c>
      <c r="I4248" s="26" t="s">
        <v>747</v>
      </c>
    </row>
    <row r="4249" spans="1:9" x14ac:dyDescent="0.3">
      <c r="A4249" s="24">
        <v>45378</v>
      </c>
      <c r="B4249" t="s">
        <v>249</v>
      </c>
      <c r="C4249" t="s">
        <v>53</v>
      </c>
      <c r="D4249">
        <v>0.5</v>
      </c>
      <c r="E4249" t="s">
        <v>54</v>
      </c>
      <c r="F4249" t="s">
        <v>55</v>
      </c>
      <c r="G4249" t="s">
        <v>110</v>
      </c>
      <c r="H4249" t="s">
        <v>18</v>
      </c>
      <c r="I4249" s="26" t="s">
        <v>747</v>
      </c>
    </row>
    <row r="4250" spans="1:9" x14ac:dyDescent="0.3">
      <c r="A4250" s="24">
        <v>45378</v>
      </c>
      <c r="B4250" t="s">
        <v>262</v>
      </c>
      <c r="C4250" t="s">
        <v>29</v>
      </c>
      <c r="D4250">
        <v>1.27</v>
      </c>
      <c r="E4250" t="s">
        <v>263</v>
      </c>
      <c r="F4250" t="s">
        <v>31</v>
      </c>
      <c r="G4250" t="s">
        <v>2899</v>
      </c>
      <c r="H4250" t="s">
        <v>18</v>
      </c>
      <c r="I4250" s="26" t="s">
        <v>747</v>
      </c>
    </row>
    <row r="4251" spans="1:9" x14ac:dyDescent="0.3">
      <c r="A4251" s="24">
        <v>45378</v>
      </c>
      <c r="B4251" t="s">
        <v>262</v>
      </c>
      <c r="C4251" t="s">
        <v>29</v>
      </c>
      <c r="D4251">
        <v>1.33</v>
      </c>
      <c r="E4251" t="s">
        <v>263</v>
      </c>
      <c r="F4251" t="s">
        <v>31</v>
      </c>
      <c r="G4251" t="s">
        <v>2900</v>
      </c>
      <c r="H4251" t="s">
        <v>18</v>
      </c>
      <c r="I4251" s="26" t="s">
        <v>747</v>
      </c>
    </row>
    <row r="4252" spans="1:9" x14ac:dyDescent="0.3">
      <c r="A4252" s="24">
        <v>45378</v>
      </c>
      <c r="B4252" t="s">
        <v>262</v>
      </c>
      <c r="C4252" t="s">
        <v>29</v>
      </c>
      <c r="D4252">
        <v>3.98</v>
      </c>
      <c r="E4252" t="s">
        <v>263</v>
      </c>
      <c r="F4252" t="s">
        <v>31</v>
      </c>
      <c r="G4252" t="s">
        <v>2901</v>
      </c>
      <c r="H4252" t="s">
        <v>18</v>
      </c>
      <c r="I4252" s="26" t="s">
        <v>747</v>
      </c>
    </row>
    <row r="4253" spans="1:9" x14ac:dyDescent="0.3">
      <c r="A4253" s="24">
        <v>45378</v>
      </c>
      <c r="B4253" t="s">
        <v>262</v>
      </c>
      <c r="C4253" t="s">
        <v>53</v>
      </c>
      <c r="D4253">
        <v>0.5</v>
      </c>
      <c r="E4253" t="s">
        <v>54</v>
      </c>
      <c r="F4253" t="s">
        <v>55</v>
      </c>
      <c r="G4253" t="s">
        <v>253</v>
      </c>
      <c r="H4253" t="s">
        <v>18</v>
      </c>
      <c r="I4253" s="26" t="s">
        <v>747</v>
      </c>
    </row>
    <row r="4254" spans="1:9" x14ac:dyDescent="0.3">
      <c r="A4254" s="24">
        <v>45378</v>
      </c>
      <c r="B4254" t="s">
        <v>262</v>
      </c>
      <c r="C4254" t="s">
        <v>58</v>
      </c>
      <c r="D4254">
        <v>0.68</v>
      </c>
      <c r="E4254" t="s">
        <v>54</v>
      </c>
      <c r="F4254" t="s">
        <v>55</v>
      </c>
      <c r="G4254" t="s">
        <v>2902</v>
      </c>
      <c r="H4254" t="s">
        <v>18</v>
      </c>
      <c r="I4254" s="26" t="s">
        <v>747</v>
      </c>
    </row>
    <row r="4255" spans="1:9" x14ac:dyDescent="0.3">
      <c r="A4255" s="24">
        <v>45378</v>
      </c>
      <c r="B4255" t="s">
        <v>262</v>
      </c>
      <c r="C4255" t="s">
        <v>60</v>
      </c>
      <c r="D4255">
        <v>0.23</v>
      </c>
      <c r="E4255" t="s">
        <v>139</v>
      </c>
      <c r="F4255" t="s">
        <v>55</v>
      </c>
      <c r="G4255" t="s">
        <v>2903</v>
      </c>
      <c r="H4255" t="s">
        <v>18</v>
      </c>
      <c r="I4255" s="26" t="s">
        <v>747</v>
      </c>
    </row>
    <row r="4256" spans="1:9" x14ac:dyDescent="0.3">
      <c r="A4256" s="24">
        <v>45378</v>
      </c>
      <c r="B4256" t="s">
        <v>266</v>
      </c>
      <c r="C4256" t="s">
        <v>267</v>
      </c>
      <c r="D4256">
        <v>9</v>
      </c>
      <c r="E4256" t="s">
        <v>54</v>
      </c>
      <c r="F4256" t="s">
        <v>55</v>
      </c>
      <c r="G4256" t="s">
        <v>2904</v>
      </c>
      <c r="H4256" t="s">
        <v>18</v>
      </c>
      <c r="I4256" s="26" t="s">
        <v>747</v>
      </c>
    </row>
    <row r="4257" spans="1:9" x14ac:dyDescent="0.3">
      <c r="A4257" s="24">
        <v>45378</v>
      </c>
      <c r="B4257" t="s">
        <v>269</v>
      </c>
      <c r="C4257" t="s">
        <v>29</v>
      </c>
      <c r="D4257">
        <v>0.38</v>
      </c>
      <c r="E4257" t="s">
        <v>116</v>
      </c>
      <c r="F4257" t="s">
        <v>31</v>
      </c>
      <c r="G4257" t="s">
        <v>2905</v>
      </c>
      <c r="H4257" t="s">
        <v>18</v>
      </c>
      <c r="I4257" s="26" t="s">
        <v>747</v>
      </c>
    </row>
    <row r="4258" spans="1:9" x14ac:dyDescent="0.3">
      <c r="A4258" s="24">
        <v>45378</v>
      </c>
      <c r="B4258" t="s">
        <v>269</v>
      </c>
      <c r="C4258" t="s">
        <v>29</v>
      </c>
      <c r="D4258">
        <v>3.38</v>
      </c>
      <c r="E4258" t="s">
        <v>42</v>
      </c>
      <c r="F4258" t="s">
        <v>55</v>
      </c>
      <c r="G4258" t="s">
        <v>2906</v>
      </c>
      <c r="H4258" t="s">
        <v>18</v>
      </c>
      <c r="I4258" s="26" t="s">
        <v>747</v>
      </c>
    </row>
    <row r="4259" spans="1:9" x14ac:dyDescent="0.3">
      <c r="A4259" s="24">
        <v>45378</v>
      </c>
      <c r="B4259" t="s">
        <v>269</v>
      </c>
      <c r="C4259" t="s">
        <v>29</v>
      </c>
      <c r="D4259">
        <v>4.12</v>
      </c>
      <c r="E4259" t="s">
        <v>271</v>
      </c>
      <c r="F4259" t="s">
        <v>31</v>
      </c>
      <c r="G4259" t="s">
        <v>2907</v>
      </c>
      <c r="H4259" t="s">
        <v>18</v>
      </c>
      <c r="I4259" s="26" t="s">
        <v>747</v>
      </c>
    </row>
    <row r="4260" spans="1:9" x14ac:dyDescent="0.3">
      <c r="A4260" s="24">
        <v>45378</v>
      </c>
      <c r="B4260" t="s">
        <v>269</v>
      </c>
      <c r="C4260" t="s">
        <v>58</v>
      </c>
      <c r="D4260">
        <v>0.25</v>
      </c>
      <c r="E4260" t="s">
        <v>54</v>
      </c>
      <c r="F4260" t="s">
        <v>55</v>
      </c>
      <c r="G4260" t="s">
        <v>2908</v>
      </c>
      <c r="H4260" t="s">
        <v>18</v>
      </c>
      <c r="I4260" s="26" t="s">
        <v>747</v>
      </c>
    </row>
    <row r="4261" spans="1:9" x14ac:dyDescent="0.3">
      <c r="A4261" s="24">
        <v>45378</v>
      </c>
      <c r="B4261" t="s">
        <v>278</v>
      </c>
      <c r="C4261" t="s">
        <v>73</v>
      </c>
      <c r="D4261">
        <v>8</v>
      </c>
      <c r="E4261" t="s">
        <v>54</v>
      </c>
      <c r="F4261" t="s">
        <v>55</v>
      </c>
      <c r="G4261" t="s">
        <v>1923</v>
      </c>
      <c r="H4261" t="s">
        <v>18</v>
      </c>
      <c r="I4261" s="26" t="s">
        <v>747</v>
      </c>
    </row>
    <row r="4262" spans="1:9" x14ac:dyDescent="0.3">
      <c r="A4262" s="24">
        <v>45378</v>
      </c>
      <c r="B4262" t="s">
        <v>278</v>
      </c>
      <c r="C4262" t="s">
        <v>29</v>
      </c>
      <c r="D4262">
        <v>0.13</v>
      </c>
      <c r="E4262" t="s">
        <v>54</v>
      </c>
      <c r="F4262" t="s">
        <v>55</v>
      </c>
      <c r="G4262" t="s">
        <v>2909</v>
      </c>
      <c r="H4262" t="s">
        <v>18</v>
      </c>
      <c r="I4262" s="26" t="s">
        <v>747</v>
      </c>
    </row>
    <row r="4263" spans="1:9" x14ac:dyDescent="0.3">
      <c r="A4263" s="24">
        <v>45378</v>
      </c>
      <c r="B4263" t="s">
        <v>286</v>
      </c>
      <c r="C4263" t="s">
        <v>287</v>
      </c>
      <c r="D4263">
        <v>10</v>
      </c>
      <c r="E4263" t="s">
        <v>54</v>
      </c>
      <c r="F4263" t="s">
        <v>55</v>
      </c>
      <c r="G4263" t="s">
        <v>2702</v>
      </c>
      <c r="H4263" t="s">
        <v>18</v>
      </c>
      <c r="I4263" s="26" t="s">
        <v>747</v>
      </c>
    </row>
    <row r="4264" spans="1:9" x14ac:dyDescent="0.3">
      <c r="A4264" s="24">
        <v>45378</v>
      </c>
      <c r="B4264" t="s">
        <v>289</v>
      </c>
      <c r="C4264" t="s">
        <v>29</v>
      </c>
      <c r="D4264">
        <v>0.5</v>
      </c>
      <c r="E4264" t="s">
        <v>291</v>
      </c>
      <c r="F4264" t="s">
        <v>31</v>
      </c>
      <c r="G4264" t="s">
        <v>1625</v>
      </c>
      <c r="H4264" t="s">
        <v>18</v>
      </c>
      <c r="I4264" s="26" t="s">
        <v>747</v>
      </c>
    </row>
    <row r="4265" spans="1:9" x14ac:dyDescent="0.3">
      <c r="A4265" s="24">
        <v>45378</v>
      </c>
      <c r="B4265" t="s">
        <v>289</v>
      </c>
      <c r="C4265" t="s">
        <v>29</v>
      </c>
      <c r="D4265">
        <v>0.5</v>
      </c>
      <c r="E4265" t="s">
        <v>151</v>
      </c>
      <c r="F4265" t="s">
        <v>31</v>
      </c>
      <c r="H4265" t="s">
        <v>18</v>
      </c>
      <c r="I4265" s="26" t="s">
        <v>747</v>
      </c>
    </row>
    <row r="4266" spans="1:9" x14ac:dyDescent="0.3">
      <c r="A4266" s="24">
        <v>45378</v>
      </c>
      <c r="B4266" t="s">
        <v>289</v>
      </c>
      <c r="C4266" t="s">
        <v>29</v>
      </c>
      <c r="D4266">
        <v>0.5</v>
      </c>
      <c r="E4266" t="s">
        <v>226</v>
      </c>
      <c r="F4266" t="s">
        <v>31</v>
      </c>
      <c r="H4266" t="s">
        <v>18</v>
      </c>
      <c r="I4266" s="26" t="s">
        <v>747</v>
      </c>
    </row>
    <row r="4267" spans="1:9" x14ac:dyDescent="0.3">
      <c r="A4267" s="24">
        <v>45378</v>
      </c>
      <c r="B4267" t="s">
        <v>289</v>
      </c>
      <c r="C4267" t="s">
        <v>29</v>
      </c>
      <c r="D4267">
        <v>0.5</v>
      </c>
      <c r="E4267" t="s">
        <v>290</v>
      </c>
      <c r="F4267" t="s">
        <v>31</v>
      </c>
      <c r="H4267" t="s">
        <v>18</v>
      </c>
      <c r="I4267" s="26" t="s">
        <v>747</v>
      </c>
    </row>
    <row r="4268" spans="1:9" x14ac:dyDescent="0.3">
      <c r="A4268" s="24">
        <v>45378</v>
      </c>
      <c r="B4268" t="s">
        <v>289</v>
      </c>
      <c r="C4268" t="s">
        <v>29</v>
      </c>
      <c r="D4268">
        <v>3</v>
      </c>
      <c r="E4268" t="s">
        <v>49</v>
      </c>
      <c r="F4268" t="s">
        <v>31</v>
      </c>
      <c r="H4268" t="s">
        <v>18</v>
      </c>
      <c r="I4268" s="26" t="s">
        <v>747</v>
      </c>
    </row>
    <row r="4269" spans="1:9" x14ac:dyDescent="0.3">
      <c r="A4269" s="24">
        <v>45378</v>
      </c>
      <c r="B4269" t="s">
        <v>289</v>
      </c>
      <c r="C4269" t="s">
        <v>60</v>
      </c>
      <c r="D4269">
        <v>0.5</v>
      </c>
      <c r="E4269" t="s">
        <v>151</v>
      </c>
      <c r="F4269" t="s">
        <v>31</v>
      </c>
      <c r="H4269" t="s">
        <v>18</v>
      </c>
      <c r="I4269" s="26" t="s">
        <v>747</v>
      </c>
    </row>
    <row r="4270" spans="1:9" x14ac:dyDescent="0.3">
      <c r="A4270" s="24">
        <v>45378</v>
      </c>
      <c r="B4270" t="s">
        <v>294</v>
      </c>
      <c r="C4270" t="s">
        <v>202</v>
      </c>
      <c r="D4270">
        <v>0.18</v>
      </c>
      <c r="E4270" t="s">
        <v>445</v>
      </c>
      <c r="F4270" t="s">
        <v>55</v>
      </c>
      <c r="G4270" t="s">
        <v>243</v>
      </c>
      <c r="H4270" t="s">
        <v>18</v>
      </c>
      <c r="I4270" s="26" t="s">
        <v>747</v>
      </c>
    </row>
    <row r="4271" spans="1:9" x14ac:dyDescent="0.3">
      <c r="A4271" s="24">
        <v>45378</v>
      </c>
      <c r="B4271" t="s">
        <v>294</v>
      </c>
      <c r="C4271" t="s">
        <v>202</v>
      </c>
      <c r="D4271">
        <v>0.82</v>
      </c>
      <c r="E4271" t="s">
        <v>1022</v>
      </c>
      <c r="F4271" t="s">
        <v>55</v>
      </c>
      <c r="G4271" t="s">
        <v>2910</v>
      </c>
      <c r="H4271" t="s">
        <v>18</v>
      </c>
      <c r="I4271" s="26" t="s">
        <v>747</v>
      </c>
    </row>
    <row r="4272" spans="1:9" x14ac:dyDescent="0.3">
      <c r="A4272" s="24">
        <v>45378</v>
      </c>
      <c r="B4272" t="s">
        <v>294</v>
      </c>
      <c r="C4272" t="s">
        <v>202</v>
      </c>
      <c r="D4272">
        <v>2.2999999999999998</v>
      </c>
      <c r="E4272" t="s">
        <v>30</v>
      </c>
      <c r="F4272" t="s">
        <v>55</v>
      </c>
      <c r="G4272" t="s">
        <v>2911</v>
      </c>
      <c r="H4272" t="s">
        <v>18</v>
      </c>
      <c r="I4272" s="26" t="s">
        <v>747</v>
      </c>
    </row>
    <row r="4273" spans="1:9" x14ac:dyDescent="0.3">
      <c r="A4273" s="24">
        <v>45378</v>
      </c>
      <c r="B4273" t="s">
        <v>294</v>
      </c>
      <c r="C4273" t="s">
        <v>85</v>
      </c>
      <c r="D4273">
        <v>0.83</v>
      </c>
      <c r="E4273" t="s">
        <v>445</v>
      </c>
      <c r="F4273" t="s">
        <v>31</v>
      </c>
      <c r="G4273" t="s">
        <v>2912</v>
      </c>
      <c r="H4273" t="s">
        <v>18</v>
      </c>
      <c r="I4273" s="26" t="s">
        <v>747</v>
      </c>
    </row>
    <row r="4274" spans="1:9" x14ac:dyDescent="0.3">
      <c r="A4274" s="24">
        <v>45378</v>
      </c>
      <c r="B4274" t="s">
        <v>294</v>
      </c>
      <c r="C4274" t="s">
        <v>53</v>
      </c>
      <c r="D4274">
        <v>0.73</v>
      </c>
      <c r="E4274" t="s">
        <v>54</v>
      </c>
      <c r="F4274" t="s">
        <v>55</v>
      </c>
      <c r="G4274" t="s">
        <v>2343</v>
      </c>
      <c r="H4274" t="s">
        <v>18</v>
      </c>
      <c r="I4274" s="26" t="s">
        <v>747</v>
      </c>
    </row>
    <row r="4275" spans="1:9" x14ac:dyDescent="0.3">
      <c r="A4275" s="24">
        <v>45378</v>
      </c>
      <c r="B4275" t="s">
        <v>301</v>
      </c>
      <c r="C4275" t="s">
        <v>29</v>
      </c>
      <c r="D4275">
        <v>0.38</v>
      </c>
      <c r="E4275" t="s">
        <v>304</v>
      </c>
      <c r="F4275" t="s">
        <v>31</v>
      </c>
      <c r="G4275" t="s">
        <v>2913</v>
      </c>
      <c r="H4275" t="s">
        <v>18</v>
      </c>
      <c r="I4275" s="26" t="s">
        <v>747</v>
      </c>
    </row>
    <row r="4276" spans="1:9" x14ac:dyDescent="0.3">
      <c r="A4276" s="24">
        <v>45378</v>
      </c>
      <c r="B4276" t="s">
        <v>301</v>
      </c>
      <c r="C4276" t="s">
        <v>29</v>
      </c>
      <c r="D4276">
        <v>0.56999999999999995</v>
      </c>
      <c r="E4276" t="s">
        <v>156</v>
      </c>
      <c r="F4276" t="s">
        <v>31</v>
      </c>
      <c r="G4276" t="s">
        <v>2914</v>
      </c>
      <c r="H4276" t="s">
        <v>18</v>
      </c>
      <c r="I4276" s="26" t="s">
        <v>747</v>
      </c>
    </row>
    <row r="4277" spans="1:9" x14ac:dyDescent="0.3">
      <c r="A4277" s="24">
        <v>45378</v>
      </c>
      <c r="B4277" t="s">
        <v>301</v>
      </c>
      <c r="C4277" t="s">
        <v>29</v>
      </c>
      <c r="D4277">
        <v>0.88</v>
      </c>
      <c r="E4277" t="s">
        <v>304</v>
      </c>
      <c r="F4277" t="s">
        <v>31</v>
      </c>
      <c r="G4277" t="s">
        <v>2915</v>
      </c>
      <c r="H4277" t="s">
        <v>18</v>
      </c>
      <c r="I4277" s="26" t="s">
        <v>747</v>
      </c>
    </row>
    <row r="4278" spans="1:9" x14ac:dyDescent="0.3">
      <c r="A4278" s="24">
        <v>45378</v>
      </c>
      <c r="B4278" t="s">
        <v>301</v>
      </c>
      <c r="C4278" t="s">
        <v>29</v>
      </c>
      <c r="D4278">
        <v>1</v>
      </c>
      <c r="E4278" t="s">
        <v>156</v>
      </c>
      <c r="F4278" t="s">
        <v>31</v>
      </c>
      <c r="G4278" t="s">
        <v>2916</v>
      </c>
      <c r="H4278" t="s">
        <v>18</v>
      </c>
      <c r="I4278" s="26" t="s">
        <v>747</v>
      </c>
    </row>
    <row r="4279" spans="1:9" x14ac:dyDescent="0.3">
      <c r="A4279" s="24">
        <v>45378</v>
      </c>
      <c r="B4279" t="s">
        <v>301</v>
      </c>
      <c r="C4279" t="s">
        <v>29</v>
      </c>
      <c r="D4279">
        <v>1.08</v>
      </c>
      <c r="E4279" t="s">
        <v>304</v>
      </c>
      <c r="F4279" t="s">
        <v>31</v>
      </c>
      <c r="G4279" t="s">
        <v>303</v>
      </c>
      <c r="H4279" t="s">
        <v>18</v>
      </c>
      <c r="I4279" s="26" t="s">
        <v>747</v>
      </c>
    </row>
    <row r="4280" spans="1:9" x14ac:dyDescent="0.3">
      <c r="A4280" s="24">
        <v>45378</v>
      </c>
      <c r="B4280" t="s">
        <v>301</v>
      </c>
      <c r="C4280" t="s">
        <v>29</v>
      </c>
      <c r="D4280">
        <v>1.17</v>
      </c>
      <c r="E4280" t="s">
        <v>156</v>
      </c>
      <c r="F4280" t="s">
        <v>31</v>
      </c>
      <c r="G4280" t="s">
        <v>2917</v>
      </c>
      <c r="H4280" t="s">
        <v>18</v>
      </c>
      <c r="I4280" s="26" t="s">
        <v>747</v>
      </c>
    </row>
    <row r="4281" spans="1:9" x14ac:dyDescent="0.3">
      <c r="A4281" s="24">
        <v>45378</v>
      </c>
      <c r="B4281" t="s">
        <v>301</v>
      </c>
      <c r="C4281" t="s">
        <v>29</v>
      </c>
      <c r="D4281">
        <v>1.55</v>
      </c>
      <c r="E4281" t="s">
        <v>156</v>
      </c>
      <c r="F4281" t="s">
        <v>31</v>
      </c>
      <c r="G4281" t="s">
        <v>2918</v>
      </c>
      <c r="H4281" t="s">
        <v>18</v>
      </c>
      <c r="I4281" s="26" t="s">
        <v>747</v>
      </c>
    </row>
    <row r="4282" spans="1:9" x14ac:dyDescent="0.3">
      <c r="A4282" s="24">
        <v>45378</v>
      </c>
      <c r="B4282" t="s">
        <v>301</v>
      </c>
      <c r="C4282" t="s">
        <v>29</v>
      </c>
      <c r="D4282">
        <v>1.78</v>
      </c>
      <c r="E4282" t="s">
        <v>304</v>
      </c>
      <c r="F4282" t="s">
        <v>31</v>
      </c>
      <c r="G4282" t="s">
        <v>2919</v>
      </c>
      <c r="H4282" t="s">
        <v>18</v>
      </c>
      <c r="I4282" s="26" t="s">
        <v>747</v>
      </c>
    </row>
    <row r="4283" spans="1:9" x14ac:dyDescent="0.3">
      <c r="A4283" s="24">
        <v>45378</v>
      </c>
      <c r="B4283" t="s">
        <v>313</v>
      </c>
      <c r="C4283" t="s">
        <v>29</v>
      </c>
      <c r="D4283">
        <v>0.7</v>
      </c>
      <c r="E4283" t="s">
        <v>170</v>
      </c>
      <c r="F4283" t="s">
        <v>31</v>
      </c>
      <c r="H4283" t="s">
        <v>18</v>
      </c>
      <c r="I4283" s="26" t="s">
        <v>747</v>
      </c>
    </row>
    <row r="4284" spans="1:9" x14ac:dyDescent="0.3">
      <c r="A4284" s="24">
        <v>45378</v>
      </c>
      <c r="B4284" t="s">
        <v>313</v>
      </c>
      <c r="C4284" t="s">
        <v>29</v>
      </c>
      <c r="D4284">
        <v>0.82</v>
      </c>
      <c r="E4284" t="s">
        <v>91</v>
      </c>
      <c r="F4284" t="s">
        <v>31</v>
      </c>
      <c r="G4284" t="s">
        <v>617</v>
      </c>
      <c r="H4284" t="s">
        <v>18</v>
      </c>
      <c r="I4284" s="26" t="s">
        <v>747</v>
      </c>
    </row>
    <row r="4285" spans="1:9" x14ac:dyDescent="0.3">
      <c r="A4285" s="24">
        <v>45378</v>
      </c>
      <c r="B4285" t="s">
        <v>313</v>
      </c>
      <c r="C4285" t="s">
        <v>29</v>
      </c>
      <c r="D4285">
        <v>1.63</v>
      </c>
      <c r="E4285" t="s">
        <v>170</v>
      </c>
      <c r="F4285" t="s">
        <v>31</v>
      </c>
      <c r="G4285" t="s">
        <v>2920</v>
      </c>
      <c r="H4285" t="s">
        <v>18</v>
      </c>
      <c r="I4285" s="26" t="s">
        <v>747</v>
      </c>
    </row>
    <row r="4286" spans="1:9" x14ac:dyDescent="0.3">
      <c r="A4286" s="24">
        <v>45378</v>
      </c>
      <c r="B4286" t="s">
        <v>313</v>
      </c>
      <c r="C4286" t="s">
        <v>53</v>
      </c>
      <c r="D4286">
        <v>0.2</v>
      </c>
      <c r="E4286" t="s">
        <v>54</v>
      </c>
      <c r="F4286" t="s">
        <v>55</v>
      </c>
      <c r="G4286" t="s">
        <v>316</v>
      </c>
      <c r="H4286" t="s">
        <v>18</v>
      </c>
      <c r="I4286" s="26" t="s">
        <v>747</v>
      </c>
    </row>
    <row r="4287" spans="1:9" x14ac:dyDescent="0.3">
      <c r="A4287" s="24">
        <v>45378</v>
      </c>
      <c r="B4287" t="s">
        <v>313</v>
      </c>
      <c r="C4287" t="s">
        <v>159</v>
      </c>
      <c r="D4287">
        <v>0.88</v>
      </c>
      <c r="E4287" t="s">
        <v>170</v>
      </c>
      <c r="F4287" t="s">
        <v>31</v>
      </c>
      <c r="H4287" t="s">
        <v>18</v>
      </c>
      <c r="I4287" s="26" t="s">
        <v>747</v>
      </c>
    </row>
    <row r="4288" spans="1:9" x14ac:dyDescent="0.3">
      <c r="A4288" s="24">
        <v>45378</v>
      </c>
      <c r="B4288" t="s">
        <v>313</v>
      </c>
      <c r="C4288" t="s">
        <v>58</v>
      </c>
      <c r="D4288">
        <v>0.63</v>
      </c>
      <c r="E4288" t="s">
        <v>54</v>
      </c>
      <c r="F4288" t="s">
        <v>55</v>
      </c>
      <c r="G4288" t="s">
        <v>244</v>
      </c>
      <c r="H4288" t="s">
        <v>18</v>
      </c>
      <c r="I4288" s="26" t="s">
        <v>747</v>
      </c>
    </row>
    <row r="4289" spans="1:9" x14ac:dyDescent="0.3">
      <c r="A4289" s="24">
        <v>45378</v>
      </c>
      <c r="B4289" t="s">
        <v>313</v>
      </c>
      <c r="C4289" t="s">
        <v>60</v>
      </c>
      <c r="D4289">
        <v>0.37</v>
      </c>
      <c r="E4289" t="s">
        <v>35</v>
      </c>
      <c r="F4289" t="s">
        <v>31</v>
      </c>
      <c r="G4289" t="s">
        <v>2921</v>
      </c>
      <c r="H4289" t="s">
        <v>18</v>
      </c>
      <c r="I4289" s="26" t="s">
        <v>747</v>
      </c>
    </row>
    <row r="4290" spans="1:9" x14ac:dyDescent="0.3">
      <c r="A4290" s="24">
        <v>45378</v>
      </c>
      <c r="B4290" t="s">
        <v>313</v>
      </c>
      <c r="C4290" t="s">
        <v>60</v>
      </c>
      <c r="D4290">
        <v>1.42</v>
      </c>
      <c r="E4290" t="s">
        <v>162</v>
      </c>
      <c r="F4290" t="s">
        <v>31</v>
      </c>
      <c r="G4290" t="s">
        <v>2211</v>
      </c>
      <c r="H4290" t="s">
        <v>18</v>
      </c>
      <c r="I4290" s="26" t="s">
        <v>747</v>
      </c>
    </row>
    <row r="4291" spans="1:9" x14ac:dyDescent="0.3">
      <c r="A4291" s="24">
        <v>45378</v>
      </c>
      <c r="B4291" t="s">
        <v>313</v>
      </c>
      <c r="C4291" t="s">
        <v>60</v>
      </c>
      <c r="D4291">
        <v>1.45</v>
      </c>
      <c r="E4291" t="s">
        <v>91</v>
      </c>
      <c r="F4291" t="s">
        <v>31</v>
      </c>
      <c r="G4291" t="s">
        <v>2922</v>
      </c>
      <c r="H4291" t="s">
        <v>18</v>
      </c>
      <c r="I4291" s="26" t="s">
        <v>747</v>
      </c>
    </row>
    <row r="4292" spans="1:9" x14ac:dyDescent="0.3">
      <c r="A4292" s="24">
        <v>45378</v>
      </c>
      <c r="B4292" t="s">
        <v>318</v>
      </c>
      <c r="C4292" t="s">
        <v>53</v>
      </c>
      <c r="D4292">
        <v>8.1199999999999992</v>
      </c>
      <c r="E4292" t="s">
        <v>54</v>
      </c>
      <c r="F4292" t="s">
        <v>55</v>
      </c>
      <c r="G4292" t="s">
        <v>2923</v>
      </c>
      <c r="H4292" t="s">
        <v>18</v>
      </c>
      <c r="I4292" s="26" t="s">
        <v>747</v>
      </c>
    </row>
    <row r="4293" spans="1:9" x14ac:dyDescent="0.3">
      <c r="A4293" s="24">
        <v>45378</v>
      </c>
      <c r="B4293" t="s">
        <v>324</v>
      </c>
      <c r="C4293" t="s">
        <v>29</v>
      </c>
      <c r="D4293">
        <v>7.68</v>
      </c>
      <c r="E4293" t="s">
        <v>81</v>
      </c>
      <c r="F4293" t="s">
        <v>31</v>
      </c>
      <c r="H4293" t="s">
        <v>18</v>
      </c>
      <c r="I4293" s="26" t="s">
        <v>747</v>
      </c>
    </row>
    <row r="4294" spans="1:9" x14ac:dyDescent="0.3">
      <c r="A4294" s="24">
        <v>45378</v>
      </c>
      <c r="B4294" t="s">
        <v>324</v>
      </c>
      <c r="C4294" t="s">
        <v>58</v>
      </c>
      <c r="D4294">
        <v>0.63</v>
      </c>
      <c r="E4294" t="s">
        <v>54</v>
      </c>
      <c r="F4294" t="s">
        <v>55</v>
      </c>
      <c r="H4294" t="s">
        <v>18</v>
      </c>
      <c r="I4294" s="26" t="s">
        <v>747</v>
      </c>
    </row>
    <row r="4295" spans="1:9" x14ac:dyDescent="0.3">
      <c r="A4295" s="24">
        <v>45378</v>
      </c>
      <c r="B4295" t="s">
        <v>328</v>
      </c>
      <c r="C4295" t="s">
        <v>29</v>
      </c>
      <c r="D4295">
        <v>2</v>
      </c>
      <c r="E4295" t="s">
        <v>420</v>
      </c>
      <c r="F4295" t="s">
        <v>31</v>
      </c>
      <c r="G4295" t="s">
        <v>2924</v>
      </c>
      <c r="H4295" t="s">
        <v>18</v>
      </c>
      <c r="I4295" s="26" t="s">
        <v>747</v>
      </c>
    </row>
    <row r="4296" spans="1:9" x14ac:dyDescent="0.3">
      <c r="A4296" s="24">
        <v>45378</v>
      </c>
      <c r="B4296" t="s">
        <v>328</v>
      </c>
      <c r="C4296" t="s">
        <v>58</v>
      </c>
      <c r="D4296">
        <v>0.88</v>
      </c>
      <c r="E4296" t="s">
        <v>54</v>
      </c>
      <c r="F4296" t="s">
        <v>55</v>
      </c>
      <c r="G4296" t="s">
        <v>2925</v>
      </c>
      <c r="H4296" t="s">
        <v>18</v>
      </c>
      <c r="I4296" s="26" t="s">
        <v>747</v>
      </c>
    </row>
    <row r="4297" spans="1:9" x14ac:dyDescent="0.3">
      <c r="A4297" s="24">
        <v>45378</v>
      </c>
      <c r="B4297" t="s">
        <v>328</v>
      </c>
      <c r="C4297" t="s">
        <v>60</v>
      </c>
      <c r="D4297">
        <v>1.52</v>
      </c>
      <c r="E4297" t="s">
        <v>162</v>
      </c>
      <c r="F4297" t="s">
        <v>31</v>
      </c>
      <c r="G4297" t="s">
        <v>2926</v>
      </c>
      <c r="H4297" t="s">
        <v>18</v>
      </c>
      <c r="I4297" s="26" t="s">
        <v>747</v>
      </c>
    </row>
    <row r="4298" spans="1:9" x14ac:dyDescent="0.3">
      <c r="A4298" s="24">
        <v>45378</v>
      </c>
      <c r="B4298" t="s">
        <v>328</v>
      </c>
      <c r="C4298" t="s">
        <v>442</v>
      </c>
      <c r="D4298">
        <v>4</v>
      </c>
      <c r="E4298" t="s">
        <v>54</v>
      </c>
      <c r="F4298" t="s">
        <v>55</v>
      </c>
      <c r="H4298" t="s">
        <v>18</v>
      </c>
      <c r="I4298" s="26" t="s">
        <v>747</v>
      </c>
    </row>
    <row r="4299" spans="1:9" x14ac:dyDescent="0.3">
      <c r="A4299" s="24">
        <v>45378</v>
      </c>
      <c r="B4299" t="s">
        <v>329</v>
      </c>
      <c r="C4299" t="s">
        <v>370</v>
      </c>
      <c r="D4299">
        <v>0.42</v>
      </c>
      <c r="E4299" t="s">
        <v>437</v>
      </c>
      <c r="F4299" t="s">
        <v>31</v>
      </c>
      <c r="G4299" t="s">
        <v>2927</v>
      </c>
      <c r="H4299" t="s">
        <v>18</v>
      </c>
      <c r="I4299" s="26" t="s">
        <v>747</v>
      </c>
    </row>
    <row r="4300" spans="1:9" x14ac:dyDescent="0.3">
      <c r="A4300" s="24">
        <v>45378</v>
      </c>
      <c r="B4300" t="s">
        <v>329</v>
      </c>
      <c r="C4300" t="s">
        <v>2218</v>
      </c>
      <c r="D4300">
        <v>0.17</v>
      </c>
      <c r="E4300" t="s">
        <v>1859</v>
      </c>
      <c r="F4300" t="s">
        <v>31</v>
      </c>
      <c r="G4300" t="s">
        <v>2928</v>
      </c>
      <c r="H4300" t="s">
        <v>18</v>
      </c>
      <c r="I4300" s="26" t="s">
        <v>747</v>
      </c>
    </row>
    <row r="4301" spans="1:9" x14ac:dyDescent="0.3">
      <c r="A4301" s="24">
        <v>45378</v>
      </c>
      <c r="B4301" t="s">
        <v>331</v>
      </c>
      <c r="C4301" t="s">
        <v>29</v>
      </c>
      <c r="D4301">
        <v>0.22</v>
      </c>
      <c r="E4301" t="s">
        <v>176</v>
      </c>
      <c r="F4301" t="s">
        <v>31</v>
      </c>
      <c r="G4301" t="s">
        <v>2929</v>
      </c>
      <c r="H4301" t="s">
        <v>18</v>
      </c>
      <c r="I4301" s="26" t="s">
        <v>747</v>
      </c>
    </row>
    <row r="4302" spans="1:9" x14ac:dyDescent="0.3">
      <c r="A4302" s="24">
        <v>45378</v>
      </c>
      <c r="B4302" t="s">
        <v>331</v>
      </c>
      <c r="C4302" t="s">
        <v>29</v>
      </c>
      <c r="D4302">
        <v>0.27</v>
      </c>
      <c r="E4302" t="s">
        <v>176</v>
      </c>
      <c r="F4302" t="s">
        <v>31</v>
      </c>
      <c r="G4302" t="s">
        <v>1952</v>
      </c>
      <c r="H4302" t="s">
        <v>18</v>
      </c>
      <c r="I4302" s="26" t="s">
        <v>747</v>
      </c>
    </row>
    <row r="4303" spans="1:9" x14ac:dyDescent="0.3">
      <c r="A4303" s="24">
        <v>45378</v>
      </c>
      <c r="B4303" t="s">
        <v>331</v>
      </c>
      <c r="C4303" t="s">
        <v>29</v>
      </c>
      <c r="D4303">
        <v>0.27</v>
      </c>
      <c r="E4303" t="s">
        <v>182</v>
      </c>
      <c r="F4303" t="s">
        <v>31</v>
      </c>
      <c r="G4303" t="s">
        <v>870</v>
      </c>
      <c r="H4303" t="s">
        <v>18</v>
      </c>
      <c r="I4303" s="26" t="s">
        <v>747</v>
      </c>
    </row>
    <row r="4304" spans="1:9" x14ac:dyDescent="0.3">
      <c r="A4304" s="24">
        <v>45378</v>
      </c>
      <c r="B4304" t="s">
        <v>331</v>
      </c>
      <c r="C4304" t="s">
        <v>29</v>
      </c>
      <c r="D4304">
        <v>2.72</v>
      </c>
      <c r="E4304" t="s">
        <v>91</v>
      </c>
      <c r="F4304" t="s">
        <v>31</v>
      </c>
      <c r="G4304" t="s">
        <v>2930</v>
      </c>
      <c r="H4304" t="s">
        <v>18</v>
      </c>
      <c r="I4304" s="26" t="s">
        <v>747</v>
      </c>
    </row>
    <row r="4305" spans="1:9" x14ac:dyDescent="0.3">
      <c r="A4305" s="24">
        <v>45378</v>
      </c>
      <c r="B4305" t="s">
        <v>331</v>
      </c>
      <c r="C4305" t="s">
        <v>53</v>
      </c>
      <c r="D4305">
        <v>0.5</v>
      </c>
      <c r="E4305" t="s">
        <v>54</v>
      </c>
      <c r="F4305" t="s">
        <v>55</v>
      </c>
      <c r="G4305" t="s">
        <v>332</v>
      </c>
      <c r="H4305" t="s">
        <v>18</v>
      </c>
      <c r="I4305" s="26" t="s">
        <v>747</v>
      </c>
    </row>
    <row r="4306" spans="1:9" x14ac:dyDescent="0.3">
      <c r="A4306" s="24">
        <v>45378</v>
      </c>
      <c r="B4306" t="s">
        <v>331</v>
      </c>
      <c r="C4306" t="s">
        <v>58</v>
      </c>
      <c r="D4306">
        <v>0.67</v>
      </c>
      <c r="E4306" t="s">
        <v>54</v>
      </c>
      <c r="F4306" t="s">
        <v>55</v>
      </c>
      <c r="G4306" t="s">
        <v>333</v>
      </c>
      <c r="H4306" t="s">
        <v>18</v>
      </c>
      <c r="I4306" s="26" t="s">
        <v>747</v>
      </c>
    </row>
    <row r="4307" spans="1:9" x14ac:dyDescent="0.3">
      <c r="A4307" s="24">
        <v>45378</v>
      </c>
      <c r="B4307" t="s">
        <v>331</v>
      </c>
      <c r="C4307" t="s">
        <v>60</v>
      </c>
      <c r="D4307">
        <v>7.0000000000000007E-2</v>
      </c>
      <c r="E4307" t="s">
        <v>230</v>
      </c>
      <c r="F4307" t="s">
        <v>31</v>
      </c>
      <c r="G4307" t="s">
        <v>547</v>
      </c>
      <c r="H4307" t="s">
        <v>18</v>
      </c>
      <c r="I4307" s="26" t="s">
        <v>747</v>
      </c>
    </row>
    <row r="4308" spans="1:9" x14ac:dyDescent="0.3">
      <c r="A4308" s="24">
        <v>45378</v>
      </c>
      <c r="B4308" t="s">
        <v>331</v>
      </c>
      <c r="C4308" t="s">
        <v>60</v>
      </c>
      <c r="D4308">
        <v>0.12</v>
      </c>
      <c r="E4308" t="s">
        <v>229</v>
      </c>
      <c r="F4308" t="s">
        <v>31</v>
      </c>
      <c r="G4308" t="s">
        <v>547</v>
      </c>
      <c r="H4308" t="s">
        <v>18</v>
      </c>
      <c r="I4308" s="26" t="s">
        <v>747</v>
      </c>
    </row>
    <row r="4309" spans="1:9" x14ac:dyDescent="0.3">
      <c r="A4309" s="24">
        <v>45378</v>
      </c>
      <c r="B4309" t="s">
        <v>331</v>
      </c>
      <c r="C4309" t="s">
        <v>60</v>
      </c>
      <c r="D4309">
        <v>0.12</v>
      </c>
      <c r="E4309" t="s">
        <v>1246</v>
      </c>
      <c r="F4309" t="s">
        <v>31</v>
      </c>
      <c r="G4309" t="s">
        <v>547</v>
      </c>
      <c r="H4309" t="s">
        <v>18</v>
      </c>
      <c r="I4309" s="26" t="s">
        <v>747</v>
      </c>
    </row>
    <row r="4310" spans="1:9" x14ac:dyDescent="0.3">
      <c r="A4310" s="24">
        <v>45378</v>
      </c>
      <c r="B4310" t="s">
        <v>331</v>
      </c>
      <c r="C4310" t="s">
        <v>60</v>
      </c>
      <c r="D4310">
        <v>0.17</v>
      </c>
      <c r="E4310" t="s">
        <v>104</v>
      </c>
      <c r="F4310" t="s">
        <v>31</v>
      </c>
      <c r="G4310" t="s">
        <v>547</v>
      </c>
      <c r="H4310" t="s">
        <v>18</v>
      </c>
      <c r="I4310" s="26" t="s">
        <v>747</v>
      </c>
    </row>
    <row r="4311" spans="1:9" x14ac:dyDescent="0.3">
      <c r="A4311" s="24">
        <v>45378</v>
      </c>
      <c r="B4311" t="s">
        <v>331</v>
      </c>
      <c r="C4311" t="s">
        <v>60</v>
      </c>
      <c r="D4311">
        <v>0.2</v>
      </c>
      <c r="E4311" t="s">
        <v>102</v>
      </c>
      <c r="F4311" t="s">
        <v>31</v>
      </c>
      <c r="G4311" t="s">
        <v>547</v>
      </c>
      <c r="H4311" t="s">
        <v>18</v>
      </c>
      <c r="I4311" s="26" t="s">
        <v>747</v>
      </c>
    </row>
    <row r="4312" spans="1:9" x14ac:dyDescent="0.3">
      <c r="A4312" s="24">
        <v>45378</v>
      </c>
      <c r="B4312" t="s">
        <v>331</v>
      </c>
      <c r="C4312" t="s">
        <v>60</v>
      </c>
      <c r="D4312">
        <v>0.56999999999999995</v>
      </c>
      <c r="E4312" t="s">
        <v>91</v>
      </c>
      <c r="F4312" t="s">
        <v>31</v>
      </c>
      <c r="H4312" t="s">
        <v>18</v>
      </c>
      <c r="I4312" s="26" t="s">
        <v>747</v>
      </c>
    </row>
    <row r="4313" spans="1:9" x14ac:dyDescent="0.3">
      <c r="A4313" s="24">
        <v>45378</v>
      </c>
      <c r="B4313" t="s">
        <v>331</v>
      </c>
      <c r="C4313" t="s">
        <v>60</v>
      </c>
      <c r="D4313">
        <v>2.15</v>
      </c>
      <c r="E4313" t="s">
        <v>334</v>
      </c>
      <c r="F4313" t="s">
        <v>31</v>
      </c>
      <c r="H4313" t="s">
        <v>18</v>
      </c>
      <c r="I4313" s="26" t="s">
        <v>747</v>
      </c>
    </row>
    <row r="4314" spans="1:9" x14ac:dyDescent="0.3">
      <c r="A4314" s="24">
        <v>45378</v>
      </c>
      <c r="B4314" t="s">
        <v>331</v>
      </c>
      <c r="C4314" t="s">
        <v>877</v>
      </c>
      <c r="D4314">
        <v>7.0000000000000007E-2</v>
      </c>
      <c r="E4314" t="s">
        <v>182</v>
      </c>
      <c r="F4314" t="s">
        <v>31</v>
      </c>
      <c r="G4314" t="s">
        <v>547</v>
      </c>
      <c r="H4314" t="s">
        <v>18</v>
      </c>
      <c r="I4314" s="26" t="s">
        <v>747</v>
      </c>
    </row>
    <row r="4315" spans="1:9" x14ac:dyDescent="0.3">
      <c r="A4315" s="24">
        <v>45378</v>
      </c>
      <c r="B4315" t="s">
        <v>340</v>
      </c>
      <c r="C4315" t="s">
        <v>202</v>
      </c>
      <c r="D4315">
        <v>1</v>
      </c>
      <c r="E4315" t="s">
        <v>226</v>
      </c>
      <c r="F4315" t="s">
        <v>31</v>
      </c>
      <c r="G4315" t="s">
        <v>2931</v>
      </c>
      <c r="H4315" t="s">
        <v>18</v>
      </c>
      <c r="I4315" s="26" t="s">
        <v>747</v>
      </c>
    </row>
    <row r="4316" spans="1:9" x14ac:dyDescent="0.3">
      <c r="A4316" s="24">
        <v>45378</v>
      </c>
      <c r="B4316" t="s">
        <v>340</v>
      </c>
      <c r="C4316" t="s">
        <v>202</v>
      </c>
      <c r="D4316">
        <v>1</v>
      </c>
      <c r="E4316" t="s">
        <v>437</v>
      </c>
      <c r="F4316" t="s">
        <v>31</v>
      </c>
      <c r="G4316" t="s">
        <v>2932</v>
      </c>
      <c r="H4316" t="s">
        <v>18</v>
      </c>
      <c r="I4316" s="26" t="s">
        <v>747</v>
      </c>
    </row>
    <row r="4317" spans="1:9" x14ac:dyDescent="0.3">
      <c r="A4317" s="24">
        <v>45378</v>
      </c>
      <c r="B4317" t="s">
        <v>340</v>
      </c>
      <c r="C4317" t="s">
        <v>202</v>
      </c>
      <c r="D4317">
        <v>1</v>
      </c>
      <c r="E4317" t="s">
        <v>127</v>
      </c>
      <c r="F4317" t="s">
        <v>31</v>
      </c>
      <c r="G4317" t="s">
        <v>2933</v>
      </c>
      <c r="H4317" t="s">
        <v>18</v>
      </c>
      <c r="I4317" s="26" t="s">
        <v>747</v>
      </c>
    </row>
    <row r="4318" spans="1:9" x14ac:dyDescent="0.3">
      <c r="A4318" s="24">
        <v>45378</v>
      </c>
      <c r="B4318" t="s">
        <v>340</v>
      </c>
      <c r="C4318" t="s">
        <v>202</v>
      </c>
      <c r="D4318">
        <v>1</v>
      </c>
      <c r="E4318" t="s">
        <v>665</v>
      </c>
      <c r="F4318" t="s">
        <v>31</v>
      </c>
      <c r="G4318" t="s">
        <v>2934</v>
      </c>
      <c r="H4318" t="s">
        <v>18</v>
      </c>
      <c r="I4318" s="26" t="s">
        <v>747</v>
      </c>
    </row>
    <row r="4319" spans="1:9" x14ac:dyDescent="0.3">
      <c r="A4319" s="24">
        <v>45378</v>
      </c>
      <c r="B4319" t="s">
        <v>340</v>
      </c>
      <c r="C4319" t="s">
        <v>202</v>
      </c>
      <c r="D4319">
        <v>4</v>
      </c>
      <c r="E4319" t="s">
        <v>1216</v>
      </c>
      <c r="F4319" t="s">
        <v>31</v>
      </c>
      <c r="G4319" t="s">
        <v>2935</v>
      </c>
      <c r="H4319" t="s">
        <v>18</v>
      </c>
      <c r="I4319" s="26" t="s">
        <v>747</v>
      </c>
    </row>
    <row r="4320" spans="1:9" x14ac:dyDescent="0.3">
      <c r="A4320" s="24">
        <v>45378</v>
      </c>
      <c r="B4320" t="s">
        <v>351</v>
      </c>
      <c r="C4320" t="s">
        <v>250</v>
      </c>
      <c r="D4320">
        <v>1</v>
      </c>
      <c r="E4320" t="s">
        <v>81</v>
      </c>
      <c r="F4320" t="s">
        <v>31</v>
      </c>
      <c r="G4320" t="s">
        <v>2936</v>
      </c>
      <c r="H4320" t="s">
        <v>18</v>
      </c>
      <c r="I4320" s="26" t="s">
        <v>747</v>
      </c>
    </row>
    <row r="4321" spans="1:9" x14ac:dyDescent="0.3">
      <c r="A4321" s="24">
        <v>45378</v>
      </c>
      <c r="B4321" t="s">
        <v>351</v>
      </c>
      <c r="C4321" t="s">
        <v>29</v>
      </c>
      <c r="D4321">
        <v>2</v>
      </c>
      <c r="E4321" t="s">
        <v>81</v>
      </c>
      <c r="F4321" t="s">
        <v>31</v>
      </c>
      <c r="G4321" t="s">
        <v>2937</v>
      </c>
      <c r="H4321" t="s">
        <v>18</v>
      </c>
      <c r="I4321" s="26" t="s">
        <v>747</v>
      </c>
    </row>
    <row r="4322" spans="1:9" x14ac:dyDescent="0.3">
      <c r="A4322" s="24">
        <v>45378</v>
      </c>
      <c r="B4322" t="s">
        <v>351</v>
      </c>
      <c r="C4322" t="s">
        <v>29</v>
      </c>
      <c r="D4322">
        <v>3</v>
      </c>
      <c r="E4322" t="s">
        <v>81</v>
      </c>
      <c r="F4322" t="s">
        <v>31</v>
      </c>
      <c r="G4322" t="s">
        <v>2938</v>
      </c>
      <c r="H4322" t="s">
        <v>18</v>
      </c>
      <c r="I4322" s="26" t="s">
        <v>747</v>
      </c>
    </row>
    <row r="4323" spans="1:9" x14ac:dyDescent="0.3">
      <c r="A4323" s="24">
        <v>45378</v>
      </c>
      <c r="B4323" t="s">
        <v>351</v>
      </c>
      <c r="C4323" t="s">
        <v>53</v>
      </c>
      <c r="D4323">
        <v>2</v>
      </c>
      <c r="E4323" t="s">
        <v>54</v>
      </c>
      <c r="F4323" t="s">
        <v>55</v>
      </c>
      <c r="G4323" t="s">
        <v>2211</v>
      </c>
      <c r="H4323" t="s">
        <v>18</v>
      </c>
      <c r="I4323" s="26" t="s">
        <v>747</v>
      </c>
    </row>
    <row r="4324" spans="1:9" x14ac:dyDescent="0.3">
      <c r="A4324" s="24">
        <v>45378</v>
      </c>
      <c r="B4324" t="s">
        <v>355</v>
      </c>
      <c r="C4324" t="s">
        <v>29</v>
      </c>
      <c r="D4324">
        <v>0.6</v>
      </c>
      <c r="E4324" t="s">
        <v>91</v>
      </c>
      <c r="F4324" t="s">
        <v>31</v>
      </c>
      <c r="G4324" t="s">
        <v>2939</v>
      </c>
      <c r="H4324" t="s">
        <v>18</v>
      </c>
      <c r="I4324" s="26" t="s">
        <v>747</v>
      </c>
    </row>
    <row r="4325" spans="1:9" x14ac:dyDescent="0.3">
      <c r="A4325" s="24">
        <v>45378</v>
      </c>
      <c r="B4325" t="s">
        <v>355</v>
      </c>
      <c r="C4325" t="s">
        <v>29</v>
      </c>
      <c r="D4325">
        <v>1</v>
      </c>
      <c r="E4325" t="s">
        <v>358</v>
      </c>
      <c r="F4325" t="s">
        <v>31</v>
      </c>
      <c r="G4325" t="s">
        <v>2940</v>
      </c>
      <c r="H4325" t="s">
        <v>18</v>
      </c>
      <c r="I4325" s="26" t="s">
        <v>747</v>
      </c>
    </row>
    <row r="4326" spans="1:9" x14ac:dyDescent="0.3">
      <c r="A4326" s="24">
        <v>45378</v>
      </c>
      <c r="B4326" t="s">
        <v>355</v>
      </c>
      <c r="C4326" t="s">
        <v>29</v>
      </c>
      <c r="D4326">
        <v>1.8</v>
      </c>
      <c r="E4326" t="s">
        <v>91</v>
      </c>
      <c r="F4326" t="s">
        <v>31</v>
      </c>
      <c r="G4326" t="s">
        <v>2941</v>
      </c>
      <c r="H4326" t="s">
        <v>18</v>
      </c>
      <c r="I4326" s="26" t="s">
        <v>747</v>
      </c>
    </row>
    <row r="4327" spans="1:9" x14ac:dyDescent="0.3">
      <c r="A4327" s="24">
        <v>45378</v>
      </c>
      <c r="B4327" t="s">
        <v>355</v>
      </c>
      <c r="C4327" t="s">
        <v>202</v>
      </c>
      <c r="D4327">
        <v>0.6</v>
      </c>
      <c r="E4327" t="s">
        <v>44</v>
      </c>
      <c r="F4327" t="s">
        <v>31</v>
      </c>
      <c r="G4327" t="s">
        <v>2942</v>
      </c>
      <c r="H4327" t="s">
        <v>18</v>
      </c>
      <c r="I4327" s="26" t="s">
        <v>747</v>
      </c>
    </row>
    <row r="4328" spans="1:9" x14ac:dyDescent="0.3">
      <c r="A4328" s="24">
        <v>45378</v>
      </c>
      <c r="B4328" t="s">
        <v>355</v>
      </c>
      <c r="C4328" t="s">
        <v>53</v>
      </c>
      <c r="D4328">
        <v>0.8</v>
      </c>
      <c r="E4328" t="s">
        <v>54</v>
      </c>
      <c r="F4328" t="s">
        <v>55</v>
      </c>
      <c r="H4328" t="s">
        <v>18</v>
      </c>
      <c r="I4328" s="26" t="s">
        <v>747</v>
      </c>
    </row>
    <row r="4329" spans="1:9" x14ac:dyDescent="0.3">
      <c r="A4329" s="24">
        <v>45378</v>
      </c>
      <c r="B4329" t="s">
        <v>355</v>
      </c>
      <c r="C4329" t="s">
        <v>123</v>
      </c>
      <c r="D4329">
        <v>1</v>
      </c>
      <c r="E4329" t="s">
        <v>54</v>
      </c>
      <c r="F4329" t="s">
        <v>55</v>
      </c>
      <c r="G4329" t="s">
        <v>2943</v>
      </c>
      <c r="H4329" t="s">
        <v>18</v>
      </c>
      <c r="I4329" s="26" t="s">
        <v>747</v>
      </c>
    </row>
    <row r="4330" spans="1:9" x14ac:dyDescent="0.3">
      <c r="A4330" s="24">
        <v>45378</v>
      </c>
      <c r="B4330" t="s">
        <v>355</v>
      </c>
      <c r="C4330" t="s">
        <v>60</v>
      </c>
      <c r="D4330">
        <v>0.8</v>
      </c>
      <c r="E4330" t="s">
        <v>91</v>
      </c>
      <c r="F4330" t="s">
        <v>31</v>
      </c>
      <c r="G4330" t="s">
        <v>2944</v>
      </c>
      <c r="H4330" t="s">
        <v>18</v>
      </c>
      <c r="I4330" s="26" t="s">
        <v>747</v>
      </c>
    </row>
    <row r="4331" spans="1:9" x14ac:dyDescent="0.3">
      <c r="A4331" s="24">
        <v>45378</v>
      </c>
      <c r="B4331" t="s">
        <v>355</v>
      </c>
      <c r="C4331" t="s">
        <v>60</v>
      </c>
      <c r="D4331">
        <v>1</v>
      </c>
      <c r="E4331" t="s">
        <v>91</v>
      </c>
      <c r="F4331" t="s">
        <v>31</v>
      </c>
      <c r="G4331" t="s">
        <v>2945</v>
      </c>
      <c r="H4331" t="s">
        <v>18</v>
      </c>
      <c r="I4331" s="26" t="s">
        <v>747</v>
      </c>
    </row>
    <row r="4332" spans="1:9" x14ac:dyDescent="0.3">
      <c r="A4332" s="24">
        <v>45379</v>
      </c>
      <c r="B4332" t="s">
        <v>28</v>
      </c>
      <c r="C4332" t="s">
        <v>29</v>
      </c>
      <c r="D4332">
        <v>0.05</v>
      </c>
      <c r="E4332" t="s">
        <v>49</v>
      </c>
      <c r="F4332" t="s">
        <v>31</v>
      </c>
      <c r="G4332" t="s">
        <v>34</v>
      </c>
      <c r="H4332" t="s">
        <v>18</v>
      </c>
      <c r="I4332" s="26" t="s">
        <v>897</v>
      </c>
    </row>
    <row r="4333" spans="1:9" x14ac:dyDescent="0.3">
      <c r="A4333" s="24">
        <v>45379</v>
      </c>
      <c r="B4333" t="s">
        <v>28</v>
      </c>
      <c r="C4333" t="s">
        <v>29</v>
      </c>
      <c r="D4333">
        <v>7.0000000000000007E-2</v>
      </c>
      <c r="E4333" t="s">
        <v>44</v>
      </c>
      <c r="F4333" t="s">
        <v>31</v>
      </c>
      <c r="G4333" t="s">
        <v>34</v>
      </c>
      <c r="H4333" t="s">
        <v>18</v>
      </c>
      <c r="I4333" s="26" t="s">
        <v>897</v>
      </c>
    </row>
    <row r="4334" spans="1:9" x14ac:dyDescent="0.3">
      <c r="A4334" s="24">
        <v>45379</v>
      </c>
      <c r="B4334" t="s">
        <v>28</v>
      </c>
      <c r="C4334" t="s">
        <v>29</v>
      </c>
      <c r="D4334">
        <v>7.0000000000000007E-2</v>
      </c>
      <c r="E4334" t="s">
        <v>30</v>
      </c>
      <c r="F4334" t="s">
        <v>31</v>
      </c>
      <c r="G4334" t="s">
        <v>34</v>
      </c>
      <c r="H4334" t="s">
        <v>18</v>
      </c>
      <c r="I4334" s="26" t="s">
        <v>897</v>
      </c>
    </row>
    <row r="4335" spans="1:9" x14ac:dyDescent="0.3">
      <c r="A4335" s="24">
        <v>45379</v>
      </c>
      <c r="B4335" t="s">
        <v>28</v>
      </c>
      <c r="C4335" t="s">
        <v>29</v>
      </c>
      <c r="D4335">
        <v>0.1</v>
      </c>
      <c r="E4335" t="s">
        <v>42</v>
      </c>
      <c r="F4335" t="s">
        <v>31</v>
      </c>
      <c r="G4335" t="s">
        <v>32</v>
      </c>
      <c r="H4335" t="s">
        <v>18</v>
      </c>
      <c r="I4335" s="26" t="s">
        <v>897</v>
      </c>
    </row>
    <row r="4336" spans="1:9" x14ac:dyDescent="0.3">
      <c r="A4336" s="24">
        <v>45379</v>
      </c>
      <c r="B4336" t="s">
        <v>28</v>
      </c>
      <c r="C4336" t="s">
        <v>29</v>
      </c>
      <c r="D4336">
        <v>0.17</v>
      </c>
      <c r="E4336" t="s">
        <v>35</v>
      </c>
      <c r="F4336" t="s">
        <v>31</v>
      </c>
      <c r="G4336" t="s">
        <v>47</v>
      </c>
      <c r="H4336" t="s">
        <v>18</v>
      </c>
      <c r="I4336" s="26" t="s">
        <v>897</v>
      </c>
    </row>
    <row r="4337" spans="1:9" x14ac:dyDescent="0.3">
      <c r="A4337" s="24">
        <v>45379</v>
      </c>
      <c r="B4337" t="s">
        <v>28</v>
      </c>
      <c r="C4337" t="s">
        <v>29</v>
      </c>
      <c r="D4337">
        <v>0.22</v>
      </c>
      <c r="E4337" t="s">
        <v>44</v>
      </c>
      <c r="F4337" t="s">
        <v>31</v>
      </c>
      <c r="G4337" t="s">
        <v>38</v>
      </c>
      <c r="H4337" t="s">
        <v>18</v>
      </c>
      <c r="I4337" s="26" t="s">
        <v>897</v>
      </c>
    </row>
    <row r="4338" spans="1:9" x14ac:dyDescent="0.3">
      <c r="A4338" s="24">
        <v>45379</v>
      </c>
      <c r="B4338" t="s">
        <v>28</v>
      </c>
      <c r="C4338" t="s">
        <v>29</v>
      </c>
      <c r="D4338">
        <v>0.22</v>
      </c>
      <c r="E4338" t="s">
        <v>42</v>
      </c>
      <c r="F4338" t="s">
        <v>31</v>
      </c>
      <c r="G4338" t="s">
        <v>43</v>
      </c>
      <c r="H4338" t="s">
        <v>18</v>
      </c>
      <c r="I4338" s="26" t="s">
        <v>897</v>
      </c>
    </row>
    <row r="4339" spans="1:9" x14ac:dyDescent="0.3">
      <c r="A4339" s="24">
        <v>45379</v>
      </c>
      <c r="B4339" t="s">
        <v>28</v>
      </c>
      <c r="C4339" t="s">
        <v>29</v>
      </c>
      <c r="D4339">
        <v>0.27</v>
      </c>
      <c r="E4339" t="s">
        <v>44</v>
      </c>
      <c r="F4339" t="s">
        <v>31</v>
      </c>
      <c r="G4339" t="s">
        <v>579</v>
      </c>
      <c r="H4339" t="s">
        <v>18</v>
      </c>
      <c r="I4339" s="26" t="s">
        <v>897</v>
      </c>
    </row>
    <row r="4340" spans="1:9" x14ac:dyDescent="0.3">
      <c r="A4340" s="24">
        <v>45379</v>
      </c>
      <c r="B4340" t="s">
        <v>28</v>
      </c>
      <c r="C4340" t="s">
        <v>29</v>
      </c>
      <c r="D4340">
        <v>0.28000000000000003</v>
      </c>
      <c r="E4340" t="s">
        <v>40</v>
      </c>
      <c r="F4340" t="s">
        <v>31</v>
      </c>
      <c r="G4340" t="s">
        <v>579</v>
      </c>
      <c r="H4340" t="s">
        <v>18</v>
      </c>
      <c r="I4340" s="26" t="s">
        <v>897</v>
      </c>
    </row>
    <row r="4341" spans="1:9" x14ac:dyDescent="0.3">
      <c r="A4341" s="24">
        <v>45379</v>
      </c>
      <c r="B4341" t="s">
        <v>28</v>
      </c>
      <c r="C4341" t="s">
        <v>29</v>
      </c>
      <c r="D4341">
        <v>0.28000000000000003</v>
      </c>
      <c r="E4341" t="s">
        <v>49</v>
      </c>
      <c r="F4341" t="s">
        <v>31</v>
      </c>
      <c r="G4341" t="s">
        <v>579</v>
      </c>
      <c r="H4341" t="s">
        <v>18</v>
      </c>
      <c r="I4341" s="26" t="s">
        <v>897</v>
      </c>
    </row>
    <row r="4342" spans="1:9" x14ac:dyDescent="0.3">
      <c r="A4342" s="24">
        <v>45379</v>
      </c>
      <c r="B4342" t="s">
        <v>28</v>
      </c>
      <c r="C4342" t="s">
        <v>29</v>
      </c>
      <c r="D4342">
        <v>0.3</v>
      </c>
      <c r="E4342" t="s">
        <v>42</v>
      </c>
      <c r="F4342" t="s">
        <v>31</v>
      </c>
      <c r="G4342" t="s">
        <v>243</v>
      </c>
      <c r="H4342" t="s">
        <v>18</v>
      </c>
      <c r="I4342" s="26" t="s">
        <v>897</v>
      </c>
    </row>
    <row r="4343" spans="1:9" x14ac:dyDescent="0.3">
      <c r="A4343" s="24">
        <v>45379</v>
      </c>
      <c r="B4343" t="s">
        <v>28</v>
      </c>
      <c r="C4343" t="s">
        <v>29</v>
      </c>
      <c r="D4343">
        <v>0.48</v>
      </c>
      <c r="E4343" t="s">
        <v>48</v>
      </c>
      <c r="F4343" t="s">
        <v>31</v>
      </c>
      <c r="G4343" t="s">
        <v>38</v>
      </c>
      <c r="H4343" t="s">
        <v>18</v>
      </c>
      <c r="I4343" s="26" t="s">
        <v>897</v>
      </c>
    </row>
    <row r="4344" spans="1:9" x14ac:dyDescent="0.3">
      <c r="A4344" s="24">
        <v>45379</v>
      </c>
      <c r="B4344" t="s">
        <v>28</v>
      </c>
      <c r="C4344" t="s">
        <v>29</v>
      </c>
      <c r="D4344">
        <v>0.56999999999999995</v>
      </c>
      <c r="E4344" t="s">
        <v>42</v>
      </c>
      <c r="F4344" t="s">
        <v>31</v>
      </c>
      <c r="G4344" t="s">
        <v>1370</v>
      </c>
      <c r="H4344" t="s">
        <v>18</v>
      </c>
      <c r="I4344" s="26" t="s">
        <v>897</v>
      </c>
    </row>
    <row r="4345" spans="1:9" x14ac:dyDescent="0.3">
      <c r="A4345" s="24">
        <v>45379</v>
      </c>
      <c r="B4345" t="s">
        <v>28</v>
      </c>
      <c r="C4345" t="s">
        <v>29</v>
      </c>
      <c r="D4345">
        <v>2.5</v>
      </c>
      <c r="E4345" t="s">
        <v>35</v>
      </c>
      <c r="F4345" t="s">
        <v>31</v>
      </c>
      <c r="G4345" t="s">
        <v>1842</v>
      </c>
      <c r="H4345" t="s">
        <v>18</v>
      </c>
      <c r="I4345" s="26" t="s">
        <v>897</v>
      </c>
    </row>
    <row r="4346" spans="1:9" x14ac:dyDescent="0.3">
      <c r="A4346" s="24">
        <v>45379</v>
      </c>
      <c r="B4346" t="s">
        <v>28</v>
      </c>
      <c r="C4346" t="s">
        <v>60</v>
      </c>
      <c r="D4346">
        <v>0.33</v>
      </c>
      <c r="E4346" t="s">
        <v>62</v>
      </c>
      <c r="F4346" t="s">
        <v>31</v>
      </c>
      <c r="H4346" t="s">
        <v>18</v>
      </c>
      <c r="I4346" s="26" t="s">
        <v>897</v>
      </c>
    </row>
    <row r="4347" spans="1:9" x14ac:dyDescent="0.3">
      <c r="A4347" s="24">
        <v>45379</v>
      </c>
      <c r="B4347" t="s">
        <v>28</v>
      </c>
      <c r="C4347" t="s">
        <v>60</v>
      </c>
      <c r="D4347">
        <v>2.1</v>
      </c>
      <c r="E4347" t="s">
        <v>61</v>
      </c>
      <c r="F4347" t="s">
        <v>31</v>
      </c>
      <c r="H4347" t="s">
        <v>18</v>
      </c>
      <c r="I4347" s="26" t="s">
        <v>897</v>
      </c>
    </row>
    <row r="4348" spans="1:9" x14ac:dyDescent="0.3">
      <c r="A4348" s="24">
        <v>45379</v>
      </c>
      <c r="B4348" t="s">
        <v>64</v>
      </c>
      <c r="C4348" t="s">
        <v>173</v>
      </c>
      <c r="D4348">
        <v>4</v>
      </c>
      <c r="E4348" t="s">
        <v>162</v>
      </c>
      <c r="F4348" t="s">
        <v>31</v>
      </c>
      <c r="G4348" t="s">
        <v>2946</v>
      </c>
      <c r="H4348" t="s">
        <v>18</v>
      </c>
      <c r="I4348" s="26" t="s">
        <v>897</v>
      </c>
    </row>
    <row r="4349" spans="1:9" x14ac:dyDescent="0.3">
      <c r="A4349" s="24">
        <v>45379</v>
      </c>
      <c r="B4349" t="s">
        <v>64</v>
      </c>
      <c r="C4349" t="s">
        <v>379</v>
      </c>
      <c r="D4349">
        <v>0.33</v>
      </c>
      <c r="E4349" t="s">
        <v>66</v>
      </c>
      <c r="F4349" t="s">
        <v>31</v>
      </c>
      <c r="G4349" t="s">
        <v>2947</v>
      </c>
      <c r="H4349" t="s">
        <v>18</v>
      </c>
      <c r="I4349" s="26" t="s">
        <v>897</v>
      </c>
    </row>
    <row r="4350" spans="1:9" x14ac:dyDescent="0.3">
      <c r="A4350" s="24">
        <v>45379</v>
      </c>
      <c r="B4350" t="s">
        <v>64</v>
      </c>
      <c r="C4350" t="s">
        <v>68</v>
      </c>
      <c r="D4350">
        <v>3</v>
      </c>
      <c r="E4350" t="s">
        <v>66</v>
      </c>
      <c r="F4350" t="s">
        <v>31</v>
      </c>
      <c r="G4350" t="s">
        <v>2948</v>
      </c>
      <c r="H4350" t="s">
        <v>18</v>
      </c>
      <c r="I4350" s="26" t="s">
        <v>897</v>
      </c>
    </row>
    <row r="4351" spans="1:9" x14ac:dyDescent="0.3">
      <c r="A4351" s="24">
        <v>45379</v>
      </c>
      <c r="B4351" t="s">
        <v>64</v>
      </c>
      <c r="C4351" t="s">
        <v>70</v>
      </c>
      <c r="D4351">
        <v>0.5</v>
      </c>
      <c r="E4351" t="s">
        <v>66</v>
      </c>
      <c r="F4351" t="s">
        <v>31</v>
      </c>
      <c r="G4351" t="s">
        <v>2949</v>
      </c>
      <c r="H4351" t="s">
        <v>18</v>
      </c>
      <c r="I4351" s="26" t="s">
        <v>897</v>
      </c>
    </row>
    <row r="4352" spans="1:9" x14ac:dyDescent="0.3">
      <c r="A4352" s="24">
        <v>45379</v>
      </c>
      <c r="B4352" t="s">
        <v>72</v>
      </c>
      <c r="C4352" t="s">
        <v>29</v>
      </c>
      <c r="D4352">
        <v>0.28000000000000003</v>
      </c>
      <c r="E4352" t="s">
        <v>156</v>
      </c>
      <c r="F4352" t="s">
        <v>55</v>
      </c>
      <c r="G4352" t="s">
        <v>1687</v>
      </c>
      <c r="H4352" t="s">
        <v>18</v>
      </c>
      <c r="I4352" s="26" t="s">
        <v>897</v>
      </c>
    </row>
    <row r="4353" spans="1:9" x14ac:dyDescent="0.3">
      <c r="A4353" s="24">
        <v>45379</v>
      </c>
      <c r="B4353" t="s">
        <v>72</v>
      </c>
      <c r="C4353" t="s">
        <v>29</v>
      </c>
      <c r="D4353">
        <v>2.33</v>
      </c>
      <c r="E4353" t="s">
        <v>358</v>
      </c>
      <c r="F4353" t="s">
        <v>31</v>
      </c>
      <c r="G4353" t="s">
        <v>2950</v>
      </c>
      <c r="H4353" t="s">
        <v>18</v>
      </c>
      <c r="I4353" s="26" t="s">
        <v>897</v>
      </c>
    </row>
    <row r="4354" spans="1:9" x14ac:dyDescent="0.3">
      <c r="A4354" s="24">
        <v>45379</v>
      </c>
      <c r="B4354" t="s">
        <v>72</v>
      </c>
      <c r="C4354" t="s">
        <v>53</v>
      </c>
      <c r="D4354">
        <v>0.65</v>
      </c>
      <c r="E4354" t="s">
        <v>54</v>
      </c>
      <c r="F4354" t="s">
        <v>55</v>
      </c>
      <c r="G4354" t="s">
        <v>2951</v>
      </c>
      <c r="H4354" t="s">
        <v>18</v>
      </c>
      <c r="I4354" s="26" t="s">
        <v>897</v>
      </c>
    </row>
    <row r="4355" spans="1:9" x14ac:dyDescent="0.3">
      <c r="A4355" s="24">
        <v>45379</v>
      </c>
      <c r="B4355" t="s">
        <v>72</v>
      </c>
      <c r="C4355" t="s">
        <v>53</v>
      </c>
      <c r="D4355">
        <v>0.92</v>
      </c>
      <c r="E4355" t="s">
        <v>54</v>
      </c>
      <c r="F4355" t="s">
        <v>55</v>
      </c>
      <c r="G4355" t="s">
        <v>2952</v>
      </c>
      <c r="H4355" t="s">
        <v>18</v>
      </c>
      <c r="I4355" s="26" t="s">
        <v>897</v>
      </c>
    </row>
    <row r="4356" spans="1:9" x14ac:dyDescent="0.3">
      <c r="A4356" s="24">
        <v>45379</v>
      </c>
      <c r="B4356" t="s">
        <v>72</v>
      </c>
      <c r="C4356" t="s">
        <v>53</v>
      </c>
      <c r="D4356">
        <v>1.58</v>
      </c>
      <c r="E4356" t="s">
        <v>54</v>
      </c>
      <c r="F4356" t="s">
        <v>55</v>
      </c>
      <c r="G4356" t="s">
        <v>2953</v>
      </c>
      <c r="H4356" t="s">
        <v>18</v>
      </c>
      <c r="I4356" s="26" t="s">
        <v>897</v>
      </c>
    </row>
    <row r="4357" spans="1:9" x14ac:dyDescent="0.3">
      <c r="A4357" s="24">
        <v>45379</v>
      </c>
      <c r="B4357" t="s">
        <v>72</v>
      </c>
      <c r="C4357" t="s">
        <v>60</v>
      </c>
      <c r="D4357">
        <v>2.27</v>
      </c>
      <c r="E4357" t="s">
        <v>271</v>
      </c>
      <c r="F4357" t="s">
        <v>31</v>
      </c>
      <c r="H4357" t="s">
        <v>18</v>
      </c>
      <c r="I4357" s="26" t="s">
        <v>897</v>
      </c>
    </row>
    <row r="4358" spans="1:9" x14ac:dyDescent="0.3">
      <c r="A4358" s="24">
        <v>45379</v>
      </c>
      <c r="B4358" t="s">
        <v>79</v>
      </c>
      <c r="C4358" t="s">
        <v>58</v>
      </c>
      <c r="D4358">
        <v>7.5</v>
      </c>
      <c r="E4358" t="s">
        <v>54</v>
      </c>
      <c r="F4358" t="s">
        <v>55</v>
      </c>
      <c r="H4358" t="s">
        <v>18</v>
      </c>
      <c r="I4358" s="26" t="s">
        <v>897</v>
      </c>
    </row>
    <row r="4359" spans="1:9" x14ac:dyDescent="0.3">
      <c r="A4359" s="24">
        <v>45379</v>
      </c>
      <c r="B4359" t="s">
        <v>88</v>
      </c>
      <c r="C4359" t="s">
        <v>2954</v>
      </c>
      <c r="D4359">
        <v>8</v>
      </c>
      <c r="E4359" t="s">
        <v>54</v>
      </c>
      <c r="F4359" t="s">
        <v>55</v>
      </c>
      <c r="G4359" t="s">
        <v>2955</v>
      </c>
      <c r="H4359" t="s">
        <v>18</v>
      </c>
      <c r="I4359" s="26" t="s">
        <v>897</v>
      </c>
    </row>
    <row r="4360" spans="1:9" x14ac:dyDescent="0.3">
      <c r="A4360" s="24">
        <v>45379</v>
      </c>
      <c r="B4360" t="s">
        <v>99</v>
      </c>
      <c r="C4360" t="s">
        <v>2954</v>
      </c>
      <c r="D4360">
        <v>9</v>
      </c>
      <c r="E4360" t="s">
        <v>54</v>
      </c>
      <c r="F4360" t="s">
        <v>55</v>
      </c>
      <c r="H4360" t="s">
        <v>18</v>
      </c>
      <c r="I4360" s="26" t="s">
        <v>897</v>
      </c>
    </row>
    <row r="4361" spans="1:9" x14ac:dyDescent="0.3">
      <c r="A4361" s="24">
        <v>45379</v>
      </c>
      <c r="B4361" t="s">
        <v>101</v>
      </c>
      <c r="C4361" t="s">
        <v>29</v>
      </c>
      <c r="D4361">
        <v>0.08</v>
      </c>
      <c r="E4361" t="s">
        <v>195</v>
      </c>
      <c r="F4361" t="s">
        <v>31</v>
      </c>
      <c r="G4361" t="s">
        <v>2956</v>
      </c>
      <c r="H4361" t="s">
        <v>18</v>
      </c>
      <c r="I4361" s="26" t="s">
        <v>897</v>
      </c>
    </row>
    <row r="4362" spans="1:9" x14ac:dyDescent="0.3">
      <c r="A4362" s="24">
        <v>45379</v>
      </c>
      <c r="B4362" t="s">
        <v>101</v>
      </c>
      <c r="C4362" t="s">
        <v>29</v>
      </c>
      <c r="D4362">
        <v>1.58</v>
      </c>
      <c r="E4362" t="s">
        <v>105</v>
      </c>
      <c r="F4362" t="s">
        <v>31</v>
      </c>
      <c r="G4362" t="s">
        <v>2957</v>
      </c>
      <c r="H4362" t="s">
        <v>18</v>
      </c>
      <c r="I4362" s="26" t="s">
        <v>897</v>
      </c>
    </row>
    <row r="4363" spans="1:9" x14ac:dyDescent="0.3">
      <c r="A4363" s="24">
        <v>45379</v>
      </c>
      <c r="B4363" t="s">
        <v>101</v>
      </c>
      <c r="C4363" t="s">
        <v>29</v>
      </c>
      <c r="D4363">
        <v>2.25</v>
      </c>
      <c r="E4363" t="s">
        <v>108</v>
      </c>
      <c r="F4363" t="s">
        <v>31</v>
      </c>
      <c r="G4363" t="s">
        <v>2863</v>
      </c>
      <c r="H4363" t="s">
        <v>18</v>
      </c>
      <c r="I4363" s="26" t="s">
        <v>897</v>
      </c>
    </row>
    <row r="4364" spans="1:9" x14ac:dyDescent="0.3">
      <c r="A4364" s="24">
        <v>45379</v>
      </c>
      <c r="B4364" t="s">
        <v>101</v>
      </c>
      <c r="C4364" t="s">
        <v>60</v>
      </c>
      <c r="D4364">
        <v>0.17</v>
      </c>
      <c r="E4364" t="s">
        <v>295</v>
      </c>
      <c r="F4364" t="s">
        <v>55</v>
      </c>
      <c r="G4364" t="s">
        <v>2958</v>
      </c>
      <c r="H4364" t="s">
        <v>18</v>
      </c>
      <c r="I4364" s="26" t="s">
        <v>897</v>
      </c>
    </row>
    <row r="4365" spans="1:9" x14ac:dyDescent="0.3">
      <c r="A4365" s="24">
        <v>45379</v>
      </c>
      <c r="B4365" t="s">
        <v>101</v>
      </c>
      <c r="C4365" t="s">
        <v>60</v>
      </c>
      <c r="D4365">
        <v>0.17</v>
      </c>
      <c r="E4365" t="s">
        <v>108</v>
      </c>
      <c r="F4365" t="s">
        <v>31</v>
      </c>
      <c r="G4365" t="s">
        <v>919</v>
      </c>
      <c r="H4365" t="s">
        <v>18</v>
      </c>
      <c r="I4365" s="26" t="s">
        <v>897</v>
      </c>
    </row>
    <row r="4366" spans="1:9" x14ac:dyDescent="0.3">
      <c r="A4366" s="24">
        <v>45379</v>
      </c>
      <c r="B4366" t="s">
        <v>101</v>
      </c>
      <c r="C4366" t="s">
        <v>60</v>
      </c>
      <c r="D4366">
        <v>1.25</v>
      </c>
      <c r="E4366" t="s">
        <v>295</v>
      </c>
      <c r="F4366" t="s">
        <v>31</v>
      </c>
      <c r="G4366" t="s">
        <v>2959</v>
      </c>
      <c r="H4366" t="s">
        <v>18</v>
      </c>
      <c r="I4366" s="26" t="s">
        <v>897</v>
      </c>
    </row>
    <row r="4367" spans="1:9" x14ac:dyDescent="0.3">
      <c r="A4367" s="24">
        <v>45379</v>
      </c>
      <c r="B4367" t="s">
        <v>101</v>
      </c>
      <c r="C4367" t="s">
        <v>2954</v>
      </c>
      <c r="D4367">
        <v>2.5</v>
      </c>
      <c r="E4367" t="s">
        <v>54</v>
      </c>
      <c r="F4367" t="s">
        <v>55</v>
      </c>
      <c r="G4367" t="s">
        <v>2960</v>
      </c>
      <c r="H4367" t="s">
        <v>18</v>
      </c>
      <c r="I4367" s="26" t="s">
        <v>897</v>
      </c>
    </row>
    <row r="4368" spans="1:9" x14ac:dyDescent="0.3">
      <c r="A4368" s="24">
        <v>45379</v>
      </c>
      <c r="B4368" t="s">
        <v>402</v>
      </c>
      <c r="C4368" t="s">
        <v>403</v>
      </c>
      <c r="D4368">
        <v>0.75</v>
      </c>
      <c r="E4368" t="s">
        <v>39</v>
      </c>
      <c r="F4368" t="s">
        <v>31</v>
      </c>
      <c r="G4368" t="s">
        <v>2961</v>
      </c>
      <c r="H4368" t="s">
        <v>18</v>
      </c>
      <c r="I4368" s="26" t="s">
        <v>897</v>
      </c>
    </row>
    <row r="4369" spans="1:9" x14ac:dyDescent="0.3">
      <c r="A4369" s="24">
        <v>45379</v>
      </c>
      <c r="B4369" t="s">
        <v>402</v>
      </c>
      <c r="C4369" t="s">
        <v>405</v>
      </c>
      <c r="D4369">
        <v>0.75</v>
      </c>
      <c r="E4369" t="s">
        <v>42</v>
      </c>
      <c r="F4369" t="s">
        <v>31</v>
      </c>
      <c r="G4369" t="s">
        <v>2962</v>
      </c>
      <c r="H4369" t="s">
        <v>18</v>
      </c>
      <c r="I4369" s="26" t="s">
        <v>897</v>
      </c>
    </row>
    <row r="4370" spans="1:9" x14ac:dyDescent="0.3">
      <c r="A4370" s="24">
        <v>45379</v>
      </c>
      <c r="B4370" t="s">
        <v>113</v>
      </c>
      <c r="C4370" t="s">
        <v>29</v>
      </c>
      <c r="D4370">
        <v>0.37</v>
      </c>
      <c r="E4370" t="s">
        <v>114</v>
      </c>
      <c r="F4370" t="s">
        <v>31</v>
      </c>
      <c r="G4370" t="s">
        <v>115</v>
      </c>
      <c r="H4370" t="s">
        <v>18</v>
      </c>
      <c r="I4370" s="26" t="s">
        <v>897</v>
      </c>
    </row>
    <row r="4371" spans="1:9" x14ac:dyDescent="0.3">
      <c r="A4371" s="24">
        <v>45379</v>
      </c>
      <c r="B4371" t="s">
        <v>113</v>
      </c>
      <c r="C4371" t="s">
        <v>29</v>
      </c>
      <c r="D4371">
        <v>0.37</v>
      </c>
      <c r="E4371" t="s">
        <v>127</v>
      </c>
      <c r="F4371" t="s">
        <v>31</v>
      </c>
      <c r="G4371" t="s">
        <v>2963</v>
      </c>
      <c r="H4371" t="s">
        <v>18</v>
      </c>
      <c r="I4371" s="26" t="s">
        <v>897</v>
      </c>
    </row>
    <row r="4372" spans="1:9" x14ac:dyDescent="0.3">
      <c r="A4372" s="24">
        <v>45379</v>
      </c>
      <c r="B4372" t="s">
        <v>113</v>
      </c>
      <c r="C4372" t="s">
        <v>778</v>
      </c>
      <c r="D4372">
        <v>0.17</v>
      </c>
      <c r="E4372" t="s">
        <v>143</v>
      </c>
      <c r="F4372" t="s">
        <v>31</v>
      </c>
      <c r="H4372" t="s">
        <v>18</v>
      </c>
      <c r="I4372" s="26" t="s">
        <v>897</v>
      </c>
    </row>
    <row r="4373" spans="1:9" x14ac:dyDescent="0.3">
      <c r="A4373" s="24">
        <v>45379</v>
      </c>
      <c r="B4373" t="s">
        <v>113</v>
      </c>
      <c r="C4373" t="s">
        <v>85</v>
      </c>
      <c r="D4373">
        <v>0.5</v>
      </c>
      <c r="E4373" t="s">
        <v>81</v>
      </c>
      <c r="F4373" t="s">
        <v>31</v>
      </c>
      <c r="G4373" t="s">
        <v>2964</v>
      </c>
      <c r="H4373" t="s">
        <v>18</v>
      </c>
      <c r="I4373" s="26" t="s">
        <v>897</v>
      </c>
    </row>
    <row r="4374" spans="1:9" x14ac:dyDescent="0.3">
      <c r="A4374" s="24">
        <v>45379</v>
      </c>
      <c r="B4374" t="s">
        <v>113</v>
      </c>
      <c r="C4374" t="s">
        <v>53</v>
      </c>
      <c r="D4374">
        <v>0.37</v>
      </c>
      <c r="E4374" t="s">
        <v>54</v>
      </c>
      <c r="F4374" t="s">
        <v>55</v>
      </c>
      <c r="G4374" t="s">
        <v>2965</v>
      </c>
      <c r="H4374" t="s">
        <v>18</v>
      </c>
      <c r="I4374" s="26" t="s">
        <v>897</v>
      </c>
    </row>
    <row r="4375" spans="1:9" x14ac:dyDescent="0.3">
      <c r="A4375" s="24">
        <v>45379</v>
      </c>
      <c r="B4375" t="s">
        <v>113</v>
      </c>
      <c r="C4375" t="s">
        <v>53</v>
      </c>
      <c r="D4375">
        <v>0.45</v>
      </c>
      <c r="E4375" t="s">
        <v>54</v>
      </c>
      <c r="F4375" t="s">
        <v>55</v>
      </c>
      <c r="G4375" t="s">
        <v>2966</v>
      </c>
      <c r="H4375" t="s">
        <v>18</v>
      </c>
      <c r="I4375" s="26" t="s">
        <v>897</v>
      </c>
    </row>
    <row r="4376" spans="1:9" x14ac:dyDescent="0.3">
      <c r="A4376" s="24">
        <v>45379</v>
      </c>
      <c r="B4376" t="s">
        <v>113</v>
      </c>
      <c r="C4376" t="s">
        <v>53</v>
      </c>
      <c r="D4376">
        <v>0.5</v>
      </c>
      <c r="E4376" t="s">
        <v>54</v>
      </c>
      <c r="F4376" t="s">
        <v>55</v>
      </c>
      <c r="G4376" t="s">
        <v>110</v>
      </c>
      <c r="H4376" t="s">
        <v>18</v>
      </c>
      <c r="I4376" s="26" t="s">
        <v>897</v>
      </c>
    </row>
    <row r="4377" spans="1:9" x14ac:dyDescent="0.3">
      <c r="A4377" s="24">
        <v>45379</v>
      </c>
      <c r="B4377" t="s">
        <v>113</v>
      </c>
      <c r="C4377" t="s">
        <v>60</v>
      </c>
      <c r="D4377">
        <v>7.0000000000000007E-2</v>
      </c>
      <c r="E4377" t="s">
        <v>61</v>
      </c>
      <c r="F4377" t="s">
        <v>31</v>
      </c>
      <c r="G4377" t="s">
        <v>126</v>
      </c>
      <c r="H4377" t="s">
        <v>18</v>
      </c>
      <c r="I4377" s="26" t="s">
        <v>897</v>
      </c>
    </row>
    <row r="4378" spans="1:9" x14ac:dyDescent="0.3">
      <c r="A4378" s="24">
        <v>45379</v>
      </c>
      <c r="B4378" t="s">
        <v>113</v>
      </c>
      <c r="C4378" t="s">
        <v>60</v>
      </c>
      <c r="D4378">
        <v>0.28000000000000003</v>
      </c>
      <c r="E4378" t="s">
        <v>137</v>
      </c>
      <c r="F4378" t="s">
        <v>31</v>
      </c>
      <c r="G4378" t="s">
        <v>2967</v>
      </c>
      <c r="H4378" t="s">
        <v>18</v>
      </c>
      <c r="I4378" s="26" t="s">
        <v>897</v>
      </c>
    </row>
    <row r="4379" spans="1:9" x14ac:dyDescent="0.3">
      <c r="A4379" s="24">
        <v>45379</v>
      </c>
      <c r="B4379" t="s">
        <v>113</v>
      </c>
      <c r="C4379" t="s">
        <v>60</v>
      </c>
      <c r="D4379">
        <v>0.67</v>
      </c>
      <c r="E4379" t="s">
        <v>127</v>
      </c>
      <c r="F4379" t="s">
        <v>31</v>
      </c>
      <c r="G4379" t="s">
        <v>130</v>
      </c>
      <c r="H4379" t="s">
        <v>18</v>
      </c>
      <c r="I4379" s="26" t="s">
        <v>897</v>
      </c>
    </row>
    <row r="4380" spans="1:9" x14ac:dyDescent="0.3">
      <c r="A4380" s="24">
        <v>45379</v>
      </c>
      <c r="B4380" t="s">
        <v>113</v>
      </c>
      <c r="C4380" t="s">
        <v>60</v>
      </c>
      <c r="D4380">
        <v>4.2699999999999996</v>
      </c>
      <c r="E4380" t="s">
        <v>81</v>
      </c>
      <c r="F4380" t="s">
        <v>31</v>
      </c>
      <c r="H4380" t="s">
        <v>18</v>
      </c>
      <c r="I4380" s="26" t="s">
        <v>897</v>
      </c>
    </row>
    <row r="4381" spans="1:9" x14ac:dyDescent="0.3">
      <c r="A4381" s="24">
        <v>45379</v>
      </c>
      <c r="B4381" t="s">
        <v>132</v>
      </c>
      <c r="C4381" t="s">
        <v>2954</v>
      </c>
      <c r="D4381">
        <v>8</v>
      </c>
      <c r="E4381" t="s">
        <v>54</v>
      </c>
      <c r="F4381" t="s">
        <v>55</v>
      </c>
      <c r="H4381" t="s">
        <v>18</v>
      </c>
      <c r="I4381" s="26" t="s">
        <v>897</v>
      </c>
    </row>
    <row r="4382" spans="1:9" x14ac:dyDescent="0.3">
      <c r="A4382" s="24">
        <v>45379</v>
      </c>
      <c r="B4382" t="s">
        <v>134</v>
      </c>
      <c r="C4382" t="s">
        <v>29</v>
      </c>
      <c r="D4382">
        <v>0.95</v>
      </c>
      <c r="E4382" t="s">
        <v>137</v>
      </c>
      <c r="F4382" t="s">
        <v>31</v>
      </c>
      <c r="G4382" t="s">
        <v>2968</v>
      </c>
      <c r="H4382" t="s">
        <v>18</v>
      </c>
      <c r="I4382" s="26" t="s">
        <v>897</v>
      </c>
    </row>
    <row r="4383" spans="1:9" x14ac:dyDescent="0.3">
      <c r="A4383" s="24">
        <v>45379</v>
      </c>
      <c r="B4383" t="s">
        <v>134</v>
      </c>
      <c r="C4383" t="s">
        <v>29</v>
      </c>
      <c r="D4383">
        <v>1.02</v>
      </c>
      <c r="E4383" t="s">
        <v>420</v>
      </c>
      <c r="F4383" t="s">
        <v>31</v>
      </c>
      <c r="G4383" t="s">
        <v>1714</v>
      </c>
      <c r="H4383" t="s">
        <v>18</v>
      </c>
      <c r="I4383" s="26" t="s">
        <v>897</v>
      </c>
    </row>
    <row r="4384" spans="1:9" x14ac:dyDescent="0.3">
      <c r="A4384" s="24">
        <v>45379</v>
      </c>
      <c r="B4384" t="s">
        <v>134</v>
      </c>
      <c r="C4384" t="s">
        <v>29</v>
      </c>
      <c r="D4384">
        <v>1.47</v>
      </c>
      <c r="E4384" t="s">
        <v>139</v>
      </c>
      <c r="F4384" t="s">
        <v>31</v>
      </c>
      <c r="G4384" t="s">
        <v>2969</v>
      </c>
      <c r="H4384" t="s">
        <v>18</v>
      </c>
      <c r="I4384" s="26" t="s">
        <v>897</v>
      </c>
    </row>
    <row r="4385" spans="1:9" x14ac:dyDescent="0.3">
      <c r="A4385" s="24">
        <v>45379</v>
      </c>
      <c r="B4385" t="s">
        <v>134</v>
      </c>
      <c r="C4385" t="s">
        <v>29</v>
      </c>
      <c r="D4385">
        <v>1.82</v>
      </c>
      <c r="E4385" t="s">
        <v>135</v>
      </c>
      <c r="F4385" t="s">
        <v>31</v>
      </c>
      <c r="G4385" t="s">
        <v>103</v>
      </c>
      <c r="H4385" t="s">
        <v>18</v>
      </c>
      <c r="I4385" s="26" t="s">
        <v>897</v>
      </c>
    </row>
    <row r="4386" spans="1:9" x14ac:dyDescent="0.3">
      <c r="A4386" s="24">
        <v>45379</v>
      </c>
      <c r="B4386" t="s">
        <v>134</v>
      </c>
      <c r="C4386" t="s">
        <v>142</v>
      </c>
      <c r="D4386">
        <v>2.25</v>
      </c>
      <c r="E4386" t="s">
        <v>143</v>
      </c>
      <c r="F4386" t="s">
        <v>31</v>
      </c>
      <c r="G4386" t="s">
        <v>2970</v>
      </c>
      <c r="H4386" t="s">
        <v>18</v>
      </c>
      <c r="I4386" s="26" t="s">
        <v>897</v>
      </c>
    </row>
    <row r="4387" spans="1:9" x14ac:dyDescent="0.3">
      <c r="A4387" s="24">
        <v>45379</v>
      </c>
      <c r="B4387" t="s">
        <v>134</v>
      </c>
      <c r="C4387" t="s">
        <v>53</v>
      </c>
      <c r="D4387">
        <v>0.5</v>
      </c>
      <c r="E4387" t="s">
        <v>54</v>
      </c>
      <c r="F4387" t="s">
        <v>55</v>
      </c>
      <c r="G4387" t="s">
        <v>110</v>
      </c>
      <c r="H4387" t="s">
        <v>18</v>
      </c>
      <c r="I4387" s="26" t="s">
        <v>897</v>
      </c>
    </row>
    <row r="4388" spans="1:9" x14ac:dyDescent="0.3">
      <c r="A4388" s="24">
        <v>45379</v>
      </c>
      <c r="B4388" t="s">
        <v>150</v>
      </c>
      <c r="C4388" t="s">
        <v>29</v>
      </c>
      <c r="D4388">
        <v>0.32</v>
      </c>
      <c r="E4388" t="s">
        <v>151</v>
      </c>
      <c r="F4388" t="s">
        <v>55</v>
      </c>
      <c r="G4388" t="s">
        <v>2971</v>
      </c>
      <c r="H4388" t="s">
        <v>18</v>
      </c>
      <c r="I4388" s="26" t="s">
        <v>897</v>
      </c>
    </row>
    <row r="4389" spans="1:9" x14ac:dyDescent="0.3">
      <c r="A4389" s="24">
        <v>45379</v>
      </c>
      <c r="B4389" t="s">
        <v>150</v>
      </c>
      <c r="C4389" t="s">
        <v>29</v>
      </c>
      <c r="D4389">
        <v>0.57999999999999996</v>
      </c>
      <c r="E4389" t="s">
        <v>151</v>
      </c>
      <c r="F4389" t="s">
        <v>55</v>
      </c>
      <c r="G4389" t="s">
        <v>2972</v>
      </c>
      <c r="H4389" t="s">
        <v>18</v>
      </c>
      <c r="I4389" s="26" t="s">
        <v>897</v>
      </c>
    </row>
    <row r="4390" spans="1:9" x14ac:dyDescent="0.3">
      <c r="A4390" s="24">
        <v>45379</v>
      </c>
      <c r="B4390" t="s">
        <v>150</v>
      </c>
      <c r="C4390" t="s">
        <v>29</v>
      </c>
      <c r="D4390">
        <v>1</v>
      </c>
      <c r="E4390" t="s">
        <v>114</v>
      </c>
      <c r="F4390" t="s">
        <v>31</v>
      </c>
      <c r="G4390" t="s">
        <v>2973</v>
      </c>
      <c r="H4390" t="s">
        <v>18</v>
      </c>
      <c r="I4390" s="26" t="s">
        <v>897</v>
      </c>
    </row>
    <row r="4391" spans="1:9" x14ac:dyDescent="0.3">
      <c r="A4391" s="24">
        <v>45379</v>
      </c>
      <c r="B4391" t="s">
        <v>150</v>
      </c>
      <c r="C4391" t="s">
        <v>29</v>
      </c>
      <c r="D4391">
        <v>2.02</v>
      </c>
      <c r="E4391" t="s">
        <v>114</v>
      </c>
      <c r="F4391" t="s">
        <v>31</v>
      </c>
      <c r="G4391" t="s">
        <v>152</v>
      </c>
      <c r="H4391" t="s">
        <v>18</v>
      </c>
      <c r="I4391" s="26" t="s">
        <v>897</v>
      </c>
    </row>
    <row r="4392" spans="1:9" x14ac:dyDescent="0.3">
      <c r="A4392" s="24">
        <v>45379</v>
      </c>
      <c r="B4392" t="s">
        <v>150</v>
      </c>
      <c r="C4392" t="s">
        <v>85</v>
      </c>
      <c r="D4392">
        <v>0.4</v>
      </c>
      <c r="E4392" t="s">
        <v>156</v>
      </c>
      <c r="F4392" t="s">
        <v>55</v>
      </c>
      <c r="G4392" t="s">
        <v>1717</v>
      </c>
      <c r="H4392" t="s">
        <v>18</v>
      </c>
      <c r="I4392" s="26" t="s">
        <v>897</v>
      </c>
    </row>
    <row r="4393" spans="1:9" x14ac:dyDescent="0.3">
      <c r="A4393" s="24">
        <v>45379</v>
      </c>
      <c r="B4393" t="s">
        <v>150</v>
      </c>
      <c r="C4393" t="s">
        <v>85</v>
      </c>
      <c r="D4393">
        <v>0.98</v>
      </c>
      <c r="E4393" t="s">
        <v>151</v>
      </c>
      <c r="F4393" t="s">
        <v>55</v>
      </c>
      <c r="G4393" t="s">
        <v>2974</v>
      </c>
      <c r="H4393" t="s">
        <v>18</v>
      </c>
      <c r="I4393" s="26" t="s">
        <v>897</v>
      </c>
    </row>
    <row r="4394" spans="1:9" x14ac:dyDescent="0.3">
      <c r="A4394" s="24">
        <v>45379</v>
      </c>
      <c r="B4394" t="s">
        <v>150</v>
      </c>
      <c r="C4394" t="s">
        <v>53</v>
      </c>
      <c r="D4394">
        <v>0.48</v>
      </c>
      <c r="E4394" t="s">
        <v>54</v>
      </c>
      <c r="F4394" t="s">
        <v>55</v>
      </c>
      <c r="G4394" t="s">
        <v>2975</v>
      </c>
      <c r="H4394" t="s">
        <v>18</v>
      </c>
      <c r="I4394" s="26" t="s">
        <v>897</v>
      </c>
    </row>
    <row r="4395" spans="1:9" x14ac:dyDescent="0.3">
      <c r="A4395" s="24">
        <v>45379</v>
      </c>
      <c r="B4395" t="s">
        <v>150</v>
      </c>
      <c r="C4395" t="s">
        <v>159</v>
      </c>
      <c r="D4395">
        <v>1.42</v>
      </c>
      <c r="E4395" t="s">
        <v>114</v>
      </c>
      <c r="F4395" t="s">
        <v>31</v>
      </c>
      <c r="G4395" t="s">
        <v>160</v>
      </c>
      <c r="H4395" t="s">
        <v>18</v>
      </c>
      <c r="I4395" s="26" t="s">
        <v>897</v>
      </c>
    </row>
    <row r="4396" spans="1:9" x14ac:dyDescent="0.3">
      <c r="A4396" s="24">
        <v>45379</v>
      </c>
      <c r="B4396" t="s">
        <v>150</v>
      </c>
      <c r="C4396" t="s">
        <v>58</v>
      </c>
      <c r="D4396">
        <v>0.25</v>
      </c>
      <c r="E4396" t="s">
        <v>54</v>
      </c>
      <c r="F4396" t="s">
        <v>55</v>
      </c>
      <c r="G4396" t="s">
        <v>2976</v>
      </c>
      <c r="H4396" t="s">
        <v>18</v>
      </c>
      <c r="I4396" s="26" t="s">
        <v>897</v>
      </c>
    </row>
    <row r="4397" spans="1:9" x14ac:dyDescent="0.3">
      <c r="A4397" s="24">
        <v>45379</v>
      </c>
      <c r="B4397" t="s">
        <v>150</v>
      </c>
      <c r="C4397" t="s">
        <v>60</v>
      </c>
      <c r="D4397">
        <v>0.28000000000000003</v>
      </c>
      <c r="E4397" t="s">
        <v>156</v>
      </c>
      <c r="F4397" t="s">
        <v>31</v>
      </c>
      <c r="G4397" t="s">
        <v>2977</v>
      </c>
      <c r="H4397" t="s">
        <v>18</v>
      </c>
      <c r="I4397" s="26" t="s">
        <v>897</v>
      </c>
    </row>
    <row r="4398" spans="1:9" x14ac:dyDescent="0.3">
      <c r="A4398" s="24">
        <v>45379</v>
      </c>
      <c r="B4398" t="s">
        <v>150</v>
      </c>
      <c r="C4398" t="s">
        <v>60</v>
      </c>
      <c r="D4398">
        <v>0.35</v>
      </c>
      <c r="E4398" t="s">
        <v>156</v>
      </c>
      <c r="F4398" t="s">
        <v>31</v>
      </c>
      <c r="G4398" t="s">
        <v>2978</v>
      </c>
      <c r="H4398" t="s">
        <v>18</v>
      </c>
      <c r="I4398" s="26" t="s">
        <v>897</v>
      </c>
    </row>
    <row r="4399" spans="1:9" x14ac:dyDescent="0.3">
      <c r="A4399" s="24">
        <v>45379</v>
      </c>
      <c r="B4399" t="s">
        <v>150</v>
      </c>
      <c r="C4399" t="s">
        <v>60</v>
      </c>
      <c r="D4399">
        <v>0.37</v>
      </c>
      <c r="E4399" t="s">
        <v>162</v>
      </c>
      <c r="F4399" t="s">
        <v>31</v>
      </c>
      <c r="G4399" t="s">
        <v>2979</v>
      </c>
      <c r="H4399" t="s">
        <v>18</v>
      </c>
      <c r="I4399" s="26" t="s">
        <v>897</v>
      </c>
    </row>
    <row r="4400" spans="1:9" x14ac:dyDescent="0.3">
      <c r="A4400" s="24">
        <v>45379</v>
      </c>
      <c r="B4400" t="s">
        <v>150</v>
      </c>
      <c r="C4400" t="s">
        <v>60</v>
      </c>
      <c r="D4400">
        <v>0.73</v>
      </c>
      <c r="E4400" t="s">
        <v>156</v>
      </c>
      <c r="F4400" t="s">
        <v>31</v>
      </c>
      <c r="G4400" t="s">
        <v>2980</v>
      </c>
      <c r="H4400" t="s">
        <v>18</v>
      </c>
      <c r="I4400" s="26" t="s">
        <v>897</v>
      </c>
    </row>
    <row r="4401" spans="1:9" x14ac:dyDescent="0.3">
      <c r="A4401" s="24">
        <v>45379</v>
      </c>
      <c r="B4401" t="s">
        <v>164</v>
      </c>
      <c r="C4401" t="s">
        <v>2954</v>
      </c>
      <c r="D4401">
        <v>8</v>
      </c>
      <c r="E4401" t="s">
        <v>54</v>
      </c>
      <c r="F4401" t="s">
        <v>55</v>
      </c>
      <c r="H4401" t="s">
        <v>18</v>
      </c>
      <c r="I4401" s="26" t="s">
        <v>897</v>
      </c>
    </row>
    <row r="4402" spans="1:9" x14ac:dyDescent="0.3">
      <c r="A4402" s="24">
        <v>45379</v>
      </c>
      <c r="B4402" t="s">
        <v>169</v>
      </c>
      <c r="C4402" t="s">
        <v>29</v>
      </c>
      <c r="D4402">
        <v>7.33</v>
      </c>
      <c r="E4402" t="s">
        <v>170</v>
      </c>
      <c r="F4402" t="s">
        <v>31</v>
      </c>
      <c r="H4402" t="s">
        <v>18</v>
      </c>
      <c r="I4402" s="26" t="s">
        <v>897</v>
      </c>
    </row>
    <row r="4403" spans="1:9" x14ac:dyDescent="0.3">
      <c r="A4403" s="24">
        <v>45379</v>
      </c>
      <c r="B4403" t="s">
        <v>169</v>
      </c>
      <c r="C4403" t="s">
        <v>60</v>
      </c>
      <c r="D4403">
        <v>0.68</v>
      </c>
      <c r="E4403" t="s">
        <v>444</v>
      </c>
      <c r="F4403" t="s">
        <v>31</v>
      </c>
      <c r="H4403" t="s">
        <v>18</v>
      </c>
      <c r="I4403" s="26" t="s">
        <v>897</v>
      </c>
    </row>
    <row r="4404" spans="1:9" x14ac:dyDescent="0.3">
      <c r="A4404" s="24">
        <v>45379</v>
      </c>
      <c r="B4404" t="s">
        <v>175</v>
      </c>
      <c r="C4404" t="s">
        <v>2954</v>
      </c>
      <c r="D4404">
        <v>8</v>
      </c>
      <c r="E4404" t="s">
        <v>54</v>
      </c>
      <c r="F4404" t="s">
        <v>55</v>
      </c>
      <c r="G4404" t="s">
        <v>2981</v>
      </c>
      <c r="H4404" t="s">
        <v>18</v>
      </c>
      <c r="I4404" s="26" t="s">
        <v>897</v>
      </c>
    </row>
    <row r="4405" spans="1:9" x14ac:dyDescent="0.3">
      <c r="A4405" s="24">
        <v>45379</v>
      </c>
      <c r="B4405" t="s">
        <v>188</v>
      </c>
      <c r="C4405" t="s">
        <v>2954</v>
      </c>
      <c r="D4405">
        <v>8</v>
      </c>
      <c r="E4405" t="s">
        <v>54</v>
      </c>
      <c r="F4405" t="s">
        <v>55</v>
      </c>
      <c r="H4405" t="s">
        <v>18</v>
      </c>
      <c r="I4405" s="26" t="s">
        <v>897</v>
      </c>
    </row>
    <row r="4406" spans="1:9" x14ac:dyDescent="0.3">
      <c r="A4406" s="24">
        <v>45379</v>
      </c>
      <c r="B4406" t="s">
        <v>190</v>
      </c>
      <c r="C4406" t="s">
        <v>2954</v>
      </c>
      <c r="D4406">
        <v>8</v>
      </c>
      <c r="E4406" t="s">
        <v>54</v>
      </c>
      <c r="F4406" t="s">
        <v>55</v>
      </c>
      <c r="H4406" t="s">
        <v>18</v>
      </c>
      <c r="I4406" s="26" t="s">
        <v>897</v>
      </c>
    </row>
    <row r="4407" spans="1:9" x14ac:dyDescent="0.3">
      <c r="A4407" s="24">
        <v>45379</v>
      </c>
      <c r="B4407" t="s">
        <v>191</v>
      </c>
      <c r="C4407" t="s">
        <v>2954</v>
      </c>
      <c r="D4407">
        <v>8</v>
      </c>
      <c r="E4407" t="s">
        <v>54</v>
      </c>
      <c r="F4407" t="s">
        <v>55</v>
      </c>
      <c r="G4407" t="s">
        <v>2982</v>
      </c>
      <c r="H4407" t="s">
        <v>18</v>
      </c>
      <c r="I4407" s="26" t="s">
        <v>897</v>
      </c>
    </row>
    <row r="4408" spans="1:9" x14ac:dyDescent="0.3">
      <c r="A4408" s="24">
        <v>45379</v>
      </c>
      <c r="B4408" t="s">
        <v>193</v>
      </c>
      <c r="C4408" t="s">
        <v>29</v>
      </c>
      <c r="D4408">
        <v>0.08</v>
      </c>
      <c r="E4408" t="s">
        <v>2983</v>
      </c>
      <c r="F4408" t="s">
        <v>31</v>
      </c>
      <c r="G4408" t="s">
        <v>2984</v>
      </c>
      <c r="H4408" t="s">
        <v>18</v>
      </c>
      <c r="I4408" s="26" t="s">
        <v>897</v>
      </c>
    </row>
    <row r="4409" spans="1:9" x14ac:dyDescent="0.3">
      <c r="A4409" s="24">
        <v>45379</v>
      </c>
      <c r="B4409" t="s">
        <v>193</v>
      </c>
      <c r="C4409" t="s">
        <v>29</v>
      </c>
      <c r="D4409">
        <v>0.12</v>
      </c>
      <c r="E4409" t="s">
        <v>116</v>
      </c>
      <c r="F4409" t="s">
        <v>31</v>
      </c>
      <c r="G4409" t="s">
        <v>2985</v>
      </c>
      <c r="H4409" t="s">
        <v>18</v>
      </c>
      <c r="I4409" s="26" t="s">
        <v>897</v>
      </c>
    </row>
    <row r="4410" spans="1:9" x14ac:dyDescent="0.3">
      <c r="A4410" s="24">
        <v>45379</v>
      </c>
      <c r="B4410" t="s">
        <v>193</v>
      </c>
      <c r="C4410" t="s">
        <v>29</v>
      </c>
      <c r="D4410">
        <v>0.37</v>
      </c>
      <c r="E4410" t="s">
        <v>195</v>
      </c>
      <c r="F4410" t="s">
        <v>31</v>
      </c>
      <c r="G4410" t="s">
        <v>2986</v>
      </c>
      <c r="H4410" t="s">
        <v>18</v>
      </c>
      <c r="I4410" s="26" t="s">
        <v>897</v>
      </c>
    </row>
    <row r="4411" spans="1:9" x14ac:dyDescent="0.3">
      <c r="A4411" s="24">
        <v>45379</v>
      </c>
      <c r="B4411" t="s">
        <v>193</v>
      </c>
      <c r="C4411" t="s">
        <v>29</v>
      </c>
      <c r="D4411">
        <v>0.52</v>
      </c>
      <c r="E4411" t="s">
        <v>108</v>
      </c>
      <c r="F4411" t="s">
        <v>31</v>
      </c>
      <c r="G4411" t="s">
        <v>2987</v>
      </c>
      <c r="H4411" t="s">
        <v>18</v>
      </c>
      <c r="I4411" s="26" t="s">
        <v>897</v>
      </c>
    </row>
    <row r="4412" spans="1:9" x14ac:dyDescent="0.3">
      <c r="A4412" s="24">
        <v>45379</v>
      </c>
      <c r="B4412" t="s">
        <v>193</v>
      </c>
      <c r="C4412" t="s">
        <v>29</v>
      </c>
      <c r="D4412">
        <v>0.82</v>
      </c>
      <c r="E4412" t="s">
        <v>205</v>
      </c>
      <c r="F4412" t="s">
        <v>31</v>
      </c>
      <c r="G4412" t="s">
        <v>2988</v>
      </c>
      <c r="H4412" t="s">
        <v>18</v>
      </c>
      <c r="I4412" s="26" t="s">
        <v>897</v>
      </c>
    </row>
    <row r="4413" spans="1:9" x14ac:dyDescent="0.3">
      <c r="A4413" s="24">
        <v>45379</v>
      </c>
      <c r="B4413" t="s">
        <v>193</v>
      </c>
      <c r="C4413" t="s">
        <v>197</v>
      </c>
      <c r="D4413">
        <v>0.42</v>
      </c>
      <c r="E4413" t="s">
        <v>54</v>
      </c>
      <c r="F4413" t="s">
        <v>55</v>
      </c>
      <c r="G4413" t="s">
        <v>2989</v>
      </c>
      <c r="H4413" t="s">
        <v>18</v>
      </c>
      <c r="I4413" s="26" t="s">
        <v>897</v>
      </c>
    </row>
    <row r="4414" spans="1:9" x14ac:dyDescent="0.3">
      <c r="A4414" s="24">
        <v>45379</v>
      </c>
      <c r="B4414" t="s">
        <v>193</v>
      </c>
      <c r="C4414" t="s">
        <v>197</v>
      </c>
      <c r="D4414">
        <v>0.47</v>
      </c>
      <c r="E4414" t="s">
        <v>54</v>
      </c>
      <c r="F4414" t="s">
        <v>55</v>
      </c>
      <c r="G4414" t="s">
        <v>2990</v>
      </c>
      <c r="H4414" t="s">
        <v>18</v>
      </c>
      <c r="I4414" s="26" t="s">
        <v>897</v>
      </c>
    </row>
    <row r="4415" spans="1:9" x14ac:dyDescent="0.3">
      <c r="A4415" s="24">
        <v>45379</v>
      </c>
      <c r="B4415" t="s">
        <v>193</v>
      </c>
      <c r="C4415" t="s">
        <v>197</v>
      </c>
      <c r="D4415">
        <v>0.67</v>
      </c>
      <c r="E4415" t="s">
        <v>54</v>
      </c>
      <c r="F4415" t="s">
        <v>55</v>
      </c>
      <c r="G4415" t="s">
        <v>2991</v>
      </c>
      <c r="H4415" t="s">
        <v>18</v>
      </c>
      <c r="I4415" s="26" t="s">
        <v>897</v>
      </c>
    </row>
    <row r="4416" spans="1:9" x14ac:dyDescent="0.3">
      <c r="A4416" s="24">
        <v>45379</v>
      </c>
      <c r="B4416" t="s">
        <v>193</v>
      </c>
      <c r="C4416" t="s">
        <v>202</v>
      </c>
      <c r="D4416">
        <v>0.42</v>
      </c>
      <c r="E4416" t="s">
        <v>205</v>
      </c>
      <c r="F4416" t="s">
        <v>31</v>
      </c>
      <c r="G4416" t="s">
        <v>2992</v>
      </c>
      <c r="H4416" t="s">
        <v>18</v>
      </c>
      <c r="I4416" s="26" t="s">
        <v>897</v>
      </c>
    </row>
    <row r="4417" spans="1:9" x14ac:dyDescent="0.3">
      <c r="A4417" s="24">
        <v>45379</v>
      </c>
      <c r="B4417" t="s">
        <v>193</v>
      </c>
      <c r="C4417" t="s">
        <v>202</v>
      </c>
      <c r="D4417">
        <v>0.48</v>
      </c>
      <c r="E4417" t="s">
        <v>195</v>
      </c>
      <c r="F4417" t="s">
        <v>31</v>
      </c>
      <c r="G4417" t="s">
        <v>2993</v>
      </c>
      <c r="H4417" t="s">
        <v>18</v>
      </c>
      <c r="I4417" s="26" t="s">
        <v>897</v>
      </c>
    </row>
    <row r="4418" spans="1:9" x14ac:dyDescent="0.3">
      <c r="A4418" s="24">
        <v>45379</v>
      </c>
      <c r="B4418" t="s">
        <v>193</v>
      </c>
      <c r="C4418" t="s">
        <v>85</v>
      </c>
      <c r="D4418">
        <v>7.0000000000000007E-2</v>
      </c>
      <c r="E4418" t="s">
        <v>953</v>
      </c>
      <c r="F4418" t="s">
        <v>31</v>
      </c>
      <c r="G4418" t="s">
        <v>955</v>
      </c>
      <c r="H4418" t="s">
        <v>18</v>
      </c>
      <c r="I4418" s="26" t="s">
        <v>897</v>
      </c>
    </row>
    <row r="4419" spans="1:9" x14ac:dyDescent="0.3">
      <c r="A4419" s="24">
        <v>45379</v>
      </c>
      <c r="B4419" t="s">
        <v>193</v>
      </c>
      <c r="C4419" t="s">
        <v>53</v>
      </c>
      <c r="D4419">
        <v>0.02</v>
      </c>
      <c r="E4419" t="s">
        <v>54</v>
      </c>
      <c r="F4419" t="s">
        <v>55</v>
      </c>
      <c r="G4419" t="s">
        <v>2994</v>
      </c>
      <c r="H4419" t="s">
        <v>18</v>
      </c>
      <c r="I4419" s="26" t="s">
        <v>897</v>
      </c>
    </row>
    <row r="4420" spans="1:9" x14ac:dyDescent="0.3">
      <c r="A4420" s="24">
        <v>45379</v>
      </c>
      <c r="B4420" t="s">
        <v>193</v>
      </c>
      <c r="C4420" t="s">
        <v>53</v>
      </c>
      <c r="D4420">
        <v>0.25</v>
      </c>
      <c r="E4420" t="s">
        <v>54</v>
      </c>
      <c r="F4420" t="s">
        <v>55</v>
      </c>
      <c r="G4420" t="s">
        <v>2995</v>
      </c>
      <c r="H4420" t="s">
        <v>18</v>
      </c>
      <c r="I4420" s="26" t="s">
        <v>897</v>
      </c>
    </row>
    <row r="4421" spans="1:9" x14ac:dyDescent="0.3">
      <c r="A4421" s="24">
        <v>45379</v>
      </c>
      <c r="B4421" t="s">
        <v>193</v>
      </c>
      <c r="C4421" t="s">
        <v>53</v>
      </c>
      <c r="D4421">
        <v>0.38</v>
      </c>
      <c r="E4421" t="s">
        <v>54</v>
      </c>
      <c r="F4421" t="s">
        <v>55</v>
      </c>
      <c r="G4421" t="s">
        <v>2996</v>
      </c>
      <c r="H4421" t="s">
        <v>18</v>
      </c>
      <c r="I4421" s="26" t="s">
        <v>897</v>
      </c>
    </row>
    <row r="4422" spans="1:9" x14ac:dyDescent="0.3">
      <c r="A4422" s="24">
        <v>45379</v>
      </c>
      <c r="B4422" t="s">
        <v>193</v>
      </c>
      <c r="C4422" t="s">
        <v>53</v>
      </c>
      <c r="D4422">
        <v>0.5</v>
      </c>
      <c r="E4422" t="s">
        <v>54</v>
      </c>
      <c r="F4422" t="s">
        <v>55</v>
      </c>
      <c r="H4422" t="s">
        <v>18</v>
      </c>
      <c r="I4422" s="26" t="s">
        <v>897</v>
      </c>
    </row>
    <row r="4423" spans="1:9" x14ac:dyDescent="0.3">
      <c r="A4423" s="24">
        <v>45379</v>
      </c>
      <c r="B4423" t="s">
        <v>193</v>
      </c>
      <c r="C4423" t="s">
        <v>90</v>
      </c>
      <c r="D4423">
        <v>0.35</v>
      </c>
      <c r="E4423" t="s">
        <v>116</v>
      </c>
      <c r="F4423" t="s">
        <v>31</v>
      </c>
      <c r="G4423" t="s">
        <v>2997</v>
      </c>
      <c r="H4423" t="s">
        <v>18</v>
      </c>
      <c r="I4423" s="26" t="s">
        <v>897</v>
      </c>
    </row>
    <row r="4424" spans="1:9" x14ac:dyDescent="0.3">
      <c r="A4424" s="24">
        <v>45379</v>
      </c>
      <c r="B4424" t="s">
        <v>193</v>
      </c>
      <c r="C4424" t="s">
        <v>60</v>
      </c>
      <c r="D4424">
        <v>0.47</v>
      </c>
      <c r="E4424" t="s">
        <v>162</v>
      </c>
      <c r="F4424" t="s">
        <v>31</v>
      </c>
      <c r="G4424" t="s">
        <v>963</v>
      </c>
      <c r="H4424" t="s">
        <v>18</v>
      </c>
      <c r="I4424" s="26" t="s">
        <v>897</v>
      </c>
    </row>
    <row r="4425" spans="1:9" x14ac:dyDescent="0.3">
      <c r="A4425" s="24">
        <v>45379</v>
      </c>
      <c r="B4425" t="s">
        <v>193</v>
      </c>
      <c r="C4425" t="s">
        <v>60</v>
      </c>
      <c r="D4425">
        <v>0.75</v>
      </c>
      <c r="E4425" t="s">
        <v>162</v>
      </c>
      <c r="F4425" t="s">
        <v>31</v>
      </c>
      <c r="G4425" t="s">
        <v>2998</v>
      </c>
      <c r="H4425" t="s">
        <v>18</v>
      </c>
      <c r="I4425" s="26" t="s">
        <v>897</v>
      </c>
    </row>
    <row r="4426" spans="1:9" x14ac:dyDescent="0.3">
      <c r="A4426" s="24">
        <v>45379</v>
      </c>
      <c r="B4426" t="s">
        <v>212</v>
      </c>
      <c r="C4426" t="s">
        <v>2954</v>
      </c>
      <c r="D4426">
        <v>8</v>
      </c>
      <c r="E4426" t="s">
        <v>54</v>
      </c>
      <c r="F4426" t="s">
        <v>55</v>
      </c>
      <c r="H4426" t="s">
        <v>18</v>
      </c>
      <c r="I4426" s="26" t="s">
        <v>897</v>
      </c>
    </row>
    <row r="4427" spans="1:9" x14ac:dyDescent="0.3">
      <c r="A4427" s="24">
        <v>45379</v>
      </c>
      <c r="B4427" t="s">
        <v>498</v>
      </c>
      <c r="C4427" t="s">
        <v>123</v>
      </c>
      <c r="D4427">
        <v>2</v>
      </c>
      <c r="E4427" t="s">
        <v>54</v>
      </c>
      <c r="F4427" t="s">
        <v>55</v>
      </c>
      <c r="G4427" t="s">
        <v>2999</v>
      </c>
      <c r="H4427" t="s">
        <v>18</v>
      </c>
      <c r="I4427" s="26" t="s">
        <v>897</v>
      </c>
    </row>
    <row r="4428" spans="1:9" x14ac:dyDescent="0.3">
      <c r="A4428" s="24">
        <v>45379</v>
      </c>
      <c r="B4428" t="s">
        <v>498</v>
      </c>
      <c r="C4428" t="s">
        <v>173</v>
      </c>
      <c r="D4428">
        <v>0.17</v>
      </c>
      <c r="E4428" t="s">
        <v>49</v>
      </c>
      <c r="F4428" t="s">
        <v>31</v>
      </c>
      <c r="G4428" t="s">
        <v>3000</v>
      </c>
      <c r="H4428" t="s">
        <v>18</v>
      </c>
      <c r="I4428" s="26" t="s">
        <v>897</v>
      </c>
    </row>
    <row r="4429" spans="1:9" x14ac:dyDescent="0.3">
      <c r="A4429" s="24">
        <v>45379</v>
      </c>
      <c r="B4429" t="s">
        <v>240</v>
      </c>
      <c r="C4429" t="s">
        <v>29</v>
      </c>
      <c r="D4429">
        <v>0.33</v>
      </c>
      <c r="E4429" t="s">
        <v>242</v>
      </c>
      <c r="F4429" t="s">
        <v>31</v>
      </c>
      <c r="H4429" t="s">
        <v>18</v>
      </c>
      <c r="I4429" s="26" t="s">
        <v>897</v>
      </c>
    </row>
    <row r="4430" spans="1:9" x14ac:dyDescent="0.3">
      <c r="A4430" s="24">
        <v>45379</v>
      </c>
      <c r="B4430" t="s">
        <v>240</v>
      </c>
      <c r="C4430" t="s">
        <v>29</v>
      </c>
      <c r="D4430">
        <v>0.53</v>
      </c>
      <c r="E4430" t="s">
        <v>217</v>
      </c>
      <c r="F4430" t="s">
        <v>31</v>
      </c>
      <c r="H4430" t="s">
        <v>18</v>
      </c>
      <c r="I4430" s="26" t="s">
        <v>897</v>
      </c>
    </row>
    <row r="4431" spans="1:9" x14ac:dyDescent="0.3">
      <c r="A4431" s="24">
        <v>45379</v>
      </c>
      <c r="B4431" t="s">
        <v>240</v>
      </c>
      <c r="C4431" t="s">
        <v>29</v>
      </c>
      <c r="D4431">
        <v>0.6</v>
      </c>
      <c r="E4431" t="s">
        <v>242</v>
      </c>
      <c r="F4431" t="s">
        <v>31</v>
      </c>
      <c r="G4431" t="s">
        <v>3001</v>
      </c>
      <c r="H4431" t="s">
        <v>18</v>
      </c>
      <c r="I4431" s="26" t="s">
        <v>897</v>
      </c>
    </row>
    <row r="4432" spans="1:9" x14ac:dyDescent="0.3">
      <c r="A4432" s="24">
        <v>45379</v>
      </c>
      <c r="B4432" t="s">
        <v>240</v>
      </c>
      <c r="C4432" t="s">
        <v>29</v>
      </c>
      <c r="D4432">
        <v>6.55</v>
      </c>
      <c r="E4432" t="s">
        <v>81</v>
      </c>
      <c r="F4432" t="s">
        <v>31</v>
      </c>
      <c r="H4432" t="s">
        <v>18</v>
      </c>
      <c r="I4432" s="26" t="s">
        <v>897</v>
      </c>
    </row>
    <row r="4433" spans="1:9" x14ac:dyDescent="0.3">
      <c r="A4433" s="24">
        <v>45379</v>
      </c>
      <c r="B4433" t="s">
        <v>240</v>
      </c>
      <c r="C4433" t="s">
        <v>60</v>
      </c>
      <c r="D4433">
        <v>2.0299999999999998</v>
      </c>
      <c r="E4433" t="s">
        <v>217</v>
      </c>
      <c r="F4433" t="s">
        <v>31</v>
      </c>
      <c r="H4433" t="s">
        <v>18</v>
      </c>
      <c r="I4433" s="26" t="s">
        <v>897</v>
      </c>
    </row>
    <row r="4434" spans="1:9" x14ac:dyDescent="0.3">
      <c r="A4434" s="24">
        <v>45379</v>
      </c>
      <c r="B4434" t="s">
        <v>249</v>
      </c>
      <c r="C4434" t="s">
        <v>250</v>
      </c>
      <c r="D4434">
        <v>1.5</v>
      </c>
      <c r="E4434" t="s">
        <v>81</v>
      </c>
      <c r="F4434" t="s">
        <v>55</v>
      </c>
      <c r="G4434" t="s">
        <v>251</v>
      </c>
      <c r="H4434" t="s">
        <v>18</v>
      </c>
      <c r="I4434" s="26" t="s">
        <v>897</v>
      </c>
    </row>
    <row r="4435" spans="1:9" x14ac:dyDescent="0.3">
      <c r="A4435" s="24">
        <v>45379</v>
      </c>
      <c r="B4435" t="s">
        <v>249</v>
      </c>
      <c r="C4435" t="s">
        <v>252</v>
      </c>
      <c r="D4435">
        <v>2</v>
      </c>
      <c r="E4435" t="s">
        <v>54</v>
      </c>
      <c r="F4435" t="s">
        <v>55</v>
      </c>
      <c r="H4435" t="s">
        <v>18</v>
      </c>
      <c r="I4435" s="26" t="s">
        <v>897</v>
      </c>
    </row>
    <row r="4436" spans="1:9" x14ac:dyDescent="0.3">
      <c r="A4436" s="24">
        <v>45379</v>
      </c>
      <c r="B4436" t="s">
        <v>249</v>
      </c>
      <c r="C4436" t="s">
        <v>252</v>
      </c>
      <c r="D4436">
        <v>4</v>
      </c>
      <c r="E4436" t="s">
        <v>81</v>
      </c>
      <c r="F4436" t="s">
        <v>31</v>
      </c>
      <c r="H4436" t="s">
        <v>18</v>
      </c>
      <c r="I4436" s="26" t="s">
        <v>897</v>
      </c>
    </row>
    <row r="4437" spans="1:9" x14ac:dyDescent="0.3">
      <c r="A4437" s="24">
        <v>45379</v>
      </c>
      <c r="B4437" t="s">
        <v>249</v>
      </c>
      <c r="C4437" t="s">
        <v>53</v>
      </c>
      <c r="D4437">
        <v>0.5</v>
      </c>
      <c r="E4437" t="s">
        <v>54</v>
      </c>
      <c r="F4437" t="s">
        <v>55</v>
      </c>
      <c r="G4437" t="s">
        <v>253</v>
      </c>
      <c r="H4437" t="s">
        <v>18</v>
      </c>
      <c r="I4437" s="26" t="s">
        <v>897</v>
      </c>
    </row>
    <row r="4438" spans="1:9" x14ac:dyDescent="0.3">
      <c r="A4438" s="24">
        <v>45379</v>
      </c>
      <c r="B4438" t="s">
        <v>262</v>
      </c>
      <c r="C4438" t="s">
        <v>2954</v>
      </c>
      <c r="D4438">
        <v>8</v>
      </c>
      <c r="E4438" t="s">
        <v>54</v>
      </c>
      <c r="F4438" t="s">
        <v>55</v>
      </c>
      <c r="H4438" t="s">
        <v>18</v>
      </c>
      <c r="I4438" s="26" t="s">
        <v>897</v>
      </c>
    </row>
    <row r="4439" spans="1:9" x14ac:dyDescent="0.3">
      <c r="A4439" s="24">
        <v>45379</v>
      </c>
      <c r="B4439" t="s">
        <v>266</v>
      </c>
      <c r="C4439" t="s">
        <v>2954</v>
      </c>
      <c r="D4439">
        <v>8</v>
      </c>
      <c r="E4439" t="s">
        <v>54</v>
      </c>
      <c r="F4439" t="s">
        <v>55</v>
      </c>
      <c r="G4439" t="s">
        <v>2982</v>
      </c>
      <c r="H4439" t="s">
        <v>18</v>
      </c>
      <c r="I4439" s="26" t="s">
        <v>897</v>
      </c>
    </row>
    <row r="4440" spans="1:9" x14ac:dyDescent="0.3">
      <c r="A4440" s="24">
        <v>45379</v>
      </c>
      <c r="B4440" t="s">
        <v>269</v>
      </c>
      <c r="C4440" t="s">
        <v>29</v>
      </c>
      <c r="D4440">
        <v>0.72</v>
      </c>
      <c r="E4440" t="s">
        <v>30</v>
      </c>
      <c r="F4440" t="s">
        <v>31</v>
      </c>
      <c r="G4440" t="s">
        <v>3002</v>
      </c>
      <c r="H4440" t="s">
        <v>18</v>
      </c>
      <c r="I4440" s="26" t="s">
        <v>897</v>
      </c>
    </row>
    <row r="4441" spans="1:9" x14ac:dyDescent="0.3">
      <c r="A4441" s="24">
        <v>45379</v>
      </c>
      <c r="B4441" t="s">
        <v>269</v>
      </c>
      <c r="C4441" t="s">
        <v>29</v>
      </c>
      <c r="D4441">
        <v>1.05</v>
      </c>
      <c r="E4441" t="s">
        <v>30</v>
      </c>
      <c r="F4441" t="s">
        <v>31</v>
      </c>
      <c r="G4441" t="s">
        <v>3003</v>
      </c>
      <c r="H4441" t="s">
        <v>18</v>
      </c>
      <c r="I4441" s="26" t="s">
        <v>897</v>
      </c>
    </row>
    <row r="4442" spans="1:9" x14ac:dyDescent="0.3">
      <c r="A4442" s="24">
        <v>45379</v>
      </c>
      <c r="B4442" t="s">
        <v>269</v>
      </c>
      <c r="C4442" t="s">
        <v>29</v>
      </c>
      <c r="D4442">
        <v>1.73</v>
      </c>
      <c r="E4442" t="s">
        <v>271</v>
      </c>
      <c r="F4442" t="s">
        <v>31</v>
      </c>
      <c r="G4442" t="s">
        <v>3004</v>
      </c>
      <c r="H4442" t="s">
        <v>18</v>
      </c>
      <c r="I4442" s="26" t="s">
        <v>897</v>
      </c>
    </row>
    <row r="4443" spans="1:9" x14ac:dyDescent="0.3">
      <c r="A4443" s="24">
        <v>45379</v>
      </c>
      <c r="B4443" t="s">
        <v>269</v>
      </c>
      <c r="C4443" t="s">
        <v>197</v>
      </c>
      <c r="D4443">
        <v>0.63</v>
      </c>
      <c r="E4443" t="s">
        <v>54</v>
      </c>
      <c r="F4443" t="s">
        <v>55</v>
      </c>
      <c r="G4443" t="s">
        <v>3005</v>
      </c>
      <c r="H4443" t="s">
        <v>18</v>
      </c>
      <c r="I4443" s="26" t="s">
        <v>897</v>
      </c>
    </row>
    <row r="4444" spans="1:9" x14ac:dyDescent="0.3">
      <c r="A4444" s="24">
        <v>45379</v>
      </c>
      <c r="B4444" t="s">
        <v>269</v>
      </c>
      <c r="C4444" t="s">
        <v>2954</v>
      </c>
      <c r="D4444">
        <v>4</v>
      </c>
      <c r="E4444" t="s">
        <v>54</v>
      </c>
      <c r="F4444" t="s">
        <v>55</v>
      </c>
      <c r="H4444" t="s">
        <v>18</v>
      </c>
      <c r="I4444" s="26" t="s">
        <v>897</v>
      </c>
    </row>
    <row r="4445" spans="1:9" x14ac:dyDescent="0.3">
      <c r="A4445" s="24">
        <v>45379</v>
      </c>
      <c r="B4445" t="s">
        <v>278</v>
      </c>
      <c r="C4445" t="s">
        <v>2954</v>
      </c>
      <c r="D4445">
        <v>8</v>
      </c>
      <c r="E4445" t="s">
        <v>54</v>
      </c>
      <c r="F4445" t="s">
        <v>55</v>
      </c>
      <c r="G4445" t="s">
        <v>2981</v>
      </c>
      <c r="H4445" t="s">
        <v>18</v>
      </c>
      <c r="I4445" s="26" t="s">
        <v>897</v>
      </c>
    </row>
    <row r="4446" spans="1:9" x14ac:dyDescent="0.3">
      <c r="A4446" s="24">
        <v>45379</v>
      </c>
      <c r="B4446" t="s">
        <v>286</v>
      </c>
      <c r="C4446" t="s">
        <v>2954</v>
      </c>
      <c r="D4446">
        <v>9</v>
      </c>
      <c r="E4446" t="s">
        <v>54</v>
      </c>
      <c r="F4446" t="s">
        <v>55</v>
      </c>
      <c r="H4446" t="s">
        <v>18</v>
      </c>
      <c r="I4446" s="26" t="s">
        <v>897</v>
      </c>
    </row>
    <row r="4447" spans="1:9" x14ac:dyDescent="0.3">
      <c r="A4447" s="24">
        <v>45379</v>
      </c>
      <c r="B4447" t="s">
        <v>289</v>
      </c>
      <c r="C4447" t="s">
        <v>29</v>
      </c>
      <c r="D4447">
        <v>0.5</v>
      </c>
      <c r="E4447" t="s">
        <v>151</v>
      </c>
      <c r="F4447" t="s">
        <v>31</v>
      </c>
      <c r="H4447" t="s">
        <v>18</v>
      </c>
      <c r="I4447" s="26" t="s">
        <v>897</v>
      </c>
    </row>
    <row r="4448" spans="1:9" x14ac:dyDescent="0.3">
      <c r="A4448" s="24">
        <v>45379</v>
      </c>
      <c r="B4448" t="s">
        <v>289</v>
      </c>
      <c r="C4448" t="s">
        <v>29</v>
      </c>
      <c r="D4448">
        <v>0.5</v>
      </c>
      <c r="E4448" t="s">
        <v>226</v>
      </c>
      <c r="F4448" t="s">
        <v>31</v>
      </c>
      <c r="H4448" t="s">
        <v>18</v>
      </c>
      <c r="I4448" s="26" t="s">
        <v>897</v>
      </c>
    </row>
    <row r="4449" spans="1:9" x14ac:dyDescent="0.3">
      <c r="A4449" s="24">
        <v>45379</v>
      </c>
      <c r="B4449" t="s">
        <v>289</v>
      </c>
      <c r="C4449" t="s">
        <v>29</v>
      </c>
      <c r="D4449">
        <v>0.5</v>
      </c>
      <c r="E4449" t="s">
        <v>290</v>
      </c>
      <c r="F4449" t="s">
        <v>31</v>
      </c>
      <c r="H4449" t="s">
        <v>18</v>
      </c>
      <c r="I4449" s="26" t="s">
        <v>897</v>
      </c>
    </row>
    <row r="4450" spans="1:9" x14ac:dyDescent="0.3">
      <c r="A4450" s="24">
        <v>45379</v>
      </c>
      <c r="B4450" t="s">
        <v>289</v>
      </c>
      <c r="C4450" t="s">
        <v>29</v>
      </c>
      <c r="D4450">
        <v>3</v>
      </c>
      <c r="E4450" t="s">
        <v>49</v>
      </c>
      <c r="F4450" t="s">
        <v>31</v>
      </c>
      <c r="H4450" t="s">
        <v>18</v>
      </c>
      <c r="I4450" s="26" t="s">
        <v>897</v>
      </c>
    </row>
    <row r="4451" spans="1:9" x14ac:dyDescent="0.3">
      <c r="A4451" s="24">
        <v>45379</v>
      </c>
      <c r="B4451" t="s">
        <v>289</v>
      </c>
      <c r="C4451" t="s">
        <v>58</v>
      </c>
      <c r="D4451">
        <v>1</v>
      </c>
      <c r="E4451" t="s">
        <v>54</v>
      </c>
      <c r="F4451" t="s">
        <v>55</v>
      </c>
      <c r="G4451" t="s">
        <v>3006</v>
      </c>
      <c r="H4451" t="s">
        <v>18</v>
      </c>
      <c r="I4451" s="26" t="s">
        <v>897</v>
      </c>
    </row>
    <row r="4452" spans="1:9" x14ac:dyDescent="0.3">
      <c r="A4452" s="24">
        <v>45379</v>
      </c>
      <c r="B4452" t="s">
        <v>294</v>
      </c>
      <c r="C4452" t="s">
        <v>202</v>
      </c>
      <c r="D4452">
        <v>0.42</v>
      </c>
      <c r="E4452" t="s">
        <v>30</v>
      </c>
      <c r="F4452" t="s">
        <v>31</v>
      </c>
      <c r="G4452" t="s">
        <v>3007</v>
      </c>
      <c r="H4452" t="s">
        <v>18</v>
      </c>
      <c r="I4452" s="26" t="s">
        <v>897</v>
      </c>
    </row>
    <row r="4453" spans="1:9" x14ac:dyDescent="0.3">
      <c r="A4453" s="24">
        <v>45379</v>
      </c>
      <c r="B4453" t="s">
        <v>294</v>
      </c>
      <c r="C4453" t="s">
        <v>202</v>
      </c>
      <c r="D4453">
        <v>0.92</v>
      </c>
      <c r="E4453" t="s">
        <v>295</v>
      </c>
      <c r="F4453" t="s">
        <v>31</v>
      </c>
      <c r="G4453" t="s">
        <v>3008</v>
      </c>
      <c r="H4453" t="s">
        <v>18</v>
      </c>
      <c r="I4453" s="26" t="s">
        <v>897</v>
      </c>
    </row>
    <row r="4454" spans="1:9" x14ac:dyDescent="0.3">
      <c r="A4454" s="24">
        <v>45379</v>
      </c>
      <c r="B4454" t="s">
        <v>294</v>
      </c>
      <c r="C4454" t="s">
        <v>202</v>
      </c>
      <c r="D4454">
        <v>1.25</v>
      </c>
      <c r="E4454" t="s">
        <v>1022</v>
      </c>
      <c r="F4454" t="s">
        <v>55</v>
      </c>
      <c r="G4454" t="s">
        <v>3009</v>
      </c>
      <c r="H4454" t="s">
        <v>18</v>
      </c>
      <c r="I4454" s="26" t="s">
        <v>897</v>
      </c>
    </row>
    <row r="4455" spans="1:9" x14ac:dyDescent="0.3">
      <c r="A4455" s="24">
        <v>45379</v>
      </c>
      <c r="B4455" t="s">
        <v>294</v>
      </c>
      <c r="C4455" t="s">
        <v>202</v>
      </c>
      <c r="D4455">
        <v>2.0299999999999998</v>
      </c>
      <c r="E4455" t="s">
        <v>30</v>
      </c>
      <c r="F4455" t="s">
        <v>55</v>
      </c>
      <c r="G4455" t="s">
        <v>3010</v>
      </c>
      <c r="H4455" t="s">
        <v>18</v>
      </c>
      <c r="I4455" s="26" t="s">
        <v>897</v>
      </c>
    </row>
    <row r="4456" spans="1:9" x14ac:dyDescent="0.3">
      <c r="A4456" s="24">
        <v>45379</v>
      </c>
      <c r="B4456" t="s">
        <v>294</v>
      </c>
      <c r="C4456" t="s">
        <v>53</v>
      </c>
      <c r="D4456">
        <v>1.5</v>
      </c>
      <c r="E4456" t="s">
        <v>54</v>
      </c>
      <c r="F4456" t="s">
        <v>55</v>
      </c>
      <c r="G4456" t="s">
        <v>2343</v>
      </c>
      <c r="H4456" t="s">
        <v>18</v>
      </c>
      <c r="I4456" s="26" t="s">
        <v>897</v>
      </c>
    </row>
    <row r="4457" spans="1:9" x14ac:dyDescent="0.3">
      <c r="A4457" s="24">
        <v>45379</v>
      </c>
      <c r="B4457" t="s">
        <v>301</v>
      </c>
      <c r="C4457" t="s">
        <v>2954</v>
      </c>
      <c r="D4457">
        <v>8</v>
      </c>
      <c r="E4457" t="s">
        <v>54</v>
      </c>
      <c r="F4457" t="s">
        <v>55</v>
      </c>
      <c r="G4457" t="s">
        <v>2981</v>
      </c>
      <c r="H4457" t="s">
        <v>18</v>
      </c>
      <c r="I4457" s="26" t="s">
        <v>897</v>
      </c>
    </row>
    <row r="4458" spans="1:9" x14ac:dyDescent="0.3">
      <c r="A4458" s="24">
        <v>45379</v>
      </c>
      <c r="B4458" t="s">
        <v>313</v>
      </c>
      <c r="C4458" t="s">
        <v>29</v>
      </c>
      <c r="D4458">
        <v>0.22</v>
      </c>
      <c r="E4458" t="s">
        <v>170</v>
      </c>
      <c r="F4458" t="s">
        <v>31</v>
      </c>
      <c r="G4458" t="s">
        <v>3011</v>
      </c>
      <c r="H4458" t="s">
        <v>18</v>
      </c>
      <c r="I4458" s="26" t="s">
        <v>897</v>
      </c>
    </row>
    <row r="4459" spans="1:9" x14ac:dyDescent="0.3">
      <c r="A4459" s="24">
        <v>45379</v>
      </c>
      <c r="B4459" t="s">
        <v>313</v>
      </c>
      <c r="C4459" t="s">
        <v>29</v>
      </c>
      <c r="D4459">
        <v>0.72</v>
      </c>
      <c r="E4459" t="s">
        <v>91</v>
      </c>
      <c r="F4459" t="s">
        <v>31</v>
      </c>
      <c r="G4459" t="s">
        <v>3012</v>
      </c>
      <c r="H4459" t="s">
        <v>18</v>
      </c>
      <c r="I4459" s="26" t="s">
        <v>897</v>
      </c>
    </row>
    <row r="4460" spans="1:9" x14ac:dyDescent="0.3">
      <c r="A4460" s="24">
        <v>45379</v>
      </c>
      <c r="B4460" t="s">
        <v>313</v>
      </c>
      <c r="C4460" t="s">
        <v>29</v>
      </c>
      <c r="D4460">
        <v>1.95</v>
      </c>
      <c r="E4460" t="s">
        <v>91</v>
      </c>
      <c r="F4460" t="s">
        <v>31</v>
      </c>
      <c r="G4460" t="s">
        <v>3013</v>
      </c>
      <c r="H4460" t="s">
        <v>18</v>
      </c>
      <c r="I4460" s="26" t="s">
        <v>897</v>
      </c>
    </row>
    <row r="4461" spans="1:9" x14ac:dyDescent="0.3">
      <c r="A4461" s="24">
        <v>45379</v>
      </c>
      <c r="B4461" t="s">
        <v>313</v>
      </c>
      <c r="C4461" t="s">
        <v>29</v>
      </c>
      <c r="D4461">
        <v>2.52</v>
      </c>
      <c r="E4461" t="s">
        <v>170</v>
      </c>
      <c r="F4461" t="s">
        <v>31</v>
      </c>
      <c r="H4461" t="s">
        <v>18</v>
      </c>
      <c r="I4461" s="26" t="s">
        <v>897</v>
      </c>
    </row>
    <row r="4462" spans="1:9" x14ac:dyDescent="0.3">
      <c r="A4462" s="24">
        <v>45379</v>
      </c>
      <c r="B4462" t="s">
        <v>313</v>
      </c>
      <c r="C4462" t="s">
        <v>53</v>
      </c>
      <c r="D4462">
        <v>0.3</v>
      </c>
      <c r="E4462" t="s">
        <v>54</v>
      </c>
      <c r="F4462" t="s">
        <v>55</v>
      </c>
      <c r="G4462" t="s">
        <v>316</v>
      </c>
      <c r="H4462" t="s">
        <v>18</v>
      </c>
      <c r="I4462" s="26" t="s">
        <v>897</v>
      </c>
    </row>
    <row r="4463" spans="1:9" x14ac:dyDescent="0.3">
      <c r="A4463" s="24">
        <v>45379</v>
      </c>
      <c r="B4463" t="s">
        <v>313</v>
      </c>
      <c r="C4463" t="s">
        <v>60</v>
      </c>
      <c r="D4463">
        <v>0.42</v>
      </c>
      <c r="E4463" t="s">
        <v>162</v>
      </c>
      <c r="F4463" t="s">
        <v>31</v>
      </c>
      <c r="G4463" t="s">
        <v>3014</v>
      </c>
      <c r="H4463" t="s">
        <v>18</v>
      </c>
      <c r="I4463" s="26" t="s">
        <v>897</v>
      </c>
    </row>
    <row r="4464" spans="1:9" x14ac:dyDescent="0.3">
      <c r="A4464" s="24">
        <v>45379</v>
      </c>
      <c r="B4464" t="s">
        <v>313</v>
      </c>
      <c r="C4464" t="s">
        <v>60</v>
      </c>
      <c r="D4464">
        <v>1.45</v>
      </c>
      <c r="E4464" t="s">
        <v>170</v>
      </c>
      <c r="F4464" t="s">
        <v>31</v>
      </c>
      <c r="H4464" t="s">
        <v>18</v>
      </c>
      <c r="I4464" s="26" t="s">
        <v>897</v>
      </c>
    </row>
    <row r="4465" spans="1:9" x14ac:dyDescent="0.3">
      <c r="A4465" s="24">
        <v>45379</v>
      </c>
      <c r="B4465" t="s">
        <v>313</v>
      </c>
      <c r="C4465" t="s">
        <v>60</v>
      </c>
      <c r="D4465">
        <v>1.55</v>
      </c>
      <c r="E4465" t="s">
        <v>162</v>
      </c>
      <c r="F4465" t="s">
        <v>31</v>
      </c>
      <c r="G4465" t="s">
        <v>3015</v>
      </c>
      <c r="H4465" t="s">
        <v>18</v>
      </c>
      <c r="I4465" s="26" t="s">
        <v>897</v>
      </c>
    </row>
    <row r="4466" spans="1:9" x14ac:dyDescent="0.3">
      <c r="A4466" s="24">
        <v>45379</v>
      </c>
      <c r="B4466" t="s">
        <v>318</v>
      </c>
      <c r="C4466" t="s">
        <v>2954</v>
      </c>
      <c r="D4466">
        <v>8</v>
      </c>
      <c r="E4466" t="s">
        <v>54</v>
      </c>
      <c r="F4466" t="s">
        <v>55</v>
      </c>
      <c r="G4466" t="s">
        <v>2982</v>
      </c>
      <c r="H4466" t="s">
        <v>18</v>
      </c>
      <c r="I4466" s="26" t="s">
        <v>897</v>
      </c>
    </row>
    <row r="4467" spans="1:9" x14ac:dyDescent="0.3">
      <c r="A4467" s="24">
        <v>45379</v>
      </c>
      <c r="B4467" t="s">
        <v>324</v>
      </c>
      <c r="C4467" t="s">
        <v>29</v>
      </c>
      <c r="D4467">
        <v>8.75</v>
      </c>
      <c r="E4467" t="s">
        <v>81</v>
      </c>
      <c r="F4467" t="s">
        <v>31</v>
      </c>
      <c r="H4467" t="s">
        <v>18</v>
      </c>
      <c r="I4467" s="26" t="s">
        <v>897</v>
      </c>
    </row>
    <row r="4468" spans="1:9" x14ac:dyDescent="0.3">
      <c r="A4468" s="24">
        <v>45379</v>
      </c>
      <c r="B4468" t="s">
        <v>328</v>
      </c>
      <c r="C4468" t="s">
        <v>29</v>
      </c>
      <c r="D4468">
        <v>0.38</v>
      </c>
      <c r="E4468" t="s">
        <v>135</v>
      </c>
      <c r="F4468" t="s">
        <v>31</v>
      </c>
      <c r="G4468" t="s">
        <v>3016</v>
      </c>
      <c r="H4468" t="s">
        <v>18</v>
      </c>
      <c r="I4468" s="26" t="s">
        <v>897</v>
      </c>
    </row>
    <row r="4469" spans="1:9" x14ac:dyDescent="0.3">
      <c r="A4469" s="24">
        <v>45379</v>
      </c>
      <c r="B4469" t="s">
        <v>328</v>
      </c>
      <c r="C4469" t="s">
        <v>202</v>
      </c>
      <c r="D4469">
        <v>0.97</v>
      </c>
      <c r="E4469" t="s">
        <v>1808</v>
      </c>
      <c r="F4469" t="s">
        <v>31</v>
      </c>
      <c r="G4469" t="s">
        <v>3017</v>
      </c>
      <c r="H4469" t="s">
        <v>18</v>
      </c>
      <c r="I4469" s="26" t="s">
        <v>897</v>
      </c>
    </row>
    <row r="4470" spans="1:9" x14ac:dyDescent="0.3">
      <c r="A4470" s="24">
        <v>45379</v>
      </c>
      <c r="B4470" t="s">
        <v>328</v>
      </c>
      <c r="C4470" t="s">
        <v>53</v>
      </c>
      <c r="D4470">
        <v>0.5</v>
      </c>
      <c r="E4470" t="s">
        <v>54</v>
      </c>
      <c r="F4470" t="s">
        <v>55</v>
      </c>
      <c r="G4470" t="s">
        <v>253</v>
      </c>
      <c r="H4470" t="s">
        <v>18</v>
      </c>
      <c r="I4470" s="26" t="s">
        <v>897</v>
      </c>
    </row>
    <row r="4471" spans="1:9" x14ac:dyDescent="0.3">
      <c r="A4471" s="24">
        <v>45379</v>
      </c>
      <c r="B4471" t="s">
        <v>328</v>
      </c>
      <c r="C4471" t="s">
        <v>58</v>
      </c>
      <c r="D4471">
        <v>1.58</v>
      </c>
      <c r="E4471" t="s">
        <v>54</v>
      </c>
      <c r="F4471" t="s">
        <v>55</v>
      </c>
      <c r="G4471" t="s">
        <v>3018</v>
      </c>
      <c r="H4471" t="s">
        <v>18</v>
      </c>
      <c r="I4471" s="26" t="s">
        <v>897</v>
      </c>
    </row>
    <row r="4472" spans="1:9" x14ac:dyDescent="0.3">
      <c r="A4472" s="24">
        <v>45379</v>
      </c>
      <c r="B4472" t="s">
        <v>328</v>
      </c>
      <c r="C4472" t="s">
        <v>60</v>
      </c>
      <c r="D4472">
        <v>0.7</v>
      </c>
      <c r="E4472" t="s">
        <v>81</v>
      </c>
      <c r="F4472" t="s">
        <v>31</v>
      </c>
      <c r="G4472" t="s">
        <v>3019</v>
      </c>
      <c r="H4472" t="s">
        <v>18</v>
      </c>
      <c r="I4472" s="26" t="s">
        <v>897</v>
      </c>
    </row>
    <row r="4473" spans="1:9" x14ac:dyDescent="0.3">
      <c r="A4473" s="24">
        <v>45379</v>
      </c>
      <c r="B4473" t="s">
        <v>328</v>
      </c>
      <c r="C4473" t="s">
        <v>60</v>
      </c>
      <c r="D4473">
        <v>1.7</v>
      </c>
      <c r="E4473" t="s">
        <v>162</v>
      </c>
      <c r="F4473" t="s">
        <v>31</v>
      </c>
      <c r="G4473" t="s">
        <v>3020</v>
      </c>
      <c r="H4473" t="s">
        <v>18</v>
      </c>
      <c r="I4473" s="26" t="s">
        <v>897</v>
      </c>
    </row>
    <row r="4474" spans="1:9" x14ac:dyDescent="0.3">
      <c r="A4474" s="24">
        <v>45379</v>
      </c>
      <c r="B4474" t="s">
        <v>328</v>
      </c>
      <c r="C4474" t="s">
        <v>60</v>
      </c>
      <c r="D4474">
        <v>2.23</v>
      </c>
      <c r="E4474" t="s">
        <v>81</v>
      </c>
      <c r="F4474" t="s">
        <v>31</v>
      </c>
      <c r="G4474" t="s">
        <v>1045</v>
      </c>
      <c r="H4474" t="s">
        <v>18</v>
      </c>
      <c r="I4474" s="26" t="s">
        <v>897</v>
      </c>
    </row>
    <row r="4475" spans="1:9" x14ac:dyDescent="0.3">
      <c r="A4475" s="24">
        <v>45379</v>
      </c>
      <c r="B4475" t="s">
        <v>329</v>
      </c>
      <c r="C4475" t="s">
        <v>90</v>
      </c>
      <c r="D4475">
        <v>0.13</v>
      </c>
      <c r="E4475" t="s">
        <v>1170</v>
      </c>
      <c r="F4475" t="s">
        <v>31</v>
      </c>
      <c r="G4475" t="s">
        <v>3021</v>
      </c>
      <c r="H4475" t="s">
        <v>18</v>
      </c>
      <c r="I4475" s="26" t="s">
        <v>897</v>
      </c>
    </row>
    <row r="4476" spans="1:9" x14ac:dyDescent="0.3">
      <c r="A4476" s="24">
        <v>45379</v>
      </c>
      <c r="B4476" t="s">
        <v>331</v>
      </c>
      <c r="C4476" t="s">
        <v>29</v>
      </c>
      <c r="D4476">
        <v>1</v>
      </c>
      <c r="E4476" t="s">
        <v>176</v>
      </c>
      <c r="F4476" t="s">
        <v>31</v>
      </c>
      <c r="G4476" t="s">
        <v>3022</v>
      </c>
      <c r="H4476" t="s">
        <v>18</v>
      </c>
      <c r="I4476" s="26" t="s">
        <v>897</v>
      </c>
    </row>
    <row r="4477" spans="1:9" x14ac:dyDescent="0.3">
      <c r="A4477" s="24">
        <v>45379</v>
      </c>
      <c r="B4477" t="s">
        <v>331</v>
      </c>
      <c r="C4477" t="s">
        <v>29</v>
      </c>
      <c r="D4477">
        <v>1</v>
      </c>
      <c r="E4477" t="s">
        <v>218</v>
      </c>
      <c r="F4477" t="s">
        <v>31</v>
      </c>
      <c r="G4477" t="s">
        <v>3023</v>
      </c>
      <c r="H4477" t="s">
        <v>18</v>
      </c>
      <c r="I4477" s="26" t="s">
        <v>897</v>
      </c>
    </row>
    <row r="4478" spans="1:9" x14ac:dyDescent="0.3">
      <c r="A4478" s="24">
        <v>45379</v>
      </c>
      <c r="B4478" t="s">
        <v>331</v>
      </c>
      <c r="C4478" t="s">
        <v>29</v>
      </c>
      <c r="D4478">
        <v>2.2999999999999998</v>
      </c>
      <c r="E4478" t="s">
        <v>91</v>
      </c>
      <c r="F4478" t="s">
        <v>31</v>
      </c>
      <c r="H4478" t="s">
        <v>18</v>
      </c>
      <c r="I4478" s="26" t="s">
        <v>897</v>
      </c>
    </row>
    <row r="4479" spans="1:9" x14ac:dyDescent="0.3">
      <c r="A4479" s="24">
        <v>45379</v>
      </c>
      <c r="B4479" t="s">
        <v>331</v>
      </c>
      <c r="C4479" t="s">
        <v>85</v>
      </c>
      <c r="D4479">
        <v>1.37</v>
      </c>
      <c r="E4479" t="s">
        <v>91</v>
      </c>
      <c r="F4479" t="s">
        <v>31</v>
      </c>
      <c r="G4479" t="s">
        <v>3024</v>
      </c>
      <c r="H4479" t="s">
        <v>18</v>
      </c>
      <c r="I4479" s="26" t="s">
        <v>897</v>
      </c>
    </row>
    <row r="4480" spans="1:9" x14ac:dyDescent="0.3">
      <c r="A4480" s="24">
        <v>45379</v>
      </c>
      <c r="B4480" t="s">
        <v>331</v>
      </c>
      <c r="C4480" t="s">
        <v>53</v>
      </c>
      <c r="D4480">
        <v>0.4</v>
      </c>
      <c r="E4480" t="s">
        <v>54</v>
      </c>
      <c r="F4480" t="s">
        <v>55</v>
      </c>
      <c r="G4480" t="s">
        <v>332</v>
      </c>
      <c r="H4480" t="s">
        <v>18</v>
      </c>
      <c r="I4480" s="26" t="s">
        <v>897</v>
      </c>
    </row>
    <row r="4481" spans="1:9" x14ac:dyDescent="0.3">
      <c r="A4481" s="24">
        <v>45379</v>
      </c>
      <c r="B4481" t="s">
        <v>331</v>
      </c>
      <c r="C4481" t="s">
        <v>60</v>
      </c>
      <c r="D4481">
        <v>2.0299999999999998</v>
      </c>
      <c r="E4481" t="s">
        <v>334</v>
      </c>
      <c r="F4481" t="s">
        <v>31</v>
      </c>
      <c r="G4481" t="s">
        <v>3025</v>
      </c>
      <c r="H4481" t="s">
        <v>18</v>
      </c>
      <c r="I4481" s="26" t="s">
        <v>897</v>
      </c>
    </row>
    <row r="4482" spans="1:9" x14ac:dyDescent="0.3">
      <c r="A4482" s="24">
        <v>45379</v>
      </c>
      <c r="B4482" t="s">
        <v>340</v>
      </c>
      <c r="C4482" t="s">
        <v>202</v>
      </c>
      <c r="D4482">
        <v>0.5</v>
      </c>
      <c r="E4482" t="s">
        <v>156</v>
      </c>
      <c r="F4482" t="s">
        <v>31</v>
      </c>
      <c r="G4482" t="s">
        <v>3026</v>
      </c>
      <c r="H4482" t="s">
        <v>18</v>
      </c>
      <c r="I4482" s="26" t="s">
        <v>897</v>
      </c>
    </row>
    <row r="4483" spans="1:9" x14ac:dyDescent="0.3">
      <c r="A4483" s="24">
        <v>45379</v>
      </c>
      <c r="B4483" t="s">
        <v>340</v>
      </c>
      <c r="C4483" t="s">
        <v>202</v>
      </c>
      <c r="D4483">
        <v>1</v>
      </c>
      <c r="E4483" t="s">
        <v>226</v>
      </c>
      <c r="F4483" t="s">
        <v>31</v>
      </c>
      <c r="G4483" t="s">
        <v>3027</v>
      </c>
      <c r="H4483" t="s">
        <v>18</v>
      </c>
      <c r="I4483" s="26" t="s">
        <v>897</v>
      </c>
    </row>
    <row r="4484" spans="1:9" x14ac:dyDescent="0.3">
      <c r="A4484" s="24">
        <v>45379</v>
      </c>
      <c r="B4484" t="s">
        <v>340</v>
      </c>
      <c r="C4484" t="s">
        <v>202</v>
      </c>
      <c r="D4484">
        <v>1</v>
      </c>
      <c r="E4484" t="s">
        <v>176</v>
      </c>
      <c r="F4484" t="s">
        <v>31</v>
      </c>
      <c r="G4484" t="s">
        <v>3028</v>
      </c>
      <c r="H4484" t="s">
        <v>18</v>
      </c>
      <c r="I4484" s="26" t="s">
        <v>897</v>
      </c>
    </row>
    <row r="4485" spans="1:9" x14ac:dyDescent="0.3">
      <c r="A4485" s="24">
        <v>45379</v>
      </c>
      <c r="B4485" t="s">
        <v>340</v>
      </c>
      <c r="C4485" t="s">
        <v>202</v>
      </c>
      <c r="D4485">
        <v>4</v>
      </c>
      <c r="E4485" t="s">
        <v>1216</v>
      </c>
      <c r="F4485" t="s">
        <v>31</v>
      </c>
      <c r="G4485" t="s">
        <v>3029</v>
      </c>
      <c r="H4485" t="s">
        <v>18</v>
      </c>
      <c r="I4485" s="26" t="s">
        <v>897</v>
      </c>
    </row>
    <row r="4486" spans="1:9" x14ac:dyDescent="0.3">
      <c r="A4486" s="24">
        <v>45379</v>
      </c>
      <c r="B4486" t="s">
        <v>340</v>
      </c>
      <c r="C4486" t="s">
        <v>53</v>
      </c>
      <c r="D4486">
        <v>1</v>
      </c>
      <c r="E4486" t="s">
        <v>54</v>
      </c>
      <c r="F4486" t="s">
        <v>55</v>
      </c>
      <c r="G4486" t="s">
        <v>3030</v>
      </c>
      <c r="H4486" t="s">
        <v>18</v>
      </c>
      <c r="I4486" s="26" t="s">
        <v>897</v>
      </c>
    </row>
    <row r="4487" spans="1:9" x14ac:dyDescent="0.3">
      <c r="A4487" s="24">
        <v>45379</v>
      </c>
      <c r="B4487" t="s">
        <v>351</v>
      </c>
      <c r="C4487" t="s">
        <v>29</v>
      </c>
      <c r="D4487">
        <v>0.5</v>
      </c>
      <c r="E4487" t="s">
        <v>179</v>
      </c>
      <c r="F4487" t="s">
        <v>31</v>
      </c>
      <c r="G4487" t="s">
        <v>3031</v>
      </c>
      <c r="H4487" t="s">
        <v>18</v>
      </c>
      <c r="I4487" s="26" t="s">
        <v>897</v>
      </c>
    </row>
    <row r="4488" spans="1:9" x14ac:dyDescent="0.3">
      <c r="A4488" s="24">
        <v>45379</v>
      </c>
      <c r="B4488" t="s">
        <v>351</v>
      </c>
      <c r="C4488" t="s">
        <v>29</v>
      </c>
      <c r="D4488">
        <v>0.5</v>
      </c>
      <c r="E4488" t="s">
        <v>217</v>
      </c>
      <c r="F4488" t="s">
        <v>31</v>
      </c>
      <c r="G4488" t="s">
        <v>3032</v>
      </c>
      <c r="H4488" t="s">
        <v>18</v>
      </c>
      <c r="I4488" s="26" t="s">
        <v>897</v>
      </c>
    </row>
    <row r="4489" spans="1:9" x14ac:dyDescent="0.3">
      <c r="A4489" s="24">
        <v>45379</v>
      </c>
      <c r="B4489" t="s">
        <v>351</v>
      </c>
      <c r="C4489" t="s">
        <v>29</v>
      </c>
      <c r="D4489">
        <v>1</v>
      </c>
      <c r="E4489" t="s">
        <v>81</v>
      </c>
      <c r="F4489" t="s">
        <v>55</v>
      </c>
      <c r="G4489" t="s">
        <v>3033</v>
      </c>
      <c r="H4489" t="s">
        <v>18</v>
      </c>
      <c r="I4489" s="26" t="s">
        <v>897</v>
      </c>
    </row>
    <row r="4490" spans="1:9" x14ac:dyDescent="0.3">
      <c r="A4490" s="24">
        <v>45379</v>
      </c>
      <c r="B4490" t="s">
        <v>351</v>
      </c>
      <c r="C4490" t="s">
        <v>29</v>
      </c>
      <c r="D4490">
        <v>5</v>
      </c>
      <c r="E4490" t="s">
        <v>81</v>
      </c>
      <c r="F4490" t="s">
        <v>31</v>
      </c>
      <c r="G4490" t="s">
        <v>3034</v>
      </c>
      <c r="H4490" t="s">
        <v>18</v>
      </c>
      <c r="I4490" s="26" t="s">
        <v>897</v>
      </c>
    </row>
    <row r="4491" spans="1:9" x14ac:dyDescent="0.3">
      <c r="A4491" s="24">
        <v>45379</v>
      </c>
      <c r="B4491" t="s">
        <v>351</v>
      </c>
      <c r="C4491" t="s">
        <v>53</v>
      </c>
      <c r="D4491">
        <v>1</v>
      </c>
      <c r="E4491" t="s">
        <v>54</v>
      </c>
      <c r="F4491" t="s">
        <v>55</v>
      </c>
      <c r="G4491" t="s">
        <v>3035</v>
      </c>
      <c r="H4491" t="s">
        <v>18</v>
      </c>
      <c r="I4491" s="26" t="s">
        <v>897</v>
      </c>
    </row>
    <row r="4492" spans="1:9" x14ac:dyDescent="0.3">
      <c r="A4492" s="24">
        <v>45379</v>
      </c>
      <c r="B4492" t="s">
        <v>355</v>
      </c>
      <c r="C4492" t="s">
        <v>29</v>
      </c>
      <c r="D4492">
        <v>0.8</v>
      </c>
      <c r="E4492" t="s">
        <v>358</v>
      </c>
      <c r="F4492" t="s">
        <v>31</v>
      </c>
      <c r="G4492" t="s">
        <v>3036</v>
      </c>
      <c r="H4492" t="s">
        <v>18</v>
      </c>
      <c r="I4492" s="26" t="s">
        <v>897</v>
      </c>
    </row>
    <row r="4493" spans="1:9" x14ac:dyDescent="0.3">
      <c r="A4493" s="24">
        <v>45379</v>
      </c>
      <c r="B4493" t="s">
        <v>355</v>
      </c>
      <c r="C4493" t="s">
        <v>29</v>
      </c>
      <c r="D4493">
        <v>1.5</v>
      </c>
      <c r="E4493" t="s">
        <v>91</v>
      </c>
      <c r="F4493" t="s">
        <v>31</v>
      </c>
      <c r="G4493" t="s">
        <v>3037</v>
      </c>
      <c r="H4493" t="s">
        <v>18</v>
      </c>
      <c r="I4493" s="26" t="s">
        <v>897</v>
      </c>
    </row>
    <row r="4494" spans="1:9" x14ac:dyDescent="0.3">
      <c r="A4494" s="24">
        <v>45379</v>
      </c>
      <c r="B4494" t="s">
        <v>355</v>
      </c>
      <c r="C4494" t="s">
        <v>202</v>
      </c>
      <c r="D4494">
        <v>0.1</v>
      </c>
      <c r="E4494" t="s">
        <v>44</v>
      </c>
      <c r="F4494" t="s">
        <v>31</v>
      </c>
      <c r="G4494" t="s">
        <v>3038</v>
      </c>
      <c r="H4494" t="s">
        <v>18</v>
      </c>
      <c r="I4494" s="26" t="s">
        <v>897</v>
      </c>
    </row>
    <row r="4495" spans="1:9" x14ac:dyDescent="0.3">
      <c r="A4495" s="24">
        <v>45379</v>
      </c>
      <c r="B4495" t="s">
        <v>355</v>
      </c>
      <c r="C4495" t="s">
        <v>202</v>
      </c>
      <c r="D4495">
        <v>0.4</v>
      </c>
      <c r="E4495" t="s">
        <v>91</v>
      </c>
      <c r="F4495" t="s">
        <v>31</v>
      </c>
      <c r="G4495" t="s">
        <v>3039</v>
      </c>
      <c r="H4495" t="s">
        <v>18</v>
      </c>
      <c r="I4495" s="26" t="s">
        <v>897</v>
      </c>
    </row>
    <row r="4496" spans="1:9" x14ac:dyDescent="0.3">
      <c r="A4496" s="24">
        <v>45379</v>
      </c>
      <c r="B4496" t="s">
        <v>355</v>
      </c>
      <c r="C4496" t="s">
        <v>202</v>
      </c>
      <c r="D4496">
        <v>0.4</v>
      </c>
      <c r="E4496" t="s">
        <v>44</v>
      </c>
      <c r="F4496" t="s">
        <v>31</v>
      </c>
      <c r="G4496" t="s">
        <v>3040</v>
      </c>
      <c r="H4496" t="s">
        <v>18</v>
      </c>
      <c r="I4496" s="26" t="s">
        <v>897</v>
      </c>
    </row>
    <row r="4497" spans="1:9" x14ac:dyDescent="0.3">
      <c r="A4497" s="24">
        <v>45379</v>
      </c>
      <c r="B4497" t="s">
        <v>355</v>
      </c>
      <c r="C4497" t="s">
        <v>202</v>
      </c>
      <c r="D4497">
        <v>0.7</v>
      </c>
      <c r="E4497" t="s">
        <v>91</v>
      </c>
      <c r="F4497" t="s">
        <v>31</v>
      </c>
      <c r="G4497" t="s">
        <v>3041</v>
      </c>
      <c r="H4497" t="s">
        <v>18</v>
      </c>
      <c r="I4497" s="26" t="s">
        <v>897</v>
      </c>
    </row>
    <row r="4498" spans="1:9" x14ac:dyDescent="0.3">
      <c r="A4498" s="24">
        <v>45379</v>
      </c>
      <c r="B4498" t="s">
        <v>355</v>
      </c>
      <c r="C4498" t="s">
        <v>202</v>
      </c>
      <c r="D4498">
        <v>1.7</v>
      </c>
      <c r="E4498" t="s">
        <v>91</v>
      </c>
      <c r="F4498" t="s">
        <v>31</v>
      </c>
      <c r="G4498" t="s">
        <v>3042</v>
      </c>
      <c r="H4498" t="s">
        <v>18</v>
      </c>
      <c r="I4498" s="26" t="s">
        <v>897</v>
      </c>
    </row>
    <row r="4499" spans="1:9" x14ac:dyDescent="0.3">
      <c r="A4499" s="24">
        <v>45379</v>
      </c>
      <c r="B4499" t="s">
        <v>355</v>
      </c>
      <c r="C4499" t="s">
        <v>53</v>
      </c>
      <c r="D4499">
        <v>0.8</v>
      </c>
      <c r="E4499" t="s">
        <v>54</v>
      </c>
      <c r="F4499" t="s">
        <v>55</v>
      </c>
      <c r="G4499" t="s">
        <v>3043</v>
      </c>
      <c r="H4499" t="s">
        <v>18</v>
      </c>
      <c r="I4499" s="26" t="s">
        <v>897</v>
      </c>
    </row>
    <row r="4500" spans="1:9" x14ac:dyDescent="0.3">
      <c r="A4500" s="24">
        <v>45379</v>
      </c>
      <c r="B4500" t="s">
        <v>355</v>
      </c>
      <c r="C4500" t="s">
        <v>58</v>
      </c>
      <c r="D4500">
        <v>0.3</v>
      </c>
      <c r="E4500" t="s">
        <v>54</v>
      </c>
      <c r="F4500" t="s">
        <v>55</v>
      </c>
      <c r="G4500" t="s">
        <v>3044</v>
      </c>
      <c r="H4500" t="s">
        <v>18</v>
      </c>
      <c r="I4500" s="26" t="s">
        <v>897</v>
      </c>
    </row>
    <row r="4501" spans="1:9" x14ac:dyDescent="0.3">
      <c r="A4501" s="24">
        <v>45379</v>
      </c>
      <c r="B4501" t="s">
        <v>355</v>
      </c>
      <c r="C4501" t="s">
        <v>90</v>
      </c>
      <c r="D4501">
        <v>1.8</v>
      </c>
      <c r="E4501" t="s">
        <v>91</v>
      </c>
      <c r="F4501" t="s">
        <v>31</v>
      </c>
      <c r="G4501" t="s">
        <v>3045</v>
      </c>
      <c r="H4501" t="s">
        <v>18</v>
      </c>
      <c r="I4501" s="26" t="s">
        <v>897</v>
      </c>
    </row>
    <row r="4502" spans="1:9" x14ac:dyDescent="0.3">
      <c r="A4502" s="24">
        <v>45380</v>
      </c>
      <c r="B4502" t="s">
        <v>28</v>
      </c>
      <c r="C4502" t="s">
        <v>2954</v>
      </c>
      <c r="D4502">
        <v>8</v>
      </c>
      <c r="E4502" t="s">
        <v>54</v>
      </c>
      <c r="F4502" t="s">
        <v>55</v>
      </c>
      <c r="G4502" t="s">
        <v>3046</v>
      </c>
      <c r="H4502" t="s">
        <v>18</v>
      </c>
      <c r="I4502" s="26" t="s">
        <v>33</v>
      </c>
    </row>
    <row r="4503" spans="1:9" x14ac:dyDescent="0.3">
      <c r="A4503" s="24">
        <v>45380</v>
      </c>
      <c r="B4503" t="s">
        <v>64</v>
      </c>
      <c r="C4503" t="s">
        <v>68</v>
      </c>
      <c r="D4503">
        <v>1.25</v>
      </c>
      <c r="E4503" t="s">
        <v>66</v>
      </c>
      <c r="F4503" t="s">
        <v>31</v>
      </c>
      <c r="G4503" t="s">
        <v>3047</v>
      </c>
      <c r="H4503" t="s">
        <v>18</v>
      </c>
      <c r="I4503" s="26" t="s">
        <v>33</v>
      </c>
    </row>
    <row r="4504" spans="1:9" x14ac:dyDescent="0.3">
      <c r="A4504" s="24">
        <v>45380</v>
      </c>
      <c r="B4504" t="s">
        <v>72</v>
      </c>
      <c r="C4504" t="s">
        <v>2954</v>
      </c>
      <c r="D4504">
        <v>8</v>
      </c>
      <c r="E4504" t="s">
        <v>54</v>
      </c>
      <c r="F4504" t="s">
        <v>55</v>
      </c>
      <c r="H4504" t="s">
        <v>18</v>
      </c>
      <c r="I4504" s="26" t="s">
        <v>33</v>
      </c>
    </row>
    <row r="4505" spans="1:9" x14ac:dyDescent="0.3">
      <c r="A4505" s="24">
        <v>45380</v>
      </c>
      <c r="B4505" t="s">
        <v>79</v>
      </c>
      <c r="C4505" t="s">
        <v>2954</v>
      </c>
      <c r="D4505">
        <v>7.5</v>
      </c>
      <c r="E4505" t="s">
        <v>54</v>
      </c>
      <c r="F4505" t="s">
        <v>55</v>
      </c>
      <c r="H4505" t="s">
        <v>18</v>
      </c>
      <c r="I4505" s="26" t="s">
        <v>33</v>
      </c>
    </row>
    <row r="4506" spans="1:9" x14ac:dyDescent="0.3">
      <c r="A4506" s="24">
        <v>45380</v>
      </c>
      <c r="B4506" t="s">
        <v>88</v>
      </c>
      <c r="C4506" t="s">
        <v>2954</v>
      </c>
      <c r="D4506">
        <v>8</v>
      </c>
      <c r="E4506" t="s">
        <v>54</v>
      </c>
      <c r="F4506" t="s">
        <v>55</v>
      </c>
      <c r="G4506" t="s">
        <v>3048</v>
      </c>
      <c r="H4506" t="s">
        <v>18</v>
      </c>
      <c r="I4506" s="26" t="s">
        <v>33</v>
      </c>
    </row>
    <row r="4507" spans="1:9" x14ac:dyDescent="0.3">
      <c r="A4507" s="24">
        <v>45380</v>
      </c>
      <c r="B4507" t="s">
        <v>99</v>
      </c>
      <c r="C4507" t="s">
        <v>2954</v>
      </c>
      <c r="D4507">
        <v>9</v>
      </c>
      <c r="E4507" t="s">
        <v>54</v>
      </c>
      <c r="F4507" t="s">
        <v>55</v>
      </c>
      <c r="H4507" t="s">
        <v>18</v>
      </c>
      <c r="I4507" s="26" t="s">
        <v>33</v>
      </c>
    </row>
    <row r="4508" spans="1:9" x14ac:dyDescent="0.3">
      <c r="A4508" s="24">
        <v>45380</v>
      </c>
      <c r="B4508" t="s">
        <v>101</v>
      </c>
      <c r="C4508" t="s">
        <v>2954</v>
      </c>
      <c r="D4508">
        <v>8</v>
      </c>
      <c r="E4508" t="s">
        <v>54</v>
      </c>
      <c r="F4508" t="s">
        <v>55</v>
      </c>
      <c r="G4508" t="s">
        <v>3049</v>
      </c>
      <c r="H4508" t="s">
        <v>18</v>
      </c>
      <c r="I4508" s="26" t="s">
        <v>33</v>
      </c>
    </row>
    <row r="4509" spans="1:9" x14ac:dyDescent="0.3">
      <c r="A4509" s="24">
        <v>45380</v>
      </c>
      <c r="B4509" t="s">
        <v>113</v>
      </c>
      <c r="C4509" t="s">
        <v>2954</v>
      </c>
      <c r="D4509">
        <v>8</v>
      </c>
      <c r="E4509" t="s">
        <v>54</v>
      </c>
      <c r="F4509" t="s">
        <v>55</v>
      </c>
      <c r="H4509" t="s">
        <v>18</v>
      </c>
      <c r="I4509" s="26" t="s">
        <v>33</v>
      </c>
    </row>
    <row r="4510" spans="1:9" x14ac:dyDescent="0.3">
      <c r="A4510" s="24">
        <v>45380</v>
      </c>
      <c r="B4510" t="s">
        <v>132</v>
      </c>
      <c r="C4510" t="s">
        <v>2954</v>
      </c>
      <c r="D4510">
        <v>8</v>
      </c>
      <c r="E4510" t="s">
        <v>54</v>
      </c>
      <c r="F4510" t="s">
        <v>55</v>
      </c>
      <c r="H4510" t="s">
        <v>18</v>
      </c>
      <c r="I4510" s="26" t="s">
        <v>33</v>
      </c>
    </row>
    <row r="4511" spans="1:9" x14ac:dyDescent="0.3">
      <c r="A4511" s="24">
        <v>45380</v>
      </c>
      <c r="B4511" t="s">
        <v>134</v>
      </c>
      <c r="C4511" t="s">
        <v>73</v>
      </c>
      <c r="D4511">
        <v>8</v>
      </c>
      <c r="E4511" t="s">
        <v>54</v>
      </c>
      <c r="F4511" t="s">
        <v>55</v>
      </c>
      <c r="H4511" t="s">
        <v>18</v>
      </c>
      <c r="I4511" s="26" t="s">
        <v>33</v>
      </c>
    </row>
    <row r="4512" spans="1:9" x14ac:dyDescent="0.3">
      <c r="A4512" s="24">
        <v>45380</v>
      </c>
      <c r="B4512" t="s">
        <v>150</v>
      </c>
      <c r="C4512" t="s">
        <v>2954</v>
      </c>
      <c r="D4512">
        <v>8</v>
      </c>
      <c r="E4512" t="s">
        <v>54</v>
      </c>
      <c r="F4512" t="s">
        <v>55</v>
      </c>
      <c r="H4512" t="s">
        <v>18</v>
      </c>
      <c r="I4512" s="26" t="s">
        <v>33</v>
      </c>
    </row>
    <row r="4513" spans="1:9" x14ac:dyDescent="0.3">
      <c r="A4513" s="24">
        <v>45380</v>
      </c>
      <c r="B4513" t="s">
        <v>164</v>
      </c>
      <c r="C4513" t="s">
        <v>2954</v>
      </c>
      <c r="D4513">
        <v>8</v>
      </c>
      <c r="E4513" t="s">
        <v>54</v>
      </c>
      <c r="F4513" t="s">
        <v>55</v>
      </c>
      <c r="H4513" t="s">
        <v>18</v>
      </c>
      <c r="I4513" s="26" t="s">
        <v>33</v>
      </c>
    </row>
    <row r="4514" spans="1:9" x14ac:dyDescent="0.3">
      <c r="A4514" s="24">
        <v>45380</v>
      </c>
      <c r="B4514" t="s">
        <v>169</v>
      </c>
      <c r="C4514" t="s">
        <v>2954</v>
      </c>
      <c r="D4514">
        <v>8</v>
      </c>
      <c r="E4514" t="s">
        <v>54</v>
      </c>
      <c r="F4514" t="s">
        <v>55</v>
      </c>
      <c r="H4514" t="s">
        <v>18</v>
      </c>
      <c r="I4514" s="26" t="s">
        <v>33</v>
      </c>
    </row>
    <row r="4515" spans="1:9" x14ac:dyDescent="0.3">
      <c r="A4515" s="24">
        <v>45380</v>
      </c>
      <c r="B4515" t="s">
        <v>175</v>
      </c>
      <c r="C4515" t="s">
        <v>2954</v>
      </c>
      <c r="D4515">
        <v>8</v>
      </c>
      <c r="E4515" t="s">
        <v>54</v>
      </c>
      <c r="F4515" t="s">
        <v>55</v>
      </c>
      <c r="G4515" t="s">
        <v>2981</v>
      </c>
      <c r="H4515" t="s">
        <v>18</v>
      </c>
      <c r="I4515" s="26" t="s">
        <v>33</v>
      </c>
    </row>
    <row r="4516" spans="1:9" x14ac:dyDescent="0.3">
      <c r="A4516" s="24">
        <v>45380</v>
      </c>
      <c r="B4516" t="s">
        <v>188</v>
      </c>
      <c r="C4516" t="s">
        <v>2954</v>
      </c>
      <c r="D4516">
        <v>8</v>
      </c>
      <c r="E4516" t="s">
        <v>54</v>
      </c>
      <c r="F4516" t="s">
        <v>55</v>
      </c>
      <c r="H4516" t="s">
        <v>18</v>
      </c>
      <c r="I4516" s="26" t="s">
        <v>33</v>
      </c>
    </row>
    <row r="4517" spans="1:9" x14ac:dyDescent="0.3">
      <c r="A4517" s="24">
        <v>45380</v>
      </c>
      <c r="B4517" t="s">
        <v>190</v>
      </c>
      <c r="C4517" t="s">
        <v>2954</v>
      </c>
      <c r="D4517">
        <v>8</v>
      </c>
      <c r="E4517" t="s">
        <v>54</v>
      </c>
      <c r="F4517" t="s">
        <v>55</v>
      </c>
      <c r="H4517" t="s">
        <v>18</v>
      </c>
      <c r="I4517" s="26" t="s">
        <v>33</v>
      </c>
    </row>
    <row r="4518" spans="1:9" x14ac:dyDescent="0.3">
      <c r="A4518" s="24">
        <v>45380</v>
      </c>
      <c r="B4518" t="s">
        <v>191</v>
      </c>
      <c r="C4518" t="s">
        <v>2954</v>
      </c>
      <c r="D4518">
        <v>8</v>
      </c>
      <c r="E4518" t="s">
        <v>54</v>
      </c>
      <c r="F4518" t="s">
        <v>55</v>
      </c>
      <c r="G4518" t="s">
        <v>3050</v>
      </c>
      <c r="H4518" t="s">
        <v>18</v>
      </c>
      <c r="I4518" s="26" t="s">
        <v>33</v>
      </c>
    </row>
    <row r="4519" spans="1:9" x14ac:dyDescent="0.3">
      <c r="A4519" s="24">
        <v>45380</v>
      </c>
      <c r="B4519" t="s">
        <v>212</v>
      </c>
      <c r="C4519" t="s">
        <v>2954</v>
      </c>
      <c r="D4519">
        <v>8</v>
      </c>
      <c r="E4519" t="s">
        <v>54</v>
      </c>
      <c r="F4519" t="s">
        <v>55</v>
      </c>
      <c r="H4519" t="s">
        <v>18</v>
      </c>
      <c r="I4519" s="26" t="s">
        <v>33</v>
      </c>
    </row>
    <row r="4520" spans="1:9" x14ac:dyDescent="0.3">
      <c r="A4520" s="24">
        <v>45380</v>
      </c>
      <c r="B4520" t="s">
        <v>240</v>
      </c>
      <c r="C4520" t="s">
        <v>2954</v>
      </c>
      <c r="D4520">
        <v>8</v>
      </c>
      <c r="E4520" t="s">
        <v>54</v>
      </c>
      <c r="F4520" t="s">
        <v>55</v>
      </c>
      <c r="H4520" t="s">
        <v>18</v>
      </c>
      <c r="I4520" s="26" t="s">
        <v>33</v>
      </c>
    </row>
    <row r="4521" spans="1:9" x14ac:dyDescent="0.3">
      <c r="A4521" s="24">
        <v>45380</v>
      </c>
      <c r="B4521" t="s">
        <v>249</v>
      </c>
      <c r="C4521" t="s">
        <v>2954</v>
      </c>
      <c r="D4521">
        <v>8</v>
      </c>
      <c r="E4521" t="s">
        <v>54</v>
      </c>
      <c r="F4521" t="s">
        <v>55</v>
      </c>
      <c r="H4521" t="s">
        <v>18</v>
      </c>
      <c r="I4521" s="26" t="s">
        <v>33</v>
      </c>
    </row>
    <row r="4522" spans="1:9" x14ac:dyDescent="0.3">
      <c r="A4522" s="24">
        <v>45380</v>
      </c>
      <c r="B4522" t="s">
        <v>262</v>
      </c>
      <c r="C4522" t="s">
        <v>2954</v>
      </c>
      <c r="D4522">
        <v>8</v>
      </c>
      <c r="E4522" t="s">
        <v>54</v>
      </c>
      <c r="F4522" t="s">
        <v>55</v>
      </c>
      <c r="H4522" t="s">
        <v>18</v>
      </c>
      <c r="I4522" s="26" t="s">
        <v>33</v>
      </c>
    </row>
    <row r="4523" spans="1:9" x14ac:dyDescent="0.3">
      <c r="A4523" s="24">
        <v>45380</v>
      </c>
      <c r="B4523" t="s">
        <v>266</v>
      </c>
      <c r="C4523" t="s">
        <v>2954</v>
      </c>
      <c r="D4523">
        <v>8</v>
      </c>
      <c r="E4523" t="s">
        <v>54</v>
      </c>
      <c r="F4523" t="s">
        <v>55</v>
      </c>
      <c r="G4523" t="s">
        <v>3050</v>
      </c>
      <c r="H4523" t="s">
        <v>18</v>
      </c>
      <c r="I4523" s="26" t="s">
        <v>33</v>
      </c>
    </row>
    <row r="4524" spans="1:9" x14ac:dyDescent="0.3">
      <c r="A4524" s="24">
        <v>45380</v>
      </c>
      <c r="B4524" t="s">
        <v>269</v>
      </c>
      <c r="C4524" t="s">
        <v>2954</v>
      </c>
      <c r="D4524">
        <v>8</v>
      </c>
      <c r="E4524" t="s">
        <v>54</v>
      </c>
      <c r="F4524" t="s">
        <v>55</v>
      </c>
      <c r="H4524" t="s">
        <v>18</v>
      </c>
      <c r="I4524" s="26" t="s">
        <v>33</v>
      </c>
    </row>
    <row r="4525" spans="1:9" x14ac:dyDescent="0.3">
      <c r="A4525" s="24">
        <v>45380</v>
      </c>
      <c r="B4525" t="s">
        <v>278</v>
      </c>
      <c r="C4525" t="s">
        <v>2954</v>
      </c>
      <c r="D4525">
        <v>8</v>
      </c>
      <c r="E4525" t="s">
        <v>54</v>
      </c>
      <c r="F4525" t="s">
        <v>55</v>
      </c>
      <c r="G4525" t="s">
        <v>2981</v>
      </c>
      <c r="H4525" t="s">
        <v>18</v>
      </c>
      <c r="I4525" s="26" t="s">
        <v>33</v>
      </c>
    </row>
    <row r="4526" spans="1:9" x14ac:dyDescent="0.3">
      <c r="A4526" s="24">
        <v>45380</v>
      </c>
      <c r="B4526" t="s">
        <v>286</v>
      </c>
      <c r="C4526" t="s">
        <v>2954</v>
      </c>
      <c r="D4526">
        <v>9</v>
      </c>
      <c r="E4526" t="s">
        <v>54</v>
      </c>
      <c r="F4526" t="s">
        <v>55</v>
      </c>
      <c r="H4526" t="s">
        <v>18</v>
      </c>
      <c r="I4526" s="26" t="s">
        <v>33</v>
      </c>
    </row>
    <row r="4527" spans="1:9" x14ac:dyDescent="0.3">
      <c r="A4527" s="24">
        <v>45380</v>
      </c>
      <c r="B4527" t="s">
        <v>289</v>
      </c>
      <c r="C4527" t="s">
        <v>2954</v>
      </c>
      <c r="D4527">
        <v>5</v>
      </c>
      <c r="E4527" t="s">
        <v>54</v>
      </c>
      <c r="F4527" t="s">
        <v>55</v>
      </c>
      <c r="H4527" t="s">
        <v>18</v>
      </c>
      <c r="I4527" s="26" t="s">
        <v>33</v>
      </c>
    </row>
    <row r="4528" spans="1:9" x14ac:dyDescent="0.3">
      <c r="A4528" s="24">
        <v>45380</v>
      </c>
      <c r="B4528" t="s">
        <v>301</v>
      </c>
      <c r="C4528" t="s">
        <v>2954</v>
      </c>
      <c r="D4528">
        <v>8</v>
      </c>
      <c r="E4528" t="s">
        <v>54</v>
      </c>
      <c r="F4528" t="s">
        <v>55</v>
      </c>
      <c r="G4528" t="s">
        <v>2981</v>
      </c>
      <c r="H4528" t="s">
        <v>18</v>
      </c>
      <c r="I4528" s="26" t="s">
        <v>33</v>
      </c>
    </row>
    <row r="4529" spans="1:9" x14ac:dyDescent="0.3">
      <c r="A4529" s="24">
        <v>45380</v>
      </c>
      <c r="B4529" t="s">
        <v>313</v>
      </c>
      <c r="C4529" t="s">
        <v>2954</v>
      </c>
      <c r="D4529">
        <v>8</v>
      </c>
      <c r="E4529" t="s">
        <v>54</v>
      </c>
      <c r="F4529" t="s">
        <v>55</v>
      </c>
      <c r="H4529" t="s">
        <v>18</v>
      </c>
      <c r="I4529" s="26" t="s">
        <v>33</v>
      </c>
    </row>
    <row r="4530" spans="1:9" x14ac:dyDescent="0.3">
      <c r="A4530" s="24">
        <v>45380</v>
      </c>
      <c r="B4530" t="s">
        <v>318</v>
      </c>
      <c r="C4530" t="s">
        <v>2954</v>
      </c>
      <c r="D4530">
        <v>8</v>
      </c>
      <c r="E4530" t="s">
        <v>54</v>
      </c>
      <c r="F4530" t="s">
        <v>55</v>
      </c>
      <c r="G4530" t="s">
        <v>3050</v>
      </c>
      <c r="H4530" t="s">
        <v>18</v>
      </c>
      <c r="I4530" s="26" t="s">
        <v>33</v>
      </c>
    </row>
    <row r="4531" spans="1:9" x14ac:dyDescent="0.3">
      <c r="A4531" s="24">
        <v>45380</v>
      </c>
      <c r="B4531" t="s">
        <v>324</v>
      </c>
      <c r="C4531" t="s">
        <v>2954</v>
      </c>
      <c r="D4531">
        <v>8</v>
      </c>
      <c r="E4531" t="s">
        <v>54</v>
      </c>
      <c r="F4531" t="s">
        <v>55</v>
      </c>
      <c r="H4531" t="s">
        <v>18</v>
      </c>
      <c r="I4531" s="26" t="s">
        <v>33</v>
      </c>
    </row>
    <row r="4532" spans="1:9" x14ac:dyDescent="0.3">
      <c r="A4532" s="24">
        <v>45380</v>
      </c>
      <c r="B4532" t="s">
        <v>328</v>
      </c>
      <c r="C4532" t="s">
        <v>2954</v>
      </c>
      <c r="D4532">
        <v>8</v>
      </c>
      <c r="E4532" t="s">
        <v>54</v>
      </c>
      <c r="F4532" t="s">
        <v>55</v>
      </c>
      <c r="H4532" t="s">
        <v>18</v>
      </c>
      <c r="I4532" s="26" t="s">
        <v>33</v>
      </c>
    </row>
    <row r="4533" spans="1:9" x14ac:dyDescent="0.3">
      <c r="A4533" s="24">
        <v>45380</v>
      </c>
      <c r="B4533" t="s">
        <v>331</v>
      </c>
      <c r="C4533" t="s">
        <v>2954</v>
      </c>
      <c r="D4533">
        <v>8</v>
      </c>
      <c r="E4533" t="s">
        <v>54</v>
      </c>
      <c r="F4533" t="s">
        <v>55</v>
      </c>
      <c r="H4533" t="s">
        <v>18</v>
      </c>
      <c r="I4533" s="26" t="s">
        <v>33</v>
      </c>
    </row>
    <row r="4534" spans="1:9" x14ac:dyDescent="0.3">
      <c r="A4534" s="24">
        <v>45380</v>
      </c>
      <c r="B4534" t="s">
        <v>340</v>
      </c>
      <c r="C4534" t="s">
        <v>2954</v>
      </c>
      <c r="D4534">
        <v>7.6</v>
      </c>
      <c r="E4534" t="s">
        <v>54</v>
      </c>
      <c r="F4534" t="s">
        <v>55</v>
      </c>
      <c r="H4534" t="s">
        <v>18</v>
      </c>
      <c r="I4534" s="26" t="s">
        <v>33</v>
      </c>
    </row>
    <row r="4535" spans="1:9" x14ac:dyDescent="0.3">
      <c r="A4535" s="24">
        <v>45380</v>
      </c>
      <c r="B4535" t="s">
        <v>351</v>
      </c>
      <c r="C4535" t="s">
        <v>2954</v>
      </c>
      <c r="D4535">
        <v>8</v>
      </c>
      <c r="E4535" t="s">
        <v>54</v>
      </c>
      <c r="F4535" t="s">
        <v>55</v>
      </c>
      <c r="H4535" t="s">
        <v>18</v>
      </c>
      <c r="I4535" s="26" t="s">
        <v>33</v>
      </c>
    </row>
    <row r="4536" spans="1:9" x14ac:dyDescent="0.3">
      <c r="A4536" s="24"/>
    </row>
    <row r="4537" spans="1:9" x14ac:dyDescent="0.3">
      <c r="A4537" s="24"/>
    </row>
    <row r="4538" spans="1:9" x14ac:dyDescent="0.3">
      <c r="A4538" s="24"/>
    </row>
    <row r="4539" spans="1:9" x14ac:dyDescent="0.3">
      <c r="A4539" s="24"/>
    </row>
    <row r="4540" spans="1:9" x14ac:dyDescent="0.3">
      <c r="A4540" s="24"/>
    </row>
    <row r="4541" spans="1:9" x14ac:dyDescent="0.3">
      <c r="A4541" s="24"/>
    </row>
    <row r="4542" spans="1:9" x14ac:dyDescent="0.3">
      <c r="A4542" s="24"/>
    </row>
    <row r="4543" spans="1:9" x14ac:dyDescent="0.3">
      <c r="A4543" s="24"/>
    </row>
    <row r="4544" spans="1:9" x14ac:dyDescent="0.3">
      <c r="A4544" s="24"/>
    </row>
    <row r="4545" spans="1:1" x14ac:dyDescent="0.3">
      <c r="A4545" s="24"/>
    </row>
    <row r="4546" spans="1:1" x14ac:dyDescent="0.3">
      <c r="A4546" s="24"/>
    </row>
    <row r="4547" spans="1:1" x14ac:dyDescent="0.3">
      <c r="A4547" s="24"/>
    </row>
    <row r="4548" spans="1:1" x14ac:dyDescent="0.3">
      <c r="A4548" s="24"/>
    </row>
    <row r="4549" spans="1:1" x14ac:dyDescent="0.3">
      <c r="A4549" s="24"/>
    </row>
    <row r="4550" spans="1:1" x14ac:dyDescent="0.3">
      <c r="A4550" s="24"/>
    </row>
    <row r="4551" spans="1:1" x14ac:dyDescent="0.3">
      <c r="A4551" s="24"/>
    </row>
    <row r="4552" spans="1:1" x14ac:dyDescent="0.3">
      <c r="A4552" s="24"/>
    </row>
    <row r="4553" spans="1:1" x14ac:dyDescent="0.3">
      <c r="A4553" s="24"/>
    </row>
    <row r="4554" spans="1:1" x14ac:dyDescent="0.3">
      <c r="A4554" s="24"/>
    </row>
    <row r="4555" spans="1:1" x14ac:dyDescent="0.3">
      <c r="A4555" s="24"/>
    </row>
    <row r="4556" spans="1:1" x14ac:dyDescent="0.3">
      <c r="A4556" s="24"/>
    </row>
    <row r="4557" spans="1:1" x14ac:dyDescent="0.3">
      <c r="A4557" s="24"/>
    </row>
    <row r="4558" spans="1:1" x14ac:dyDescent="0.3">
      <c r="A4558" s="24"/>
    </row>
    <row r="4559" spans="1:1" x14ac:dyDescent="0.3">
      <c r="A4559" s="24"/>
    </row>
    <row r="4560" spans="1:1" x14ac:dyDescent="0.3">
      <c r="A4560" s="24"/>
    </row>
    <row r="4561" spans="1:1" x14ac:dyDescent="0.3">
      <c r="A4561" s="24"/>
    </row>
    <row r="4562" spans="1:1" x14ac:dyDescent="0.3">
      <c r="A4562" s="24"/>
    </row>
    <row r="4563" spans="1:1" x14ac:dyDescent="0.3">
      <c r="A4563" s="24"/>
    </row>
    <row r="4564" spans="1:1" x14ac:dyDescent="0.3">
      <c r="A4564" s="24"/>
    </row>
    <row r="4565" spans="1:1" x14ac:dyDescent="0.3">
      <c r="A4565" s="24"/>
    </row>
    <row r="4566" spans="1:1" x14ac:dyDescent="0.3">
      <c r="A4566" s="24"/>
    </row>
    <row r="4567" spans="1:1" x14ac:dyDescent="0.3">
      <c r="A4567" s="24"/>
    </row>
    <row r="4568" spans="1:1" x14ac:dyDescent="0.3">
      <c r="A4568" s="24"/>
    </row>
    <row r="4569" spans="1:1" x14ac:dyDescent="0.3">
      <c r="A4569" s="24"/>
    </row>
    <row r="4570" spans="1:1" x14ac:dyDescent="0.3">
      <c r="A4570" s="24"/>
    </row>
    <row r="4571" spans="1:1" x14ac:dyDescent="0.3">
      <c r="A4571" s="24"/>
    </row>
    <row r="4572" spans="1:1" x14ac:dyDescent="0.3">
      <c r="A4572" s="24"/>
    </row>
    <row r="4573" spans="1:1" x14ac:dyDescent="0.3">
      <c r="A4573" s="24"/>
    </row>
    <row r="4574" spans="1:1" x14ac:dyDescent="0.3">
      <c r="A4574" s="24"/>
    </row>
    <row r="4575" spans="1:1" x14ac:dyDescent="0.3">
      <c r="A4575" s="24"/>
    </row>
    <row r="4576" spans="1:1" x14ac:dyDescent="0.3">
      <c r="A4576" s="24"/>
    </row>
    <row r="4577" spans="1:1" x14ac:dyDescent="0.3">
      <c r="A4577" s="24"/>
    </row>
    <row r="4578" spans="1:1" x14ac:dyDescent="0.3">
      <c r="A4578" s="24"/>
    </row>
    <row r="4579" spans="1:1" x14ac:dyDescent="0.3">
      <c r="A4579" s="24"/>
    </row>
    <row r="4580" spans="1:1" x14ac:dyDescent="0.3">
      <c r="A4580" s="24"/>
    </row>
    <row r="4581" spans="1:1" x14ac:dyDescent="0.3">
      <c r="A4581" s="24"/>
    </row>
    <row r="4582" spans="1:1" x14ac:dyDescent="0.3">
      <c r="A4582" s="24"/>
    </row>
    <row r="4583" spans="1:1" x14ac:dyDescent="0.3">
      <c r="A4583" s="24"/>
    </row>
    <row r="4584" spans="1:1" x14ac:dyDescent="0.3">
      <c r="A4584" s="24"/>
    </row>
    <row r="4585" spans="1:1" x14ac:dyDescent="0.3">
      <c r="A4585" s="24"/>
    </row>
    <row r="4586" spans="1:1" x14ac:dyDescent="0.3">
      <c r="A4586" s="24"/>
    </row>
    <row r="4587" spans="1:1" x14ac:dyDescent="0.3">
      <c r="A4587" s="24"/>
    </row>
    <row r="4588" spans="1:1" x14ac:dyDescent="0.3">
      <c r="A4588" s="24"/>
    </row>
    <row r="4589" spans="1:1" x14ac:dyDescent="0.3">
      <c r="A4589" s="24"/>
    </row>
    <row r="4590" spans="1:1" x14ac:dyDescent="0.3">
      <c r="A4590" s="24"/>
    </row>
    <row r="4591" spans="1:1" x14ac:dyDescent="0.3">
      <c r="A4591" s="24"/>
    </row>
    <row r="4592" spans="1:1" x14ac:dyDescent="0.3">
      <c r="A4592" s="24"/>
    </row>
    <row r="4593" spans="1:1" x14ac:dyDescent="0.3">
      <c r="A4593" s="24"/>
    </row>
    <row r="4594" spans="1:1" x14ac:dyDescent="0.3">
      <c r="A4594" s="24"/>
    </row>
    <row r="4595" spans="1:1" x14ac:dyDescent="0.3">
      <c r="A4595" s="24"/>
    </row>
    <row r="4596" spans="1:1" x14ac:dyDescent="0.3">
      <c r="A4596" s="24"/>
    </row>
    <row r="4597" spans="1:1" x14ac:dyDescent="0.3">
      <c r="A4597" s="24"/>
    </row>
    <row r="4598" spans="1:1" x14ac:dyDescent="0.3">
      <c r="A4598" s="24"/>
    </row>
    <row r="4599" spans="1:1" x14ac:dyDescent="0.3">
      <c r="A4599" s="24"/>
    </row>
    <row r="4600" spans="1:1" x14ac:dyDescent="0.3">
      <c r="A4600" s="24"/>
    </row>
    <row r="4601" spans="1:1" x14ac:dyDescent="0.3">
      <c r="A4601" s="24"/>
    </row>
    <row r="4602" spans="1:1" x14ac:dyDescent="0.3">
      <c r="A4602" s="24"/>
    </row>
    <row r="4603" spans="1:1" x14ac:dyDescent="0.3">
      <c r="A4603" s="24"/>
    </row>
    <row r="4604" spans="1:1" x14ac:dyDescent="0.3">
      <c r="A4604" s="24"/>
    </row>
    <row r="4605" spans="1:1" x14ac:dyDescent="0.3">
      <c r="A4605" s="24"/>
    </row>
    <row r="4606" spans="1:1" x14ac:dyDescent="0.3">
      <c r="A4606" s="24"/>
    </row>
    <row r="4607" spans="1:1" x14ac:dyDescent="0.3">
      <c r="A4607" s="24"/>
    </row>
    <row r="4608" spans="1:1" x14ac:dyDescent="0.3">
      <c r="A4608" s="24"/>
    </row>
    <row r="4609" spans="1:1" x14ac:dyDescent="0.3">
      <c r="A4609" s="24"/>
    </row>
    <row r="4610" spans="1:1" x14ac:dyDescent="0.3">
      <c r="A4610" s="24"/>
    </row>
    <row r="4611" spans="1:1" x14ac:dyDescent="0.3">
      <c r="A4611" s="24"/>
    </row>
    <row r="4612" spans="1:1" x14ac:dyDescent="0.3">
      <c r="A4612" s="24"/>
    </row>
    <row r="4613" spans="1:1" x14ac:dyDescent="0.3">
      <c r="A4613" s="24"/>
    </row>
    <row r="4614" spans="1:1" x14ac:dyDescent="0.3">
      <c r="A4614" s="24"/>
    </row>
    <row r="4615" spans="1:1" x14ac:dyDescent="0.3">
      <c r="A4615" s="24"/>
    </row>
    <row r="4616" spans="1:1" x14ac:dyDescent="0.3">
      <c r="A4616" s="24"/>
    </row>
    <row r="4617" spans="1:1" x14ac:dyDescent="0.3">
      <c r="A4617" s="24"/>
    </row>
    <row r="4618" spans="1:1" x14ac:dyDescent="0.3">
      <c r="A4618" s="24"/>
    </row>
    <row r="4619" spans="1:1" x14ac:dyDescent="0.3">
      <c r="A4619" s="24"/>
    </row>
    <row r="4620" spans="1:1" x14ac:dyDescent="0.3">
      <c r="A4620" s="24"/>
    </row>
    <row r="4621" spans="1:1" x14ac:dyDescent="0.3">
      <c r="A4621" s="24"/>
    </row>
    <row r="4622" spans="1:1" x14ac:dyDescent="0.3">
      <c r="A4622" s="24"/>
    </row>
    <row r="4623" spans="1:1" x14ac:dyDescent="0.3">
      <c r="A4623" s="24"/>
    </row>
    <row r="4624" spans="1:1" x14ac:dyDescent="0.3">
      <c r="A4624" s="24"/>
    </row>
    <row r="4625" spans="1:1" x14ac:dyDescent="0.3">
      <c r="A4625" s="24"/>
    </row>
    <row r="4626" spans="1:1" x14ac:dyDescent="0.3">
      <c r="A4626" s="24"/>
    </row>
    <row r="4627" spans="1:1" x14ac:dyDescent="0.3">
      <c r="A4627" s="24"/>
    </row>
    <row r="4628" spans="1:1" x14ac:dyDescent="0.3">
      <c r="A4628" s="24"/>
    </row>
    <row r="4629" spans="1:1" x14ac:dyDescent="0.3">
      <c r="A4629" s="24"/>
    </row>
    <row r="4630" spans="1:1" x14ac:dyDescent="0.3">
      <c r="A4630" s="24"/>
    </row>
    <row r="4631" spans="1:1" x14ac:dyDescent="0.3">
      <c r="A4631" s="24"/>
    </row>
    <row r="4632" spans="1:1" x14ac:dyDescent="0.3">
      <c r="A4632" s="24"/>
    </row>
    <row r="4633" spans="1:1" x14ac:dyDescent="0.3">
      <c r="A4633" s="24"/>
    </row>
    <row r="4634" spans="1:1" x14ac:dyDescent="0.3">
      <c r="A4634" s="24"/>
    </row>
    <row r="4635" spans="1:1" x14ac:dyDescent="0.3">
      <c r="A4635" s="24"/>
    </row>
    <row r="4636" spans="1:1" x14ac:dyDescent="0.3">
      <c r="A4636" s="24"/>
    </row>
    <row r="4637" spans="1:1" x14ac:dyDescent="0.3">
      <c r="A4637" s="24"/>
    </row>
    <row r="4638" spans="1:1" x14ac:dyDescent="0.3">
      <c r="A4638" s="24"/>
    </row>
    <row r="4639" spans="1:1" x14ac:dyDescent="0.3">
      <c r="A4639" s="24"/>
    </row>
    <row r="4640" spans="1:1" x14ac:dyDescent="0.3">
      <c r="A4640" s="24"/>
    </row>
    <row r="4641" spans="1:1" x14ac:dyDescent="0.3">
      <c r="A4641" s="24"/>
    </row>
    <row r="4642" spans="1:1" x14ac:dyDescent="0.3">
      <c r="A4642" s="24"/>
    </row>
    <row r="4643" spans="1:1" x14ac:dyDescent="0.3">
      <c r="A4643" s="24"/>
    </row>
    <row r="4644" spans="1:1" x14ac:dyDescent="0.3">
      <c r="A4644" s="24"/>
    </row>
    <row r="4645" spans="1:1" x14ac:dyDescent="0.3">
      <c r="A4645" s="24"/>
    </row>
    <row r="4646" spans="1:1" x14ac:dyDescent="0.3">
      <c r="A4646" s="24"/>
    </row>
    <row r="4647" spans="1:1" x14ac:dyDescent="0.3">
      <c r="A4647" s="24"/>
    </row>
    <row r="4648" spans="1:1" x14ac:dyDescent="0.3">
      <c r="A4648" s="24"/>
    </row>
    <row r="4649" spans="1:1" x14ac:dyDescent="0.3">
      <c r="A4649" s="24"/>
    </row>
    <row r="4650" spans="1:1" x14ac:dyDescent="0.3">
      <c r="A4650" s="24"/>
    </row>
    <row r="4651" spans="1:1" x14ac:dyDescent="0.3">
      <c r="A4651" s="24"/>
    </row>
    <row r="4652" spans="1:1" x14ac:dyDescent="0.3">
      <c r="A4652" s="24"/>
    </row>
    <row r="4653" spans="1:1" x14ac:dyDescent="0.3">
      <c r="A4653" s="24"/>
    </row>
    <row r="4654" spans="1:1" x14ac:dyDescent="0.3">
      <c r="A4654" s="24"/>
    </row>
    <row r="4655" spans="1:1" x14ac:dyDescent="0.3">
      <c r="A4655" s="24"/>
    </row>
    <row r="4656" spans="1:1" x14ac:dyDescent="0.3">
      <c r="A4656" s="24"/>
    </row>
    <row r="4657" spans="1:1" x14ac:dyDescent="0.3">
      <c r="A4657" s="24"/>
    </row>
    <row r="4658" spans="1:1" x14ac:dyDescent="0.3">
      <c r="A4658" s="24"/>
    </row>
    <row r="4659" spans="1:1" x14ac:dyDescent="0.3">
      <c r="A4659" s="24"/>
    </row>
    <row r="4660" spans="1:1" x14ac:dyDescent="0.3">
      <c r="A4660" s="24"/>
    </row>
    <row r="4661" spans="1:1" x14ac:dyDescent="0.3">
      <c r="A4661" s="24"/>
    </row>
    <row r="4662" spans="1:1" x14ac:dyDescent="0.3">
      <c r="A4662" s="24"/>
    </row>
    <row r="4663" spans="1:1" x14ac:dyDescent="0.3">
      <c r="A4663" s="24"/>
    </row>
    <row r="4664" spans="1:1" x14ac:dyDescent="0.3">
      <c r="A4664" s="24"/>
    </row>
    <row r="4665" spans="1:1" x14ac:dyDescent="0.3">
      <c r="A4665" s="24"/>
    </row>
    <row r="4666" spans="1:1" x14ac:dyDescent="0.3">
      <c r="A4666" s="24"/>
    </row>
    <row r="4667" spans="1:1" x14ac:dyDescent="0.3">
      <c r="A4667" s="24"/>
    </row>
    <row r="4668" spans="1:1" x14ac:dyDescent="0.3">
      <c r="A4668" s="24"/>
    </row>
    <row r="4669" spans="1:1" x14ac:dyDescent="0.3">
      <c r="A4669" s="24"/>
    </row>
    <row r="4670" spans="1:1" x14ac:dyDescent="0.3">
      <c r="A4670" s="24"/>
    </row>
    <row r="4671" spans="1:1" x14ac:dyDescent="0.3">
      <c r="A4671" s="24"/>
    </row>
    <row r="4672" spans="1:1" x14ac:dyDescent="0.3">
      <c r="A4672" s="24"/>
    </row>
    <row r="4673" spans="1:1" x14ac:dyDescent="0.3">
      <c r="A4673" s="24"/>
    </row>
    <row r="4674" spans="1:1" x14ac:dyDescent="0.3">
      <c r="A4674" s="24"/>
    </row>
    <row r="4675" spans="1:1" x14ac:dyDescent="0.3">
      <c r="A4675" s="24"/>
    </row>
    <row r="4676" spans="1:1" x14ac:dyDescent="0.3">
      <c r="A4676" s="24"/>
    </row>
    <row r="4677" spans="1:1" x14ac:dyDescent="0.3">
      <c r="A4677" s="24"/>
    </row>
    <row r="4678" spans="1:1" x14ac:dyDescent="0.3">
      <c r="A4678" s="24"/>
    </row>
    <row r="4679" spans="1:1" x14ac:dyDescent="0.3">
      <c r="A4679" s="24"/>
    </row>
    <row r="4680" spans="1:1" x14ac:dyDescent="0.3">
      <c r="A4680" s="24"/>
    </row>
    <row r="4681" spans="1:1" x14ac:dyDescent="0.3">
      <c r="A4681" s="24"/>
    </row>
    <row r="4682" spans="1:1" x14ac:dyDescent="0.3">
      <c r="A4682" s="24"/>
    </row>
    <row r="4683" spans="1:1" x14ac:dyDescent="0.3">
      <c r="A4683" s="24"/>
    </row>
    <row r="4684" spans="1:1" x14ac:dyDescent="0.3">
      <c r="A4684" s="24"/>
    </row>
    <row r="4685" spans="1:1" x14ac:dyDescent="0.3">
      <c r="A4685" s="24"/>
    </row>
    <row r="4686" spans="1:1" x14ac:dyDescent="0.3">
      <c r="A4686" s="24"/>
    </row>
    <row r="4687" spans="1:1" x14ac:dyDescent="0.3">
      <c r="A4687" s="24"/>
    </row>
    <row r="4688" spans="1:1" x14ac:dyDescent="0.3">
      <c r="A4688" s="24"/>
    </row>
    <row r="4689" spans="1:1" x14ac:dyDescent="0.3">
      <c r="A4689" s="24"/>
    </row>
    <row r="4690" spans="1:1" x14ac:dyDescent="0.3">
      <c r="A4690" s="24"/>
    </row>
    <row r="4691" spans="1:1" x14ac:dyDescent="0.3">
      <c r="A4691" s="24"/>
    </row>
    <row r="4692" spans="1:1" x14ac:dyDescent="0.3">
      <c r="A4692" s="24"/>
    </row>
    <row r="4693" spans="1:1" x14ac:dyDescent="0.3">
      <c r="A4693" s="24"/>
    </row>
    <row r="4694" spans="1:1" x14ac:dyDescent="0.3">
      <c r="A4694" s="24"/>
    </row>
    <row r="4695" spans="1:1" x14ac:dyDescent="0.3">
      <c r="A4695" s="24"/>
    </row>
    <row r="4696" spans="1:1" x14ac:dyDescent="0.3">
      <c r="A4696" s="24"/>
    </row>
    <row r="4697" spans="1:1" x14ac:dyDescent="0.3">
      <c r="A4697" s="24"/>
    </row>
    <row r="4698" spans="1:1" x14ac:dyDescent="0.3">
      <c r="A4698" s="24"/>
    </row>
    <row r="4699" spans="1:1" x14ac:dyDescent="0.3">
      <c r="A4699" s="24"/>
    </row>
    <row r="4700" spans="1:1" x14ac:dyDescent="0.3">
      <c r="A4700" s="24"/>
    </row>
    <row r="4701" spans="1:1" x14ac:dyDescent="0.3">
      <c r="A4701" s="24"/>
    </row>
    <row r="4702" spans="1:1" x14ac:dyDescent="0.3">
      <c r="A4702" s="24"/>
    </row>
    <row r="4703" spans="1:1" x14ac:dyDescent="0.3">
      <c r="A4703" s="24"/>
    </row>
    <row r="4704" spans="1:1" x14ac:dyDescent="0.3">
      <c r="A4704" s="24"/>
    </row>
    <row r="4705" spans="1:1" x14ac:dyDescent="0.3">
      <c r="A4705" s="24"/>
    </row>
    <row r="4706" spans="1:1" x14ac:dyDescent="0.3">
      <c r="A4706" s="24"/>
    </row>
    <row r="4707" spans="1:1" x14ac:dyDescent="0.3">
      <c r="A4707" s="24"/>
    </row>
    <row r="4708" spans="1:1" x14ac:dyDescent="0.3">
      <c r="A4708" s="24"/>
    </row>
    <row r="4709" spans="1:1" x14ac:dyDescent="0.3">
      <c r="A4709" s="24"/>
    </row>
    <row r="4710" spans="1:1" x14ac:dyDescent="0.3">
      <c r="A4710" s="24"/>
    </row>
    <row r="4711" spans="1:1" x14ac:dyDescent="0.3">
      <c r="A4711" s="24"/>
    </row>
    <row r="4712" spans="1:1" x14ac:dyDescent="0.3">
      <c r="A4712" s="24"/>
    </row>
    <row r="4713" spans="1:1" x14ac:dyDescent="0.3">
      <c r="A4713" s="24"/>
    </row>
    <row r="4714" spans="1:1" x14ac:dyDescent="0.3">
      <c r="A4714" s="24"/>
    </row>
    <row r="4715" spans="1:1" x14ac:dyDescent="0.3">
      <c r="A4715" s="24"/>
    </row>
    <row r="4716" spans="1:1" x14ac:dyDescent="0.3">
      <c r="A4716" s="24"/>
    </row>
    <row r="4717" spans="1:1" x14ac:dyDescent="0.3">
      <c r="A4717" s="24"/>
    </row>
    <row r="4718" spans="1:1" x14ac:dyDescent="0.3">
      <c r="A4718" s="24"/>
    </row>
    <row r="4719" spans="1:1" x14ac:dyDescent="0.3">
      <c r="A4719" s="24"/>
    </row>
    <row r="4720" spans="1:1" x14ac:dyDescent="0.3">
      <c r="A4720" s="24"/>
    </row>
    <row r="4721" spans="1:1" x14ac:dyDescent="0.3">
      <c r="A4721" s="24"/>
    </row>
    <row r="4722" spans="1:1" x14ac:dyDescent="0.3">
      <c r="A4722" s="24"/>
    </row>
    <row r="4723" spans="1:1" x14ac:dyDescent="0.3">
      <c r="A4723" s="24"/>
    </row>
    <row r="4724" spans="1:1" x14ac:dyDescent="0.3">
      <c r="A4724" s="24"/>
    </row>
    <row r="4725" spans="1:1" x14ac:dyDescent="0.3">
      <c r="A4725" s="24"/>
    </row>
    <row r="4726" spans="1:1" x14ac:dyDescent="0.3">
      <c r="A4726" s="24"/>
    </row>
    <row r="4727" spans="1:1" x14ac:dyDescent="0.3">
      <c r="A4727" s="24"/>
    </row>
    <row r="4728" spans="1:1" x14ac:dyDescent="0.3">
      <c r="A4728" s="24"/>
    </row>
    <row r="4729" spans="1:1" x14ac:dyDescent="0.3">
      <c r="A4729" s="24"/>
    </row>
    <row r="4730" spans="1:1" x14ac:dyDescent="0.3">
      <c r="A4730" s="24"/>
    </row>
    <row r="4731" spans="1:1" x14ac:dyDescent="0.3">
      <c r="A4731" s="24"/>
    </row>
    <row r="4732" spans="1:1" x14ac:dyDescent="0.3">
      <c r="A4732" s="24"/>
    </row>
    <row r="4733" spans="1:1" x14ac:dyDescent="0.3">
      <c r="A4733" s="24"/>
    </row>
    <row r="4734" spans="1:1" x14ac:dyDescent="0.3">
      <c r="A4734" s="24"/>
    </row>
    <row r="4735" spans="1:1" x14ac:dyDescent="0.3">
      <c r="A4735" s="24"/>
    </row>
    <row r="4736" spans="1:1" x14ac:dyDescent="0.3">
      <c r="A4736" s="24"/>
    </row>
    <row r="4737" spans="1:1" x14ac:dyDescent="0.3">
      <c r="A4737" s="24"/>
    </row>
    <row r="4738" spans="1:1" x14ac:dyDescent="0.3">
      <c r="A4738" s="24"/>
    </row>
    <row r="4739" spans="1:1" x14ac:dyDescent="0.3">
      <c r="A4739" s="24"/>
    </row>
    <row r="4740" spans="1:1" x14ac:dyDescent="0.3">
      <c r="A4740" s="24"/>
    </row>
    <row r="4741" spans="1:1" x14ac:dyDescent="0.3">
      <c r="A4741" s="24"/>
    </row>
    <row r="4742" spans="1:1" x14ac:dyDescent="0.3">
      <c r="A4742" s="24"/>
    </row>
    <row r="4743" spans="1:1" x14ac:dyDescent="0.3">
      <c r="A4743" s="24"/>
    </row>
    <row r="4744" spans="1:1" x14ac:dyDescent="0.3">
      <c r="A4744" s="24"/>
    </row>
    <row r="4745" spans="1:1" x14ac:dyDescent="0.3">
      <c r="A4745" s="24"/>
    </row>
    <row r="4746" spans="1:1" x14ac:dyDescent="0.3">
      <c r="A4746" s="24"/>
    </row>
    <row r="4747" spans="1:1" x14ac:dyDescent="0.3">
      <c r="A4747" s="24"/>
    </row>
    <row r="4748" spans="1:1" x14ac:dyDescent="0.3">
      <c r="A4748" s="24"/>
    </row>
    <row r="4749" spans="1:1" x14ac:dyDescent="0.3">
      <c r="A4749" s="24"/>
    </row>
    <row r="4750" spans="1:1" x14ac:dyDescent="0.3">
      <c r="A4750" s="24"/>
    </row>
    <row r="4751" spans="1:1" x14ac:dyDescent="0.3">
      <c r="A4751" s="24"/>
    </row>
    <row r="4752" spans="1:1" x14ac:dyDescent="0.3">
      <c r="A4752" s="24"/>
    </row>
    <row r="4753" spans="1:1" x14ac:dyDescent="0.3">
      <c r="A4753" s="24"/>
    </row>
    <row r="4754" spans="1:1" x14ac:dyDescent="0.3">
      <c r="A4754" s="24"/>
    </row>
    <row r="4755" spans="1:1" x14ac:dyDescent="0.3">
      <c r="A4755" s="24"/>
    </row>
    <row r="4756" spans="1:1" x14ac:dyDescent="0.3">
      <c r="A4756" s="24"/>
    </row>
    <row r="4757" spans="1:1" x14ac:dyDescent="0.3">
      <c r="A4757" s="24"/>
    </row>
    <row r="4758" spans="1:1" x14ac:dyDescent="0.3">
      <c r="A4758" s="24"/>
    </row>
    <row r="4759" spans="1:1" x14ac:dyDescent="0.3">
      <c r="A4759" s="24"/>
    </row>
    <row r="4760" spans="1:1" x14ac:dyDescent="0.3">
      <c r="A4760" s="24"/>
    </row>
    <row r="4761" spans="1:1" x14ac:dyDescent="0.3">
      <c r="A4761" s="24"/>
    </row>
    <row r="4762" spans="1:1" x14ac:dyDescent="0.3">
      <c r="A4762" s="24"/>
    </row>
    <row r="4763" spans="1:1" x14ac:dyDescent="0.3">
      <c r="A4763" s="24"/>
    </row>
    <row r="4764" spans="1:1" x14ac:dyDescent="0.3">
      <c r="A4764" s="24"/>
    </row>
    <row r="4765" spans="1:1" x14ac:dyDescent="0.3">
      <c r="A4765" s="24"/>
    </row>
    <row r="4766" spans="1:1" x14ac:dyDescent="0.3">
      <c r="A4766" s="24"/>
    </row>
    <row r="4767" spans="1:1" x14ac:dyDescent="0.3">
      <c r="A4767" s="24"/>
    </row>
    <row r="4768" spans="1:1" x14ac:dyDescent="0.3">
      <c r="A4768" s="24"/>
    </row>
    <row r="4769" spans="1:1" x14ac:dyDescent="0.3">
      <c r="A4769" s="24"/>
    </row>
    <row r="4770" spans="1:1" x14ac:dyDescent="0.3">
      <c r="A4770" s="24"/>
    </row>
    <row r="4771" spans="1:1" x14ac:dyDescent="0.3">
      <c r="A4771" s="24"/>
    </row>
    <row r="4772" spans="1:1" x14ac:dyDescent="0.3">
      <c r="A4772" s="24"/>
    </row>
    <row r="4773" spans="1:1" x14ac:dyDescent="0.3">
      <c r="A4773" s="24"/>
    </row>
    <row r="4774" spans="1:1" x14ac:dyDescent="0.3">
      <c r="A4774" s="24"/>
    </row>
    <row r="4775" spans="1:1" x14ac:dyDescent="0.3">
      <c r="A4775" s="24"/>
    </row>
    <row r="4776" spans="1:1" x14ac:dyDescent="0.3">
      <c r="A4776" s="24"/>
    </row>
    <row r="4777" spans="1:1" x14ac:dyDescent="0.3">
      <c r="A4777" s="24"/>
    </row>
    <row r="4778" spans="1:1" x14ac:dyDescent="0.3">
      <c r="A4778" s="24"/>
    </row>
    <row r="4779" spans="1:1" x14ac:dyDescent="0.3">
      <c r="A4779" s="24"/>
    </row>
    <row r="4780" spans="1:1" x14ac:dyDescent="0.3">
      <c r="A4780" s="24"/>
    </row>
    <row r="4781" spans="1:1" x14ac:dyDescent="0.3">
      <c r="A4781" s="24"/>
    </row>
    <row r="4782" spans="1:1" x14ac:dyDescent="0.3">
      <c r="A4782" s="24"/>
    </row>
    <row r="4783" spans="1:1" x14ac:dyDescent="0.3">
      <c r="A4783" s="24"/>
    </row>
    <row r="4784" spans="1:1" x14ac:dyDescent="0.3">
      <c r="A4784" s="24"/>
    </row>
    <row r="4785" spans="1:1" x14ac:dyDescent="0.3">
      <c r="A4785" s="24"/>
    </row>
    <row r="4786" spans="1:1" x14ac:dyDescent="0.3">
      <c r="A4786" s="24"/>
    </row>
    <row r="4787" spans="1:1" x14ac:dyDescent="0.3">
      <c r="A4787" s="24"/>
    </row>
    <row r="4788" spans="1:1" x14ac:dyDescent="0.3">
      <c r="A4788" s="24"/>
    </row>
    <row r="4789" spans="1:1" x14ac:dyDescent="0.3">
      <c r="A4789" s="24"/>
    </row>
    <row r="4790" spans="1:1" x14ac:dyDescent="0.3">
      <c r="A4790" s="24"/>
    </row>
    <row r="4791" spans="1:1" x14ac:dyDescent="0.3">
      <c r="A4791" s="24"/>
    </row>
    <row r="4792" spans="1:1" x14ac:dyDescent="0.3">
      <c r="A4792" s="24"/>
    </row>
    <row r="4793" spans="1:1" x14ac:dyDescent="0.3">
      <c r="A4793" s="24"/>
    </row>
    <row r="4794" spans="1:1" x14ac:dyDescent="0.3">
      <c r="A4794" s="24"/>
    </row>
    <row r="4795" spans="1:1" x14ac:dyDescent="0.3">
      <c r="A4795" s="24"/>
    </row>
    <row r="4796" spans="1:1" x14ac:dyDescent="0.3">
      <c r="A4796" s="24"/>
    </row>
    <row r="4797" spans="1:1" x14ac:dyDescent="0.3">
      <c r="A4797" s="24"/>
    </row>
    <row r="4798" spans="1:1" x14ac:dyDescent="0.3">
      <c r="A4798" s="24"/>
    </row>
    <row r="4799" spans="1:1" x14ac:dyDescent="0.3">
      <c r="A4799" s="24"/>
    </row>
    <row r="4800" spans="1:1" x14ac:dyDescent="0.3">
      <c r="A4800" s="24"/>
    </row>
    <row r="4801" spans="1:1" x14ac:dyDescent="0.3">
      <c r="A4801" s="24"/>
    </row>
    <row r="4802" spans="1:1" x14ac:dyDescent="0.3">
      <c r="A4802" s="24"/>
    </row>
    <row r="4803" spans="1:1" x14ac:dyDescent="0.3">
      <c r="A4803" s="24"/>
    </row>
    <row r="4804" spans="1:1" x14ac:dyDescent="0.3">
      <c r="A4804" s="24"/>
    </row>
    <row r="4805" spans="1:1" x14ac:dyDescent="0.3">
      <c r="A4805" s="24"/>
    </row>
    <row r="4806" spans="1:1" x14ac:dyDescent="0.3">
      <c r="A4806" s="24"/>
    </row>
    <row r="4807" spans="1:1" x14ac:dyDescent="0.3">
      <c r="A4807" s="24"/>
    </row>
    <row r="4808" spans="1:1" x14ac:dyDescent="0.3">
      <c r="A4808" s="24"/>
    </row>
    <row r="4809" spans="1:1" x14ac:dyDescent="0.3">
      <c r="A4809" s="24"/>
    </row>
    <row r="4810" spans="1:1" x14ac:dyDescent="0.3">
      <c r="A4810" s="24"/>
    </row>
    <row r="4811" spans="1:1" x14ac:dyDescent="0.3">
      <c r="A4811" s="24"/>
    </row>
    <row r="4812" spans="1:1" x14ac:dyDescent="0.3">
      <c r="A4812" s="24"/>
    </row>
    <row r="4813" spans="1:1" x14ac:dyDescent="0.3">
      <c r="A4813" s="24"/>
    </row>
    <row r="4814" spans="1:1" x14ac:dyDescent="0.3">
      <c r="A4814" s="24"/>
    </row>
    <row r="4815" spans="1:1" x14ac:dyDescent="0.3">
      <c r="A4815" s="24"/>
    </row>
    <row r="4816" spans="1:1" x14ac:dyDescent="0.3">
      <c r="A4816" s="24"/>
    </row>
    <row r="4817" spans="1:1" x14ac:dyDescent="0.3">
      <c r="A4817" s="24"/>
    </row>
    <row r="4818" spans="1:1" x14ac:dyDescent="0.3">
      <c r="A4818" s="24"/>
    </row>
    <row r="4819" spans="1:1" x14ac:dyDescent="0.3">
      <c r="A4819" s="24"/>
    </row>
    <row r="4820" spans="1:1" x14ac:dyDescent="0.3">
      <c r="A4820" s="24"/>
    </row>
    <row r="4821" spans="1:1" x14ac:dyDescent="0.3">
      <c r="A4821" s="24"/>
    </row>
    <row r="4822" spans="1:1" x14ac:dyDescent="0.3">
      <c r="A4822" s="24"/>
    </row>
    <row r="4823" spans="1:1" x14ac:dyDescent="0.3">
      <c r="A4823" s="24"/>
    </row>
    <row r="4824" spans="1:1" x14ac:dyDescent="0.3">
      <c r="A4824" s="24"/>
    </row>
    <row r="4825" spans="1:1" x14ac:dyDescent="0.3">
      <c r="A4825" s="24"/>
    </row>
    <row r="4826" spans="1:1" x14ac:dyDescent="0.3">
      <c r="A4826" s="24"/>
    </row>
    <row r="4827" spans="1:1" x14ac:dyDescent="0.3">
      <c r="A4827" s="24"/>
    </row>
    <row r="4828" spans="1:1" x14ac:dyDescent="0.3">
      <c r="A4828" s="24"/>
    </row>
    <row r="4829" spans="1:1" x14ac:dyDescent="0.3">
      <c r="A4829" s="24"/>
    </row>
    <row r="4830" spans="1:1" x14ac:dyDescent="0.3">
      <c r="A4830" s="24"/>
    </row>
    <row r="4831" spans="1:1" x14ac:dyDescent="0.3">
      <c r="A4831" s="24"/>
    </row>
    <row r="4832" spans="1:1" x14ac:dyDescent="0.3">
      <c r="A4832" s="24"/>
    </row>
    <row r="4833" spans="1:1" x14ac:dyDescent="0.3">
      <c r="A4833" s="24"/>
    </row>
    <row r="4834" spans="1:1" x14ac:dyDescent="0.3">
      <c r="A4834" s="24"/>
    </row>
    <row r="4835" spans="1:1" x14ac:dyDescent="0.3">
      <c r="A4835" s="24"/>
    </row>
    <row r="4836" spans="1:1" x14ac:dyDescent="0.3">
      <c r="A4836" s="24"/>
    </row>
    <row r="4837" spans="1:1" x14ac:dyDescent="0.3">
      <c r="A4837" s="24"/>
    </row>
    <row r="4838" spans="1:1" x14ac:dyDescent="0.3">
      <c r="A4838" s="24"/>
    </row>
    <row r="4839" spans="1:1" x14ac:dyDescent="0.3">
      <c r="A4839" s="24"/>
    </row>
    <row r="4840" spans="1:1" x14ac:dyDescent="0.3">
      <c r="A4840" s="24"/>
    </row>
    <row r="4841" spans="1:1" x14ac:dyDescent="0.3">
      <c r="A4841" s="24"/>
    </row>
    <row r="4842" spans="1:1" x14ac:dyDescent="0.3">
      <c r="A4842" s="24"/>
    </row>
    <row r="4843" spans="1:1" x14ac:dyDescent="0.3">
      <c r="A4843" s="24"/>
    </row>
    <row r="4844" spans="1:1" x14ac:dyDescent="0.3">
      <c r="A4844" s="24"/>
    </row>
    <row r="4845" spans="1:1" x14ac:dyDescent="0.3">
      <c r="A4845" s="24"/>
    </row>
    <row r="4846" spans="1:1" x14ac:dyDescent="0.3">
      <c r="A4846" s="24"/>
    </row>
    <row r="4847" spans="1:1" x14ac:dyDescent="0.3">
      <c r="A4847" s="24"/>
    </row>
    <row r="4848" spans="1:1" x14ac:dyDescent="0.3">
      <c r="A4848" s="24"/>
    </row>
    <row r="4849" spans="1:1" x14ac:dyDescent="0.3">
      <c r="A4849" s="24"/>
    </row>
    <row r="4850" spans="1:1" x14ac:dyDescent="0.3">
      <c r="A4850" s="24"/>
    </row>
    <row r="4851" spans="1:1" x14ac:dyDescent="0.3">
      <c r="A4851" s="24"/>
    </row>
    <row r="4852" spans="1:1" x14ac:dyDescent="0.3">
      <c r="A4852" s="24"/>
    </row>
    <row r="4853" spans="1:1" x14ac:dyDescent="0.3">
      <c r="A4853" s="24"/>
    </row>
    <row r="4854" spans="1:1" x14ac:dyDescent="0.3">
      <c r="A4854" s="24"/>
    </row>
    <row r="4855" spans="1:1" x14ac:dyDescent="0.3">
      <c r="A4855" s="24"/>
    </row>
    <row r="4856" spans="1:1" x14ac:dyDescent="0.3">
      <c r="A4856" s="24"/>
    </row>
    <row r="4857" spans="1:1" x14ac:dyDescent="0.3">
      <c r="A4857" s="24"/>
    </row>
    <row r="4858" spans="1:1" x14ac:dyDescent="0.3">
      <c r="A4858" s="24"/>
    </row>
    <row r="4859" spans="1:1" x14ac:dyDescent="0.3">
      <c r="A4859" s="24"/>
    </row>
    <row r="4860" spans="1:1" x14ac:dyDescent="0.3">
      <c r="A4860" s="24"/>
    </row>
    <row r="4861" spans="1:1" x14ac:dyDescent="0.3">
      <c r="A4861" s="24"/>
    </row>
    <row r="4862" spans="1:1" x14ac:dyDescent="0.3">
      <c r="A4862" s="24"/>
    </row>
    <row r="4863" spans="1:1" x14ac:dyDescent="0.3">
      <c r="A4863" s="24"/>
    </row>
    <row r="4864" spans="1:1" x14ac:dyDescent="0.3">
      <c r="A4864" s="24"/>
    </row>
    <row r="4865" spans="1:1" x14ac:dyDescent="0.3">
      <c r="A4865" s="24"/>
    </row>
    <row r="4866" spans="1:1" x14ac:dyDescent="0.3">
      <c r="A4866" s="24"/>
    </row>
    <row r="4867" spans="1:1" x14ac:dyDescent="0.3">
      <c r="A4867" s="24"/>
    </row>
    <row r="4868" spans="1:1" x14ac:dyDescent="0.3">
      <c r="A4868" s="24"/>
    </row>
    <row r="4869" spans="1:1" x14ac:dyDescent="0.3">
      <c r="A4869" s="24"/>
    </row>
    <row r="4870" spans="1:1" x14ac:dyDescent="0.3">
      <c r="A4870" s="24"/>
    </row>
    <row r="4871" spans="1:1" x14ac:dyDescent="0.3">
      <c r="A4871" s="24"/>
    </row>
    <row r="4872" spans="1:1" x14ac:dyDescent="0.3">
      <c r="A4872" s="24"/>
    </row>
    <row r="4873" spans="1:1" x14ac:dyDescent="0.3">
      <c r="A4873" s="24"/>
    </row>
    <row r="4874" spans="1:1" x14ac:dyDescent="0.3">
      <c r="A4874" s="24"/>
    </row>
    <row r="4875" spans="1:1" x14ac:dyDescent="0.3">
      <c r="A4875" s="24"/>
    </row>
    <row r="4876" spans="1:1" x14ac:dyDescent="0.3">
      <c r="A4876" s="24"/>
    </row>
    <row r="4877" spans="1:1" x14ac:dyDescent="0.3">
      <c r="A4877" s="24"/>
    </row>
    <row r="4878" spans="1:1" x14ac:dyDescent="0.3">
      <c r="A4878" s="24"/>
    </row>
    <row r="4879" spans="1:1" x14ac:dyDescent="0.3">
      <c r="A4879" s="24"/>
    </row>
    <row r="4880" spans="1:1" x14ac:dyDescent="0.3">
      <c r="A4880" s="24"/>
    </row>
    <row r="4881" spans="1:1" x14ac:dyDescent="0.3">
      <c r="A4881" s="24"/>
    </row>
    <row r="4882" spans="1:1" x14ac:dyDescent="0.3">
      <c r="A4882" s="24"/>
    </row>
    <row r="4883" spans="1:1" x14ac:dyDescent="0.3">
      <c r="A4883" s="24"/>
    </row>
    <row r="4884" spans="1:1" x14ac:dyDescent="0.3">
      <c r="A4884" s="24"/>
    </row>
    <row r="4885" spans="1:1" x14ac:dyDescent="0.3">
      <c r="A4885" s="24"/>
    </row>
    <row r="4886" spans="1:1" x14ac:dyDescent="0.3">
      <c r="A4886" s="24"/>
    </row>
    <row r="4887" spans="1:1" x14ac:dyDescent="0.3">
      <c r="A4887" s="24"/>
    </row>
    <row r="4888" spans="1:1" x14ac:dyDescent="0.3">
      <c r="A4888" s="24"/>
    </row>
    <row r="4889" spans="1:1" x14ac:dyDescent="0.3">
      <c r="A4889" s="24"/>
    </row>
    <row r="4890" spans="1:1" x14ac:dyDescent="0.3">
      <c r="A4890" s="24"/>
    </row>
    <row r="4891" spans="1:1" x14ac:dyDescent="0.3">
      <c r="A4891" s="24"/>
    </row>
    <row r="4892" spans="1:1" x14ac:dyDescent="0.3">
      <c r="A4892" s="24"/>
    </row>
    <row r="4893" spans="1:1" x14ac:dyDescent="0.3">
      <c r="A4893" s="24"/>
    </row>
    <row r="4894" spans="1:1" x14ac:dyDescent="0.3">
      <c r="A4894" s="24"/>
    </row>
    <row r="4895" spans="1:1" x14ac:dyDescent="0.3">
      <c r="A4895" s="24"/>
    </row>
    <row r="4896" spans="1:1" x14ac:dyDescent="0.3">
      <c r="A4896" s="24"/>
    </row>
    <row r="4897" spans="1:1" x14ac:dyDescent="0.3">
      <c r="A4897" s="24"/>
    </row>
    <row r="4898" spans="1:1" x14ac:dyDescent="0.3">
      <c r="A4898" s="24"/>
    </row>
    <row r="4899" spans="1:1" x14ac:dyDescent="0.3">
      <c r="A4899" s="24"/>
    </row>
    <row r="4900" spans="1:1" x14ac:dyDescent="0.3">
      <c r="A4900" s="24"/>
    </row>
    <row r="4901" spans="1:1" x14ac:dyDescent="0.3">
      <c r="A4901" s="24"/>
    </row>
    <row r="4902" spans="1:1" x14ac:dyDescent="0.3">
      <c r="A4902" s="24"/>
    </row>
    <row r="4903" spans="1:1" x14ac:dyDescent="0.3">
      <c r="A4903" s="24"/>
    </row>
    <row r="4904" spans="1:1" x14ac:dyDescent="0.3">
      <c r="A4904" s="24"/>
    </row>
    <row r="4905" spans="1:1" x14ac:dyDescent="0.3">
      <c r="A4905" s="24"/>
    </row>
    <row r="4906" spans="1:1" x14ac:dyDescent="0.3">
      <c r="A4906" s="24"/>
    </row>
    <row r="4907" spans="1:1" x14ac:dyDescent="0.3">
      <c r="A4907" s="24"/>
    </row>
    <row r="4908" spans="1:1" x14ac:dyDescent="0.3">
      <c r="A4908" s="24"/>
    </row>
    <row r="4909" spans="1:1" x14ac:dyDescent="0.3">
      <c r="A4909" s="24"/>
    </row>
    <row r="4910" spans="1:1" x14ac:dyDescent="0.3">
      <c r="A4910" s="24"/>
    </row>
    <row r="4911" spans="1:1" x14ac:dyDescent="0.3">
      <c r="A4911" s="24"/>
    </row>
    <row r="4912" spans="1:1" x14ac:dyDescent="0.3">
      <c r="A4912" s="24"/>
    </row>
    <row r="4913" spans="1:1" x14ac:dyDescent="0.3">
      <c r="A4913" s="24"/>
    </row>
    <row r="4914" spans="1:1" x14ac:dyDescent="0.3">
      <c r="A4914" s="24"/>
    </row>
    <row r="4915" spans="1:1" x14ac:dyDescent="0.3">
      <c r="A4915" s="24"/>
    </row>
    <row r="4916" spans="1:1" x14ac:dyDescent="0.3">
      <c r="A4916" s="24"/>
    </row>
    <row r="4917" spans="1:1" x14ac:dyDescent="0.3">
      <c r="A4917" s="24"/>
    </row>
    <row r="4918" spans="1:1" x14ac:dyDescent="0.3">
      <c r="A4918" s="24"/>
    </row>
    <row r="4919" spans="1:1" x14ac:dyDescent="0.3">
      <c r="A4919" s="24"/>
    </row>
    <row r="4920" spans="1:1" x14ac:dyDescent="0.3">
      <c r="A4920" s="24"/>
    </row>
    <row r="4921" spans="1:1" x14ac:dyDescent="0.3">
      <c r="A4921" s="24"/>
    </row>
    <row r="4922" spans="1:1" x14ac:dyDescent="0.3">
      <c r="A4922" s="24"/>
    </row>
    <row r="4923" spans="1:1" x14ac:dyDescent="0.3">
      <c r="A4923" s="24"/>
    </row>
    <row r="4924" spans="1:1" x14ac:dyDescent="0.3">
      <c r="A4924" s="24"/>
    </row>
    <row r="4925" spans="1:1" x14ac:dyDescent="0.3">
      <c r="A4925" s="24"/>
    </row>
    <row r="4926" spans="1:1" x14ac:dyDescent="0.3">
      <c r="A4926" s="24"/>
    </row>
    <row r="4927" spans="1:1" x14ac:dyDescent="0.3">
      <c r="A4927" s="24"/>
    </row>
    <row r="4928" spans="1:1" x14ac:dyDescent="0.3">
      <c r="A4928" s="24"/>
    </row>
    <row r="4929" spans="1:1" x14ac:dyDescent="0.3">
      <c r="A4929" s="24"/>
    </row>
    <row r="4930" spans="1:1" x14ac:dyDescent="0.3">
      <c r="A4930" s="24"/>
    </row>
    <row r="4931" spans="1:1" x14ac:dyDescent="0.3">
      <c r="A4931" s="24"/>
    </row>
    <row r="4932" spans="1:1" x14ac:dyDescent="0.3">
      <c r="A4932" s="24"/>
    </row>
    <row r="4933" spans="1:1" x14ac:dyDescent="0.3">
      <c r="A4933" s="24"/>
    </row>
    <row r="4934" spans="1:1" x14ac:dyDescent="0.3">
      <c r="A4934" s="24"/>
    </row>
    <row r="4935" spans="1:1" x14ac:dyDescent="0.3">
      <c r="A4935" s="24"/>
    </row>
    <row r="4936" spans="1:1" x14ac:dyDescent="0.3">
      <c r="A4936" s="24"/>
    </row>
    <row r="4937" spans="1:1" x14ac:dyDescent="0.3">
      <c r="A4937" s="24"/>
    </row>
    <row r="4938" spans="1:1" x14ac:dyDescent="0.3">
      <c r="A4938" s="24"/>
    </row>
    <row r="4939" spans="1:1" x14ac:dyDescent="0.3">
      <c r="A4939" s="24"/>
    </row>
    <row r="4940" spans="1:1" x14ac:dyDescent="0.3">
      <c r="A4940" s="24"/>
    </row>
    <row r="4941" spans="1:1" x14ac:dyDescent="0.3">
      <c r="A4941" s="24"/>
    </row>
    <row r="4942" spans="1:1" x14ac:dyDescent="0.3">
      <c r="A4942" s="24"/>
    </row>
    <row r="4943" spans="1:1" x14ac:dyDescent="0.3">
      <c r="A4943" s="24"/>
    </row>
    <row r="4944" spans="1:1" x14ac:dyDescent="0.3">
      <c r="A4944" s="24"/>
    </row>
    <row r="4945" spans="1:1" x14ac:dyDescent="0.3">
      <c r="A4945" s="24"/>
    </row>
    <row r="4946" spans="1:1" x14ac:dyDescent="0.3">
      <c r="A4946" s="24"/>
    </row>
    <row r="4947" spans="1:1" x14ac:dyDescent="0.3">
      <c r="A4947" s="24"/>
    </row>
    <row r="4948" spans="1:1" x14ac:dyDescent="0.3">
      <c r="A4948" s="24"/>
    </row>
    <row r="4949" spans="1:1" x14ac:dyDescent="0.3">
      <c r="A4949" s="24"/>
    </row>
    <row r="4950" spans="1:1" x14ac:dyDescent="0.3">
      <c r="A4950" s="24"/>
    </row>
    <row r="4951" spans="1:1" x14ac:dyDescent="0.3">
      <c r="A4951" s="24"/>
    </row>
    <row r="4952" spans="1:1" x14ac:dyDescent="0.3">
      <c r="A4952" s="24"/>
    </row>
    <row r="4953" spans="1:1" x14ac:dyDescent="0.3">
      <c r="A4953" s="24"/>
    </row>
    <row r="4954" spans="1:1" x14ac:dyDescent="0.3">
      <c r="A4954" s="24"/>
    </row>
    <row r="4955" spans="1:1" x14ac:dyDescent="0.3">
      <c r="A4955" s="24"/>
    </row>
    <row r="4956" spans="1:1" x14ac:dyDescent="0.3">
      <c r="A4956" s="24"/>
    </row>
    <row r="4957" spans="1:1" x14ac:dyDescent="0.3">
      <c r="A4957" s="24"/>
    </row>
    <row r="4958" spans="1:1" x14ac:dyDescent="0.3">
      <c r="A4958" s="24"/>
    </row>
    <row r="4959" spans="1:1" x14ac:dyDescent="0.3">
      <c r="A4959" s="24"/>
    </row>
    <row r="4960" spans="1:1" x14ac:dyDescent="0.3">
      <c r="A4960" s="24"/>
    </row>
    <row r="4961" spans="1:1" x14ac:dyDescent="0.3">
      <c r="A4961" s="24"/>
    </row>
    <row r="4962" spans="1:1" x14ac:dyDescent="0.3">
      <c r="A4962" s="24"/>
    </row>
    <row r="4963" spans="1:1" x14ac:dyDescent="0.3">
      <c r="A4963" s="24"/>
    </row>
    <row r="4964" spans="1:1" x14ac:dyDescent="0.3">
      <c r="A4964" s="24"/>
    </row>
    <row r="4965" spans="1:1" x14ac:dyDescent="0.3">
      <c r="A4965" s="24"/>
    </row>
    <row r="4966" spans="1:1" x14ac:dyDescent="0.3">
      <c r="A4966" s="24"/>
    </row>
    <row r="4967" spans="1:1" x14ac:dyDescent="0.3">
      <c r="A4967" s="24"/>
    </row>
    <row r="4968" spans="1:1" x14ac:dyDescent="0.3">
      <c r="A4968" s="24"/>
    </row>
    <row r="4969" spans="1:1" x14ac:dyDescent="0.3">
      <c r="A4969" s="24"/>
    </row>
    <row r="4970" spans="1:1" x14ac:dyDescent="0.3">
      <c r="A4970" s="24"/>
    </row>
    <row r="4971" spans="1:1" x14ac:dyDescent="0.3">
      <c r="A4971" s="24"/>
    </row>
    <row r="4972" spans="1:1" x14ac:dyDescent="0.3">
      <c r="A4972" s="24"/>
    </row>
    <row r="4973" spans="1:1" x14ac:dyDescent="0.3">
      <c r="A4973" s="24"/>
    </row>
    <row r="4974" spans="1:1" x14ac:dyDescent="0.3">
      <c r="A4974" s="24"/>
    </row>
    <row r="4975" spans="1:1" x14ac:dyDescent="0.3">
      <c r="A4975" s="24"/>
    </row>
    <row r="4976" spans="1:1" x14ac:dyDescent="0.3">
      <c r="A4976" s="24"/>
    </row>
    <row r="4977" spans="1:1" x14ac:dyDescent="0.3">
      <c r="A4977" s="24"/>
    </row>
    <row r="4978" spans="1:1" x14ac:dyDescent="0.3">
      <c r="A4978" s="24"/>
    </row>
    <row r="4979" spans="1:1" x14ac:dyDescent="0.3">
      <c r="A4979" s="24"/>
    </row>
    <row r="4980" spans="1:1" x14ac:dyDescent="0.3">
      <c r="A4980" s="24"/>
    </row>
    <row r="4981" spans="1:1" x14ac:dyDescent="0.3">
      <c r="A4981" s="24"/>
    </row>
    <row r="4982" spans="1:1" x14ac:dyDescent="0.3">
      <c r="A4982" s="24"/>
    </row>
    <row r="4983" spans="1:1" x14ac:dyDescent="0.3">
      <c r="A4983" s="24"/>
    </row>
    <row r="4984" spans="1:1" x14ac:dyDescent="0.3">
      <c r="A4984" s="24"/>
    </row>
    <row r="4985" spans="1:1" x14ac:dyDescent="0.3">
      <c r="A4985" s="24"/>
    </row>
    <row r="4986" spans="1:1" x14ac:dyDescent="0.3">
      <c r="A4986" s="24"/>
    </row>
    <row r="4987" spans="1:1" x14ac:dyDescent="0.3">
      <c r="A4987" s="24"/>
    </row>
    <row r="4988" spans="1:1" x14ac:dyDescent="0.3">
      <c r="A4988" s="24"/>
    </row>
    <row r="4989" spans="1:1" x14ac:dyDescent="0.3">
      <c r="A4989" s="24"/>
    </row>
    <row r="4990" spans="1:1" x14ac:dyDescent="0.3">
      <c r="A4990" s="24"/>
    </row>
    <row r="4991" spans="1:1" x14ac:dyDescent="0.3">
      <c r="A4991" s="24"/>
    </row>
    <row r="4992" spans="1:1" x14ac:dyDescent="0.3">
      <c r="A4992" s="24"/>
    </row>
    <row r="4993" spans="1:1" x14ac:dyDescent="0.3">
      <c r="A4993" s="24"/>
    </row>
    <row r="4994" spans="1:1" x14ac:dyDescent="0.3">
      <c r="A4994" s="24"/>
    </row>
    <row r="4995" spans="1:1" x14ac:dyDescent="0.3">
      <c r="A4995" s="24"/>
    </row>
    <row r="4996" spans="1:1" x14ac:dyDescent="0.3">
      <c r="A4996" s="24"/>
    </row>
    <row r="4997" spans="1:1" x14ac:dyDescent="0.3">
      <c r="A4997" s="24"/>
    </row>
    <row r="4998" spans="1:1" x14ac:dyDescent="0.3">
      <c r="A4998" s="24"/>
    </row>
    <row r="4999" spans="1:1" x14ac:dyDescent="0.3">
      <c r="A4999" s="24"/>
    </row>
    <row r="5000" spans="1:1" x14ac:dyDescent="0.3">
      <c r="A5000" s="24"/>
    </row>
    <row r="5001" spans="1:1" x14ac:dyDescent="0.3">
      <c r="A5001" s="24"/>
    </row>
    <row r="5002" spans="1:1" x14ac:dyDescent="0.3">
      <c r="A5002" s="24"/>
    </row>
    <row r="5003" spans="1:1" x14ac:dyDescent="0.3">
      <c r="A5003" s="24"/>
    </row>
    <row r="5004" spans="1:1" x14ac:dyDescent="0.3">
      <c r="A5004" s="24"/>
    </row>
    <row r="5005" spans="1:1" x14ac:dyDescent="0.3">
      <c r="A5005" s="24"/>
    </row>
    <row r="5006" spans="1:1" x14ac:dyDescent="0.3">
      <c r="A5006" s="24"/>
    </row>
    <row r="5007" spans="1:1" x14ac:dyDescent="0.3">
      <c r="A5007" s="24"/>
    </row>
    <row r="5008" spans="1:1" x14ac:dyDescent="0.3">
      <c r="A5008" s="24"/>
    </row>
    <row r="5009" spans="1:1" x14ac:dyDescent="0.3">
      <c r="A5009" s="24"/>
    </row>
    <row r="5010" spans="1:1" x14ac:dyDescent="0.3">
      <c r="A5010" s="24"/>
    </row>
    <row r="5011" spans="1:1" x14ac:dyDescent="0.3">
      <c r="A5011" s="24"/>
    </row>
    <row r="5012" spans="1:1" x14ac:dyDescent="0.3">
      <c r="A5012" s="24"/>
    </row>
    <row r="5013" spans="1:1" x14ac:dyDescent="0.3">
      <c r="A5013" s="24"/>
    </row>
    <row r="5014" spans="1:1" x14ac:dyDescent="0.3">
      <c r="A5014" s="24"/>
    </row>
    <row r="5015" spans="1:1" x14ac:dyDescent="0.3">
      <c r="A5015" s="24"/>
    </row>
    <row r="5016" spans="1:1" x14ac:dyDescent="0.3">
      <c r="A5016" s="24"/>
    </row>
    <row r="5017" spans="1:1" x14ac:dyDescent="0.3">
      <c r="A5017" s="24"/>
    </row>
    <row r="5018" spans="1:1" x14ac:dyDescent="0.3">
      <c r="A5018" s="24"/>
    </row>
    <row r="5019" spans="1:1" x14ac:dyDescent="0.3">
      <c r="A5019" s="24"/>
    </row>
    <row r="5020" spans="1:1" x14ac:dyDescent="0.3">
      <c r="A5020" s="24"/>
    </row>
    <row r="5021" spans="1:1" x14ac:dyDescent="0.3">
      <c r="A5021" s="24"/>
    </row>
    <row r="5022" spans="1:1" x14ac:dyDescent="0.3">
      <c r="A5022" s="24"/>
    </row>
    <row r="5023" spans="1:1" x14ac:dyDescent="0.3">
      <c r="A5023" s="24"/>
    </row>
    <row r="5024" spans="1:1" x14ac:dyDescent="0.3">
      <c r="A5024" s="24"/>
    </row>
    <row r="5025" spans="1:1" x14ac:dyDescent="0.3">
      <c r="A5025" s="24"/>
    </row>
    <row r="5026" spans="1:1" x14ac:dyDescent="0.3">
      <c r="A5026" s="24"/>
    </row>
    <row r="5027" spans="1:1" x14ac:dyDescent="0.3">
      <c r="A5027" s="24"/>
    </row>
    <row r="5028" spans="1:1" x14ac:dyDescent="0.3">
      <c r="A5028" s="24"/>
    </row>
    <row r="5029" spans="1:1" x14ac:dyDescent="0.3">
      <c r="A5029" s="24"/>
    </row>
    <row r="5030" spans="1:1" x14ac:dyDescent="0.3">
      <c r="A5030" s="24"/>
    </row>
    <row r="5031" spans="1:1" x14ac:dyDescent="0.3">
      <c r="A5031" s="24"/>
    </row>
    <row r="5032" spans="1:1" x14ac:dyDescent="0.3">
      <c r="A5032" s="24"/>
    </row>
    <row r="5033" spans="1:1" x14ac:dyDescent="0.3">
      <c r="A5033" s="24"/>
    </row>
    <row r="5034" spans="1:1" x14ac:dyDescent="0.3">
      <c r="A5034" s="24"/>
    </row>
    <row r="5035" spans="1:1" x14ac:dyDescent="0.3">
      <c r="A5035" s="24"/>
    </row>
    <row r="5036" spans="1:1" x14ac:dyDescent="0.3">
      <c r="A5036" s="24"/>
    </row>
    <row r="5037" spans="1:1" x14ac:dyDescent="0.3">
      <c r="A5037" s="24"/>
    </row>
    <row r="5038" spans="1:1" x14ac:dyDescent="0.3">
      <c r="A5038" s="24"/>
    </row>
    <row r="5039" spans="1:1" x14ac:dyDescent="0.3">
      <c r="A5039" s="24"/>
    </row>
    <row r="5040" spans="1:1" x14ac:dyDescent="0.3">
      <c r="A5040" s="24"/>
    </row>
    <row r="5041" spans="1:1" x14ac:dyDescent="0.3">
      <c r="A5041" s="24"/>
    </row>
    <row r="5042" spans="1:1" x14ac:dyDescent="0.3">
      <c r="A5042" s="24"/>
    </row>
    <row r="5043" spans="1:1" x14ac:dyDescent="0.3">
      <c r="A5043" s="24"/>
    </row>
    <row r="5044" spans="1:1" x14ac:dyDescent="0.3">
      <c r="A5044" s="24"/>
    </row>
    <row r="5045" spans="1:1" x14ac:dyDescent="0.3">
      <c r="A5045" s="24"/>
    </row>
    <row r="5046" spans="1:1" x14ac:dyDescent="0.3">
      <c r="A5046" s="24"/>
    </row>
    <row r="5047" spans="1:1" x14ac:dyDescent="0.3">
      <c r="A5047" s="24"/>
    </row>
    <row r="5048" spans="1:1" x14ac:dyDescent="0.3">
      <c r="A5048" s="24"/>
    </row>
    <row r="5049" spans="1:1" x14ac:dyDescent="0.3">
      <c r="A5049" s="24"/>
    </row>
    <row r="5050" spans="1:1" x14ac:dyDescent="0.3">
      <c r="A5050" s="24"/>
    </row>
    <row r="5051" spans="1:1" x14ac:dyDescent="0.3">
      <c r="A5051" s="24"/>
    </row>
    <row r="5052" spans="1:1" x14ac:dyDescent="0.3">
      <c r="A5052" s="24"/>
    </row>
    <row r="5053" spans="1:1" x14ac:dyDescent="0.3">
      <c r="A5053" s="24"/>
    </row>
    <row r="5054" spans="1:1" x14ac:dyDescent="0.3">
      <c r="A5054" s="24"/>
    </row>
    <row r="5055" spans="1:1" x14ac:dyDescent="0.3">
      <c r="A5055" s="24"/>
    </row>
    <row r="5056" spans="1:1" x14ac:dyDescent="0.3">
      <c r="A5056" s="24"/>
    </row>
    <row r="5057" spans="1:1" x14ac:dyDescent="0.3">
      <c r="A5057" s="24"/>
    </row>
    <row r="5058" spans="1:1" x14ac:dyDescent="0.3">
      <c r="A5058" s="24"/>
    </row>
    <row r="5059" spans="1:1" x14ac:dyDescent="0.3">
      <c r="A5059" s="24"/>
    </row>
    <row r="5060" spans="1:1" x14ac:dyDescent="0.3">
      <c r="A5060" s="24"/>
    </row>
    <row r="5061" spans="1:1" x14ac:dyDescent="0.3">
      <c r="A5061" s="24"/>
    </row>
    <row r="5062" spans="1:1" x14ac:dyDescent="0.3">
      <c r="A5062" s="24"/>
    </row>
    <row r="5063" spans="1:1" x14ac:dyDescent="0.3">
      <c r="A5063" s="24"/>
    </row>
    <row r="5064" spans="1:1" x14ac:dyDescent="0.3">
      <c r="A5064" s="24"/>
    </row>
    <row r="5065" spans="1:1" x14ac:dyDescent="0.3">
      <c r="A5065" s="24"/>
    </row>
    <row r="5066" spans="1:1" x14ac:dyDescent="0.3">
      <c r="A5066" s="24"/>
    </row>
    <row r="5067" spans="1:1" x14ac:dyDescent="0.3">
      <c r="A5067" s="24"/>
    </row>
    <row r="5068" spans="1:1" x14ac:dyDescent="0.3">
      <c r="A5068" s="24"/>
    </row>
    <row r="5069" spans="1:1" x14ac:dyDescent="0.3">
      <c r="A5069" s="24"/>
    </row>
    <row r="5070" spans="1:1" x14ac:dyDescent="0.3">
      <c r="A5070" s="24"/>
    </row>
    <row r="5071" spans="1:1" x14ac:dyDescent="0.3">
      <c r="A5071" s="24"/>
    </row>
    <row r="5072" spans="1:1" x14ac:dyDescent="0.3">
      <c r="A5072" s="24"/>
    </row>
    <row r="5073" spans="1:1" x14ac:dyDescent="0.3">
      <c r="A5073" s="24"/>
    </row>
    <row r="5074" spans="1:1" x14ac:dyDescent="0.3">
      <c r="A5074" s="24"/>
    </row>
    <row r="5075" spans="1:1" x14ac:dyDescent="0.3">
      <c r="A5075" s="24"/>
    </row>
    <row r="5076" spans="1:1" x14ac:dyDescent="0.3">
      <c r="A5076" s="24"/>
    </row>
    <row r="5077" spans="1:1" x14ac:dyDescent="0.3">
      <c r="A5077" s="24"/>
    </row>
    <row r="5078" spans="1:1" x14ac:dyDescent="0.3">
      <c r="A5078" s="24"/>
    </row>
    <row r="5079" spans="1:1" x14ac:dyDescent="0.3">
      <c r="A5079" s="24"/>
    </row>
    <row r="5080" spans="1:1" x14ac:dyDescent="0.3">
      <c r="A5080" s="24"/>
    </row>
    <row r="5081" spans="1:1" x14ac:dyDescent="0.3">
      <c r="A5081" s="24"/>
    </row>
    <row r="5082" spans="1:1" x14ac:dyDescent="0.3">
      <c r="A5082" s="24"/>
    </row>
    <row r="5083" spans="1:1" x14ac:dyDescent="0.3">
      <c r="A5083" s="24"/>
    </row>
    <row r="5084" spans="1:1" x14ac:dyDescent="0.3">
      <c r="A5084" s="24"/>
    </row>
    <row r="5085" spans="1:1" x14ac:dyDescent="0.3">
      <c r="A5085" s="24"/>
    </row>
    <row r="5086" spans="1:1" x14ac:dyDescent="0.3">
      <c r="A5086" s="24"/>
    </row>
    <row r="5087" spans="1:1" x14ac:dyDescent="0.3">
      <c r="A5087" s="24"/>
    </row>
    <row r="5088" spans="1:1" x14ac:dyDescent="0.3">
      <c r="A5088" s="24"/>
    </row>
    <row r="5089" spans="1:1" x14ac:dyDescent="0.3">
      <c r="A5089" s="24"/>
    </row>
    <row r="5090" spans="1:1" x14ac:dyDescent="0.3">
      <c r="A5090" s="24"/>
    </row>
    <row r="5091" spans="1:1" x14ac:dyDescent="0.3">
      <c r="A5091" s="24"/>
    </row>
    <row r="5092" spans="1:1" x14ac:dyDescent="0.3">
      <c r="A5092" s="24"/>
    </row>
    <row r="5093" spans="1:1" x14ac:dyDescent="0.3">
      <c r="A5093" s="24"/>
    </row>
    <row r="5094" spans="1:1" x14ac:dyDescent="0.3">
      <c r="A5094" s="24"/>
    </row>
    <row r="5095" spans="1:1" x14ac:dyDescent="0.3">
      <c r="A5095" s="24"/>
    </row>
    <row r="5096" spans="1:1" x14ac:dyDescent="0.3">
      <c r="A5096" s="24"/>
    </row>
    <row r="5097" spans="1:1" x14ac:dyDescent="0.3">
      <c r="A5097" s="24"/>
    </row>
    <row r="5098" spans="1:1" x14ac:dyDescent="0.3">
      <c r="A5098" s="24"/>
    </row>
    <row r="5099" spans="1:1" x14ac:dyDescent="0.3">
      <c r="A5099" s="24"/>
    </row>
    <row r="5100" spans="1:1" x14ac:dyDescent="0.3">
      <c r="A5100" s="24"/>
    </row>
    <row r="5101" spans="1:1" x14ac:dyDescent="0.3">
      <c r="A5101" s="24"/>
    </row>
    <row r="5102" spans="1:1" x14ac:dyDescent="0.3">
      <c r="A5102" s="24"/>
    </row>
    <row r="5103" spans="1:1" x14ac:dyDescent="0.3">
      <c r="A5103" s="24"/>
    </row>
    <row r="5104" spans="1:1" x14ac:dyDescent="0.3">
      <c r="A5104" s="24"/>
    </row>
    <row r="5105" spans="1:1" x14ac:dyDescent="0.3">
      <c r="A5105" s="24"/>
    </row>
    <row r="5106" spans="1:1" x14ac:dyDescent="0.3">
      <c r="A5106" s="24"/>
    </row>
    <row r="5107" spans="1:1" x14ac:dyDescent="0.3">
      <c r="A5107" s="24"/>
    </row>
    <row r="5108" spans="1:1" x14ac:dyDescent="0.3">
      <c r="A5108" s="24"/>
    </row>
    <row r="5109" spans="1:1" x14ac:dyDescent="0.3">
      <c r="A5109" s="24"/>
    </row>
    <row r="5110" spans="1:1" x14ac:dyDescent="0.3">
      <c r="A5110" s="24"/>
    </row>
    <row r="5111" spans="1:1" x14ac:dyDescent="0.3">
      <c r="A5111" s="24"/>
    </row>
    <row r="5112" spans="1:1" x14ac:dyDescent="0.3">
      <c r="A5112" s="24"/>
    </row>
    <row r="5113" spans="1:1" x14ac:dyDescent="0.3">
      <c r="A5113" s="24"/>
    </row>
    <row r="5114" spans="1:1" x14ac:dyDescent="0.3">
      <c r="A5114" s="24"/>
    </row>
    <row r="5115" spans="1:1" x14ac:dyDescent="0.3">
      <c r="A5115" s="24"/>
    </row>
    <row r="5116" spans="1:1" x14ac:dyDescent="0.3">
      <c r="A5116" s="24"/>
    </row>
    <row r="5117" spans="1:1" x14ac:dyDescent="0.3">
      <c r="A5117" s="24"/>
    </row>
    <row r="5118" spans="1:1" x14ac:dyDescent="0.3">
      <c r="A5118" s="24"/>
    </row>
    <row r="5119" spans="1:1" x14ac:dyDescent="0.3">
      <c r="A5119" s="24"/>
    </row>
    <row r="5120" spans="1:1" x14ac:dyDescent="0.3">
      <c r="A5120" s="24"/>
    </row>
    <row r="5121" spans="1:1" x14ac:dyDescent="0.3">
      <c r="A5121" s="24"/>
    </row>
    <row r="5122" spans="1:1" x14ac:dyDescent="0.3">
      <c r="A5122" s="24"/>
    </row>
    <row r="5123" spans="1:1" x14ac:dyDescent="0.3">
      <c r="A5123" s="24"/>
    </row>
    <row r="5124" spans="1:1" x14ac:dyDescent="0.3">
      <c r="A5124" s="24"/>
    </row>
    <row r="5125" spans="1:1" x14ac:dyDescent="0.3">
      <c r="A5125" s="24"/>
    </row>
    <row r="5126" spans="1:1" x14ac:dyDescent="0.3">
      <c r="A5126" s="24"/>
    </row>
    <row r="5127" spans="1:1" x14ac:dyDescent="0.3">
      <c r="A5127" s="24"/>
    </row>
    <row r="5128" spans="1:1" x14ac:dyDescent="0.3">
      <c r="A5128" s="24"/>
    </row>
    <row r="5129" spans="1:1" x14ac:dyDescent="0.3">
      <c r="A5129" s="24"/>
    </row>
    <row r="5130" spans="1:1" x14ac:dyDescent="0.3">
      <c r="A5130" s="24"/>
    </row>
    <row r="5131" spans="1:1" x14ac:dyDescent="0.3">
      <c r="A5131" s="24"/>
    </row>
    <row r="5132" spans="1:1" x14ac:dyDescent="0.3">
      <c r="A5132" s="24"/>
    </row>
    <row r="5133" spans="1:1" x14ac:dyDescent="0.3">
      <c r="A5133" s="24"/>
    </row>
    <row r="5134" spans="1:1" x14ac:dyDescent="0.3">
      <c r="A5134" s="24"/>
    </row>
    <row r="5135" spans="1:1" x14ac:dyDescent="0.3">
      <c r="A5135" s="24"/>
    </row>
    <row r="5136" spans="1:1" x14ac:dyDescent="0.3">
      <c r="A5136" s="24"/>
    </row>
    <row r="5137" spans="1:1" x14ac:dyDescent="0.3">
      <c r="A5137" s="24"/>
    </row>
    <row r="5138" spans="1:1" x14ac:dyDescent="0.3">
      <c r="A5138" s="24"/>
    </row>
    <row r="5139" spans="1:1" x14ac:dyDescent="0.3">
      <c r="A5139" s="24"/>
    </row>
    <row r="5140" spans="1:1" x14ac:dyDescent="0.3">
      <c r="A5140" s="24"/>
    </row>
    <row r="5141" spans="1:1" x14ac:dyDescent="0.3">
      <c r="A5141" s="24"/>
    </row>
    <row r="5142" spans="1:1" x14ac:dyDescent="0.3">
      <c r="A5142" s="24"/>
    </row>
    <row r="5143" spans="1:1" x14ac:dyDescent="0.3">
      <c r="A5143" s="24"/>
    </row>
    <row r="5144" spans="1:1" x14ac:dyDescent="0.3">
      <c r="A5144" s="24"/>
    </row>
    <row r="5145" spans="1:1" x14ac:dyDescent="0.3">
      <c r="A5145" s="24"/>
    </row>
    <row r="5146" spans="1:1" x14ac:dyDescent="0.3">
      <c r="A5146" s="24"/>
    </row>
    <row r="5147" spans="1:1" x14ac:dyDescent="0.3">
      <c r="A5147" s="24"/>
    </row>
    <row r="5148" spans="1:1" x14ac:dyDescent="0.3">
      <c r="A5148" s="24"/>
    </row>
    <row r="5149" spans="1:1" x14ac:dyDescent="0.3">
      <c r="A5149" s="24"/>
    </row>
    <row r="5150" spans="1:1" x14ac:dyDescent="0.3">
      <c r="A5150" s="24"/>
    </row>
    <row r="5151" spans="1:1" x14ac:dyDescent="0.3">
      <c r="A5151" s="24"/>
    </row>
    <row r="5152" spans="1:1" x14ac:dyDescent="0.3">
      <c r="A5152" s="24"/>
    </row>
    <row r="5153" spans="1:1" x14ac:dyDescent="0.3">
      <c r="A5153" s="24"/>
    </row>
    <row r="5154" spans="1:1" x14ac:dyDescent="0.3">
      <c r="A5154" s="24"/>
    </row>
    <row r="5155" spans="1:1" x14ac:dyDescent="0.3">
      <c r="A5155" s="24"/>
    </row>
    <row r="5156" spans="1:1" x14ac:dyDescent="0.3">
      <c r="A5156" s="24"/>
    </row>
    <row r="5157" spans="1:1" x14ac:dyDescent="0.3">
      <c r="A5157" s="24"/>
    </row>
    <row r="5158" spans="1:1" x14ac:dyDescent="0.3">
      <c r="A5158" s="24"/>
    </row>
    <row r="5159" spans="1:1" x14ac:dyDescent="0.3">
      <c r="A5159" s="24"/>
    </row>
    <row r="5160" spans="1:1" x14ac:dyDescent="0.3">
      <c r="A5160" s="24"/>
    </row>
    <row r="5161" spans="1:1" x14ac:dyDescent="0.3">
      <c r="A5161" s="24"/>
    </row>
    <row r="5162" spans="1:1" x14ac:dyDescent="0.3">
      <c r="A5162" s="24"/>
    </row>
    <row r="5163" spans="1:1" x14ac:dyDescent="0.3">
      <c r="A5163" s="24"/>
    </row>
    <row r="5164" spans="1:1" x14ac:dyDescent="0.3">
      <c r="A5164" s="24"/>
    </row>
    <row r="5165" spans="1:1" x14ac:dyDescent="0.3">
      <c r="A5165" s="24"/>
    </row>
    <row r="5166" spans="1:1" x14ac:dyDescent="0.3">
      <c r="A5166" s="24"/>
    </row>
    <row r="5167" spans="1:1" x14ac:dyDescent="0.3">
      <c r="A5167" s="24"/>
    </row>
    <row r="5168" spans="1:1" x14ac:dyDescent="0.3">
      <c r="A5168" s="24"/>
    </row>
    <row r="5169" spans="1:1" x14ac:dyDescent="0.3">
      <c r="A5169" s="24"/>
    </row>
    <row r="5170" spans="1:1" x14ac:dyDescent="0.3">
      <c r="A5170" s="24"/>
    </row>
    <row r="5171" spans="1:1" x14ac:dyDescent="0.3">
      <c r="A5171" s="24"/>
    </row>
    <row r="5172" spans="1:1" x14ac:dyDescent="0.3">
      <c r="A5172" s="24"/>
    </row>
    <row r="5173" spans="1:1" x14ac:dyDescent="0.3">
      <c r="A5173" s="24"/>
    </row>
    <row r="5174" spans="1:1" x14ac:dyDescent="0.3">
      <c r="A5174" s="24"/>
    </row>
    <row r="5175" spans="1:1" x14ac:dyDescent="0.3">
      <c r="A5175" s="24"/>
    </row>
    <row r="5176" spans="1:1" x14ac:dyDescent="0.3">
      <c r="A5176" s="24"/>
    </row>
    <row r="5177" spans="1:1" x14ac:dyDescent="0.3">
      <c r="A5177" s="24"/>
    </row>
    <row r="5178" spans="1:1" x14ac:dyDescent="0.3">
      <c r="A5178" s="24"/>
    </row>
    <row r="5179" spans="1:1" x14ac:dyDescent="0.3">
      <c r="A5179" s="24"/>
    </row>
    <row r="5180" spans="1:1" x14ac:dyDescent="0.3">
      <c r="A5180" s="24"/>
    </row>
    <row r="5181" spans="1:1" x14ac:dyDescent="0.3">
      <c r="A5181" s="24"/>
    </row>
    <row r="5182" spans="1:1" x14ac:dyDescent="0.3">
      <c r="A5182" s="24"/>
    </row>
    <row r="5183" spans="1:1" x14ac:dyDescent="0.3">
      <c r="A5183" s="24"/>
    </row>
    <row r="5184" spans="1:1" x14ac:dyDescent="0.3">
      <c r="A5184" s="24"/>
    </row>
    <row r="5185" spans="1:1" x14ac:dyDescent="0.3">
      <c r="A5185" s="24"/>
    </row>
    <row r="5186" spans="1:1" x14ac:dyDescent="0.3">
      <c r="A5186" s="24"/>
    </row>
    <row r="5187" spans="1:1" x14ac:dyDescent="0.3">
      <c r="A5187" s="24"/>
    </row>
    <row r="5188" spans="1:1" x14ac:dyDescent="0.3">
      <c r="A5188" s="24"/>
    </row>
    <row r="5189" spans="1:1" x14ac:dyDescent="0.3">
      <c r="A5189" s="24"/>
    </row>
    <row r="5190" spans="1:1" x14ac:dyDescent="0.3">
      <c r="A5190" s="24"/>
    </row>
    <row r="5191" spans="1:1" x14ac:dyDescent="0.3">
      <c r="A5191" s="24"/>
    </row>
    <row r="5192" spans="1:1" x14ac:dyDescent="0.3">
      <c r="A5192" s="24"/>
    </row>
    <row r="5193" spans="1:1" x14ac:dyDescent="0.3">
      <c r="A5193" s="24"/>
    </row>
    <row r="5194" spans="1:1" x14ac:dyDescent="0.3">
      <c r="A5194" s="24"/>
    </row>
    <row r="5195" spans="1:1" x14ac:dyDescent="0.3">
      <c r="A5195" s="24"/>
    </row>
    <row r="5196" spans="1:1" x14ac:dyDescent="0.3">
      <c r="A5196" s="24"/>
    </row>
    <row r="5197" spans="1:1" x14ac:dyDescent="0.3">
      <c r="A5197" s="24"/>
    </row>
    <row r="5198" spans="1:1" x14ac:dyDescent="0.3">
      <c r="A5198" s="24"/>
    </row>
    <row r="5199" spans="1:1" x14ac:dyDescent="0.3">
      <c r="A5199" s="24"/>
    </row>
    <row r="5200" spans="1:1" x14ac:dyDescent="0.3">
      <c r="A5200" s="24"/>
    </row>
    <row r="5201" spans="1:1" x14ac:dyDescent="0.3">
      <c r="A5201" s="24"/>
    </row>
    <row r="5202" spans="1:1" x14ac:dyDescent="0.3">
      <c r="A5202" s="24"/>
    </row>
    <row r="5203" spans="1:1" x14ac:dyDescent="0.3">
      <c r="A5203" s="24"/>
    </row>
    <row r="5204" spans="1:1" x14ac:dyDescent="0.3">
      <c r="A5204" s="24"/>
    </row>
    <row r="5205" spans="1:1" x14ac:dyDescent="0.3">
      <c r="A5205" s="24"/>
    </row>
    <row r="5206" spans="1:1" x14ac:dyDescent="0.3">
      <c r="A5206" s="24"/>
    </row>
    <row r="5207" spans="1:1" x14ac:dyDescent="0.3">
      <c r="A5207" s="24"/>
    </row>
    <row r="5208" spans="1:1" x14ac:dyDescent="0.3">
      <c r="A5208" s="24"/>
    </row>
    <row r="5209" spans="1:1" x14ac:dyDescent="0.3">
      <c r="A5209" s="24"/>
    </row>
    <row r="5210" spans="1:1" x14ac:dyDescent="0.3">
      <c r="A5210" s="24"/>
    </row>
    <row r="5211" spans="1:1" x14ac:dyDescent="0.3">
      <c r="A5211" s="24"/>
    </row>
    <row r="5212" spans="1:1" x14ac:dyDescent="0.3">
      <c r="A5212" s="24"/>
    </row>
    <row r="5213" spans="1:1" x14ac:dyDescent="0.3">
      <c r="A5213" s="24"/>
    </row>
    <row r="5214" spans="1:1" x14ac:dyDescent="0.3">
      <c r="A5214" s="24"/>
    </row>
    <row r="5215" spans="1:1" x14ac:dyDescent="0.3">
      <c r="A5215" s="24"/>
    </row>
    <row r="5216" spans="1:1" x14ac:dyDescent="0.3">
      <c r="A5216" s="24"/>
    </row>
    <row r="5217" spans="1:1" x14ac:dyDescent="0.3">
      <c r="A5217" s="24"/>
    </row>
    <row r="5218" spans="1:1" x14ac:dyDescent="0.3">
      <c r="A5218" s="24"/>
    </row>
    <row r="5219" spans="1:1" x14ac:dyDescent="0.3">
      <c r="A5219" s="24"/>
    </row>
    <row r="5220" spans="1:1" x14ac:dyDescent="0.3">
      <c r="A5220" s="24"/>
    </row>
    <row r="5221" spans="1:1" x14ac:dyDescent="0.3">
      <c r="A5221" s="24"/>
    </row>
    <row r="5222" spans="1:1" x14ac:dyDescent="0.3">
      <c r="A5222" s="24"/>
    </row>
    <row r="5223" spans="1:1" x14ac:dyDescent="0.3">
      <c r="A5223" s="24"/>
    </row>
    <row r="5224" spans="1:1" x14ac:dyDescent="0.3">
      <c r="A5224" s="24"/>
    </row>
    <row r="5225" spans="1:1" x14ac:dyDescent="0.3">
      <c r="A5225" s="24"/>
    </row>
    <row r="5226" spans="1:1" x14ac:dyDescent="0.3">
      <c r="A5226" s="24"/>
    </row>
    <row r="5227" spans="1:1" x14ac:dyDescent="0.3">
      <c r="A5227" s="24"/>
    </row>
    <row r="5228" spans="1:1" x14ac:dyDescent="0.3">
      <c r="A5228" s="24"/>
    </row>
    <row r="5229" spans="1:1" x14ac:dyDescent="0.3">
      <c r="A5229" s="24"/>
    </row>
    <row r="5230" spans="1:1" x14ac:dyDescent="0.3">
      <c r="A5230" s="24"/>
    </row>
    <row r="5231" spans="1:1" x14ac:dyDescent="0.3">
      <c r="A5231" s="24"/>
    </row>
    <row r="5232" spans="1:1" x14ac:dyDescent="0.3">
      <c r="A5232" s="24"/>
    </row>
    <row r="5233" spans="1:1" x14ac:dyDescent="0.3">
      <c r="A5233" s="24"/>
    </row>
    <row r="5234" spans="1:1" x14ac:dyDescent="0.3">
      <c r="A5234" s="24"/>
    </row>
    <row r="5235" spans="1:1" x14ac:dyDescent="0.3">
      <c r="A5235" s="24"/>
    </row>
    <row r="5236" spans="1:1" x14ac:dyDescent="0.3">
      <c r="A5236" s="24"/>
    </row>
    <row r="5237" spans="1:1" x14ac:dyDescent="0.3">
      <c r="A5237" s="24"/>
    </row>
    <row r="5238" spans="1:1" x14ac:dyDescent="0.3">
      <c r="A5238" s="24"/>
    </row>
    <row r="5239" spans="1:1" x14ac:dyDescent="0.3">
      <c r="A5239" s="24"/>
    </row>
    <row r="5240" spans="1:1" x14ac:dyDescent="0.3">
      <c r="A5240" s="24"/>
    </row>
    <row r="5241" spans="1:1" x14ac:dyDescent="0.3">
      <c r="A5241" s="24"/>
    </row>
    <row r="5242" spans="1:1" x14ac:dyDescent="0.3">
      <c r="A5242" s="24"/>
    </row>
    <row r="5243" spans="1:1" x14ac:dyDescent="0.3">
      <c r="A5243" s="24"/>
    </row>
    <row r="5244" spans="1:1" x14ac:dyDescent="0.3">
      <c r="A5244" s="24"/>
    </row>
    <row r="5245" spans="1:1" x14ac:dyDescent="0.3">
      <c r="A5245" s="24"/>
    </row>
    <row r="5246" spans="1:1" x14ac:dyDescent="0.3">
      <c r="A5246" s="24"/>
    </row>
    <row r="5247" spans="1:1" x14ac:dyDescent="0.3">
      <c r="A5247" s="24"/>
    </row>
    <row r="5248" spans="1:1" x14ac:dyDescent="0.3">
      <c r="A5248" s="24"/>
    </row>
    <row r="5249" spans="1:1" x14ac:dyDescent="0.3">
      <c r="A5249" s="24"/>
    </row>
    <row r="5250" spans="1:1" x14ac:dyDescent="0.3">
      <c r="A5250" s="24"/>
    </row>
    <row r="5251" spans="1:1" x14ac:dyDescent="0.3">
      <c r="A5251" s="24"/>
    </row>
    <row r="5252" spans="1:1" x14ac:dyDescent="0.3">
      <c r="A5252" s="24"/>
    </row>
    <row r="5253" spans="1:1" x14ac:dyDescent="0.3">
      <c r="A5253" s="24"/>
    </row>
    <row r="5254" spans="1:1" x14ac:dyDescent="0.3">
      <c r="A5254" s="24"/>
    </row>
    <row r="5255" spans="1:1" x14ac:dyDescent="0.3">
      <c r="A5255" s="24"/>
    </row>
    <row r="5256" spans="1:1" x14ac:dyDescent="0.3">
      <c r="A5256" s="24"/>
    </row>
    <row r="5257" spans="1:1" x14ac:dyDescent="0.3">
      <c r="A5257" s="24"/>
    </row>
    <row r="5258" spans="1:1" x14ac:dyDescent="0.3">
      <c r="A5258" s="24"/>
    </row>
    <row r="5259" spans="1:1" x14ac:dyDescent="0.3">
      <c r="A5259" s="24"/>
    </row>
    <row r="5260" spans="1:1" x14ac:dyDescent="0.3">
      <c r="A5260" s="24"/>
    </row>
    <row r="5261" spans="1:1" x14ac:dyDescent="0.3">
      <c r="A5261" s="24"/>
    </row>
    <row r="5262" spans="1:1" x14ac:dyDescent="0.3">
      <c r="A5262" s="24"/>
    </row>
    <row r="5263" spans="1:1" x14ac:dyDescent="0.3">
      <c r="A5263" s="24"/>
    </row>
    <row r="5264" spans="1:1" x14ac:dyDescent="0.3">
      <c r="A5264" s="24"/>
    </row>
    <row r="5265" spans="1:1" x14ac:dyDescent="0.3">
      <c r="A5265" s="24"/>
    </row>
    <row r="5266" spans="1:1" x14ac:dyDescent="0.3">
      <c r="A5266" s="24"/>
    </row>
    <row r="5267" spans="1:1" x14ac:dyDescent="0.3">
      <c r="A5267" s="24"/>
    </row>
    <row r="5268" spans="1:1" x14ac:dyDescent="0.3">
      <c r="A5268" s="24"/>
    </row>
    <row r="5269" spans="1:1" x14ac:dyDescent="0.3">
      <c r="A5269" s="24"/>
    </row>
    <row r="5270" spans="1:1" x14ac:dyDescent="0.3">
      <c r="A5270" s="24"/>
    </row>
    <row r="5271" spans="1:1" x14ac:dyDescent="0.3">
      <c r="A5271" s="24"/>
    </row>
    <row r="5272" spans="1:1" x14ac:dyDescent="0.3">
      <c r="A5272" s="24"/>
    </row>
    <row r="5273" spans="1:1" x14ac:dyDescent="0.3">
      <c r="A5273" s="24"/>
    </row>
    <row r="5274" spans="1:1" x14ac:dyDescent="0.3">
      <c r="A5274" s="24"/>
    </row>
    <row r="5275" spans="1:1" x14ac:dyDescent="0.3">
      <c r="A5275" s="24"/>
    </row>
    <row r="5276" spans="1:1" x14ac:dyDescent="0.3">
      <c r="A5276" s="24"/>
    </row>
    <row r="5277" spans="1:1" x14ac:dyDescent="0.3">
      <c r="A5277" s="24"/>
    </row>
    <row r="5278" spans="1:1" x14ac:dyDescent="0.3">
      <c r="A5278" s="24"/>
    </row>
    <row r="5279" spans="1:1" x14ac:dyDescent="0.3">
      <c r="A5279" s="24"/>
    </row>
    <row r="5280" spans="1:1" x14ac:dyDescent="0.3">
      <c r="A5280" s="24"/>
    </row>
    <row r="5281" spans="1:1" x14ac:dyDescent="0.3">
      <c r="A5281" s="24"/>
    </row>
    <row r="5282" spans="1:1" x14ac:dyDescent="0.3">
      <c r="A5282" s="24"/>
    </row>
    <row r="5283" spans="1:1" x14ac:dyDescent="0.3">
      <c r="A5283" s="24"/>
    </row>
    <row r="5284" spans="1:1" x14ac:dyDescent="0.3">
      <c r="A5284" s="24"/>
    </row>
    <row r="5285" spans="1:1" x14ac:dyDescent="0.3">
      <c r="A5285" s="24"/>
    </row>
    <row r="5286" spans="1:1" x14ac:dyDescent="0.3">
      <c r="A5286" s="24"/>
    </row>
    <row r="5287" spans="1:1" x14ac:dyDescent="0.3">
      <c r="A5287" s="24"/>
    </row>
    <row r="5288" spans="1:1" x14ac:dyDescent="0.3">
      <c r="A5288" s="24"/>
    </row>
    <row r="5289" spans="1:1" x14ac:dyDescent="0.3">
      <c r="A5289" s="24"/>
    </row>
    <row r="5290" spans="1:1" x14ac:dyDescent="0.3">
      <c r="A5290" s="24"/>
    </row>
    <row r="5291" spans="1:1" x14ac:dyDescent="0.3">
      <c r="A5291" s="24"/>
    </row>
    <row r="5292" spans="1:1" x14ac:dyDescent="0.3">
      <c r="A5292" s="24"/>
    </row>
    <row r="5293" spans="1:1" x14ac:dyDescent="0.3">
      <c r="A5293" s="24"/>
    </row>
    <row r="5294" spans="1:1" x14ac:dyDescent="0.3">
      <c r="A5294" s="24"/>
    </row>
    <row r="5295" spans="1:1" x14ac:dyDescent="0.3">
      <c r="A5295" s="24"/>
    </row>
    <row r="5296" spans="1:1" x14ac:dyDescent="0.3">
      <c r="A5296" s="24"/>
    </row>
    <row r="5297" spans="1:1" x14ac:dyDescent="0.3">
      <c r="A5297" s="24"/>
    </row>
    <row r="5298" spans="1:1" x14ac:dyDescent="0.3">
      <c r="A5298" s="24"/>
    </row>
    <row r="5299" spans="1:1" x14ac:dyDescent="0.3">
      <c r="A5299" s="24"/>
    </row>
    <row r="5300" spans="1:1" x14ac:dyDescent="0.3">
      <c r="A5300" s="24"/>
    </row>
    <row r="5301" spans="1:1" x14ac:dyDescent="0.3">
      <c r="A5301" s="24"/>
    </row>
    <row r="5302" spans="1:1" x14ac:dyDescent="0.3">
      <c r="A5302" s="24"/>
    </row>
    <row r="5303" spans="1:1" x14ac:dyDescent="0.3">
      <c r="A5303" s="24"/>
    </row>
    <row r="5304" spans="1:1" x14ac:dyDescent="0.3">
      <c r="A5304" s="24"/>
    </row>
    <row r="5305" spans="1:1" x14ac:dyDescent="0.3">
      <c r="A5305" s="24"/>
    </row>
    <row r="5306" spans="1:1" x14ac:dyDescent="0.3">
      <c r="A5306" s="24"/>
    </row>
    <row r="5307" spans="1:1" x14ac:dyDescent="0.3">
      <c r="A5307" s="24"/>
    </row>
    <row r="5308" spans="1:1" x14ac:dyDescent="0.3">
      <c r="A5308" s="24"/>
    </row>
    <row r="5309" spans="1:1" x14ac:dyDescent="0.3">
      <c r="A5309" s="24"/>
    </row>
    <row r="5310" spans="1:1" x14ac:dyDescent="0.3">
      <c r="A5310" s="24"/>
    </row>
    <row r="5311" spans="1:1" x14ac:dyDescent="0.3">
      <c r="A5311" s="24"/>
    </row>
    <row r="5312" spans="1:1" x14ac:dyDescent="0.3">
      <c r="A5312" s="24"/>
    </row>
    <row r="5313" spans="1:1" x14ac:dyDescent="0.3">
      <c r="A5313" s="24"/>
    </row>
    <row r="5314" spans="1:1" x14ac:dyDescent="0.3">
      <c r="A5314" s="24"/>
    </row>
    <row r="5315" spans="1:1" x14ac:dyDescent="0.3">
      <c r="A5315" s="24"/>
    </row>
    <row r="5316" spans="1:1" x14ac:dyDescent="0.3">
      <c r="A5316" s="24"/>
    </row>
    <row r="5317" spans="1:1" x14ac:dyDescent="0.3">
      <c r="A5317" s="24"/>
    </row>
    <row r="5318" spans="1:1" x14ac:dyDescent="0.3">
      <c r="A5318" s="24"/>
    </row>
    <row r="5319" spans="1:1" x14ac:dyDescent="0.3">
      <c r="A5319" s="24"/>
    </row>
    <row r="5320" spans="1:1" x14ac:dyDescent="0.3">
      <c r="A5320" s="24"/>
    </row>
    <row r="5321" spans="1:1" x14ac:dyDescent="0.3">
      <c r="A5321" s="24"/>
    </row>
    <row r="5322" spans="1:1" x14ac:dyDescent="0.3">
      <c r="A5322" s="24"/>
    </row>
    <row r="5323" spans="1:1" x14ac:dyDescent="0.3">
      <c r="A5323" s="24"/>
    </row>
    <row r="5324" spans="1:1" x14ac:dyDescent="0.3">
      <c r="A5324" s="24"/>
    </row>
    <row r="5325" spans="1:1" x14ac:dyDescent="0.3">
      <c r="A5325" s="24"/>
    </row>
    <row r="5326" spans="1:1" x14ac:dyDescent="0.3">
      <c r="A5326" s="24"/>
    </row>
    <row r="5327" spans="1:1" x14ac:dyDescent="0.3">
      <c r="A5327" s="24"/>
    </row>
    <row r="5328" spans="1:1" x14ac:dyDescent="0.3">
      <c r="A5328" s="24"/>
    </row>
    <row r="5329" spans="1:1" x14ac:dyDescent="0.3">
      <c r="A5329" s="24"/>
    </row>
    <row r="5330" spans="1:1" x14ac:dyDescent="0.3">
      <c r="A5330" s="24"/>
    </row>
    <row r="5331" spans="1:1" x14ac:dyDescent="0.3">
      <c r="A5331" s="24"/>
    </row>
    <row r="5332" spans="1:1" x14ac:dyDescent="0.3">
      <c r="A5332" s="24"/>
    </row>
    <row r="5333" spans="1:1" x14ac:dyDescent="0.3">
      <c r="A5333" s="24"/>
    </row>
    <row r="5334" spans="1:1" x14ac:dyDescent="0.3">
      <c r="A5334" s="24"/>
    </row>
    <row r="5335" spans="1:1" x14ac:dyDescent="0.3">
      <c r="A5335" s="24"/>
    </row>
    <row r="5336" spans="1:1" x14ac:dyDescent="0.3">
      <c r="A5336" s="24"/>
    </row>
    <row r="5337" spans="1:1" x14ac:dyDescent="0.3">
      <c r="A5337" s="24"/>
    </row>
    <row r="5338" spans="1:1" x14ac:dyDescent="0.3">
      <c r="A5338" s="24"/>
    </row>
    <row r="5339" spans="1:1" x14ac:dyDescent="0.3">
      <c r="A5339" s="24"/>
    </row>
    <row r="5340" spans="1:1" x14ac:dyDescent="0.3">
      <c r="A5340" s="24"/>
    </row>
    <row r="5341" spans="1:1" x14ac:dyDescent="0.3">
      <c r="A5341" s="24"/>
    </row>
    <row r="5342" spans="1:1" x14ac:dyDescent="0.3">
      <c r="A5342" s="24"/>
    </row>
    <row r="5343" spans="1:1" x14ac:dyDescent="0.3">
      <c r="A5343" s="24"/>
    </row>
    <row r="5344" spans="1:1" x14ac:dyDescent="0.3">
      <c r="A5344" s="24"/>
    </row>
    <row r="5345" spans="1:1" x14ac:dyDescent="0.3">
      <c r="A5345" s="24"/>
    </row>
    <row r="5346" spans="1:1" x14ac:dyDescent="0.3">
      <c r="A5346" s="24"/>
    </row>
    <row r="5347" spans="1:1" x14ac:dyDescent="0.3">
      <c r="A5347" s="24"/>
    </row>
    <row r="5348" spans="1:1" x14ac:dyDescent="0.3">
      <c r="A5348" s="24"/>
    </row>
    <row r="5349" spans="1:1" x14ac:dyDescent="0.3">
      <c r="A5349" s="24"/>
    </row>
    <row r="5350" spans="1:1" x14ac:dyDescent="0.3">
      <c r="A5350" s="24"/>
    </row>
    <row r="5351" spans="1:1" x14ac:dyDescent="0.3">
      <c r="A5351" s="24"/>
    </row>
    <row r="5352" spans="1:1" x14ac:dyDescent="0.3">
      <c r="A5352" s="24"/>
    </row>
    <row r="5353" spans="1:1" x14ac:dyDescent="0.3">
      <c r="A5353" s="24"/>
    </row>
    <row r="5354" spans="1:1" x14ac:dyDescent="0.3">
      <c r="A5354" s="24"/>
    </row>
    <row r="5355" spans="1:1" x14ac:dyDescent="0.3">
      <c r="A5355" s="24"/>
    </row>
    <row r="5356" spans="1:1" x14ac:dyDescent="0.3">
      <c r="A5356" s="24"/>
    </row>
    <row r="5357" spans="1:1" x14ac:dyDescent="0.3">
      <c r="A5357" s="24"/>
    </row>
    <row r="5358" spans="1:1" x14ac:dyDescent="0.3">
      <c r="A5358" s="24"/>
    </row>
    <row r="5359" spans="1:1" x14ac:dyDescent="0.3">
      <c r="A5359" s="24"/>
    </row>
    <row r="5360" spans="1:1" x14ac:dyDescent="0.3">
      <c r="A5360" s="24"/>
    </row>
    <row r="5361" spans="1:1" x14ac:dyDescent="0.3">
      <c r="A5361" s="24"/>
    </row>
    <row r="5362" spans="1:1" x14ac:dyDescent="0.3">
      <c r="A5362" s="24"/>
    </row>
    <row r="5363" spans="1:1" x14ac:dyDescent="0.3">
      <c r="A5363" s="24"/>
    </row>
    <row r="5364" spans="1:1" x14ac:dyDescent="0.3">
      <c r="A5364" s="24"/>
    </row>
    <row r="5365" spans="1:1" x14ac:dyDescent="0.3">
      <c r="A5365" s="24"/>
    </row>
    <row r="5366" spans="1:1" x14ac:dyDescent="0.3">
      <c r="A5366" s="24"/>
    </row>
    <row r="5367" spans="1:1" x14ac:dyDescent="0.3">
      <c r="A5367" s="24"/>
    </row>
    <row r="5368" spans="1:1" x14ac:dyDescent="0.3">
      <c r="A5368" s="24"/>
    </row>
    <row r="5369" spans="1:1" x14ac:dyDescent="0.3">
      <c r="A5369" s="24"/>
    </row>
    <row r="5370" spans="1:1" x14ac:dyDescent="0.3">
      <c r="A5370" s="24"/>
    </row>
    <row r="5371" spans="1:1" x14ac:dyDescent="0.3">
      <c r="A5371" s="24"/>
    </row>
    <row r="5372" spans="1:1" x14ac:dyDescent="0.3">
      <c r="A5372" s="24"/>
    </row>
    <row r="5373" spans="1:1" x14ac:dyDescent="0.3">
      <c r="A5373" s="24"/>
    </row>
    <row r="5374" spans="1:1" x14ac:dyDescent="0.3">
      <c r="A5374" s="24"/>
    </row>
    <row r="5375" spans="1:1" x14ac:dyDescent="0.3">
      <c r="A5375" s="24"/>
    </row>
    <row r="5376" spans="1:1" x14ac:dyDescent="0.3">
      <c r="A5376" s="24"/>
    </row>
    <row r="5377" spans="1:1" x14ac:dyDescent="0.3">
      <c r="A5377" s="24"/>
    </row>
    <row r="5378" spans="1:1" x14ac:dyDescent="0.3">
      <c r="A5378" s="24"/>
    </row>
    <row r="5379" spans="1:1" x14ac:dyDescent="0.3">
      <c r="A5379" s="24"/>
    </row>
    <row r="5380" spans="1:1" x14ac:dyDescent="0.3">
      <c r="A5380" s="24"/>
    </row>
    <row r="5381" spans="1:1" x14ac:dyDescent="0.3">
      <c r="A5381" s="24"/>
    </row>
    <row r="5382" spans="1:1" x14ac:dyDescent="0.3">
      <c r="A5382" s="24"/>
    </row>
    <row r="5383" spans="1:1" x14ac:dyDescent="0.3">
      <c r="A5383" s="24"/>
    </row>
    <row r="5384" spans="1:1" x14ac:dyDescent="0.3">
      <c r="A5384" s="24"/>
    </row>
    <row r="5385" spans="1:1" x14ac:dyDescent="0.3">
      <c r="A5385" s="24"/>
    </row>
    <row r="5386" spans="1:1" x14ac:dyDescent="0.3">
      <c r="A5386" s="24"/>
    </row>
    <row r="5387" spans="1:1" x14ac:dyDescent="0.3">
      <c r="A5387" s="24"/>
    </row>
    <row r="5388" spans="1:1" x14ac:dyDescent="0.3">
      <c r="A5388" s="24"/>
    </row>
    <row r="5389" spans="1:1" x14ac:dyDescent="0.3">
      <c r="A5389" s="24"/>
    </row>
    <row r="5390" spans="1:1" x14ac:dyDescent="0.3">
      <c r="A5390" s="24"/>
    </row>
    <row r="5391" spans="1:1" x14ac:dyDescent="0.3">
      <c r="A5391" s="24"/>
    </row>
    <row r="5392" spans="1:1" x14ac:dyDescent="0.3">
      <c r="A5392" s="24"/>
    </row>
    <row r="5393" spans="1:1" x14ac:dyDescent="0.3">
      <c r="A5393" s="24"/>
    </row>
    <row r="5394" spans="1:1" x14ac:dyDescent="0.3">
      <c r="A5394" s="24"/>
    </row>
    <row r="5395" spans="1:1" x14ac:dyDescent="0.3">
      <c r="A5395" s="24"/>
    </row>
    <row r="5396" spans="1:1" x14ac:dyDescent="0.3">
      <c r="A5396" s="24"/>
    </row>
    <row r="5397" spans="1:1" x14ac:dyDescent="0.3">
      <c r="A5397" s="24"/>
    </row>
    <row r="5398" spans="1:1" x14ac:dyDescent="0.3">
      <c r="A5398" s="24"/>
    </row>
    <row r="5399" spans="1:1" x14ac:dyDescent="0.3">
      <c r="A5399" s="24"/>
    </row>
    <row r="5400" spans="1:1" x14ac:dyDescent="0.3">
      <c r="A5400" s="24"/>
    </row>
    <row r="5401" spans="1:1" x14ac:dyDescent="0.3">
      <c r="A5401" s="24"/>
    </row>
    <row r="5402" spans="1:1" x14ac:dyDescent="0.3">
      <c r="A5402" s="24"/>
    </row>
    <row r="5403" spans="1:1" x14ac:dyDescent="0.3">
      <c r="A5403" s="24"/>
    </row>
    <row r="5404" spans="1:1" x14ac:dyDescent="0.3">
      <c r="A5404" s="24"/>
    </row>
    <row r="5405" spans="1:1" x14ac:dyDescent="0.3">
      <c r="A5405" s="24"/>
    </row>
    <row r="5406" spans="1:1" x14ac:dyDescent="0.3">
      <c r="A5406" s="24"/>
    </row>
    <row r="5407" spans="1:1" x14ac:dyDescent="0.3">
      <c r="A5407" s="24"/>
    </row>
    <row r="5408" spans="1:1" x14ac:dyDescent="0.3">
      <c r="A5408" s="24"/>
    </row>
    <row r="5409" spans="1:1" x14ac:dyDescent="0.3">
      <c r="A5409" s="24"/>
    </row>
    <row r="5410" spans="1:1" x14ac:dyDescent="0.3">
      <c r="A5410" s="24"/>
    </row>
    <row r="5411" spans="1:1" x14ac:dyDescent="0.3">
      <c r="A5411" s="24"/>
    </row>
    <row r="5412" spans="1:1" x14ac:dyDescent="0.3">
      <c r="A5412" s="24"/>
    </row>
    <row r="5413" spans="1:1" x14ac:dyDescent="0.3">
      <c r="A5413" s="24"/>
    </row>
    <row r="5414" spans="1:1" x14ac:dyDescent="0.3">
      <c r="A5414" s="24"/>
    </row>
    <row r="5415" spans="1:1" x14ac:dyDescent="0.3">
      <c r="A5415" s="24"/>
    </row>
    <row r="5416" spans="1:1" x14ac:dyDescent="0.3">
      <c r="A5416" s="24"/>
    </row>
    <row r="5417" spans="1:1" x14ac:dyDescent="0.3">
      <c r="A5417" s="24"/>
    </row>
    <row r="5418" spans="1:1" x14ac:dyDescent="0.3">
      <c r="A5418" s="24"/>
    </row>
    <row r="5419" spans="1:1" x14ac:dyDescent="0.3">
      <c r="A5419" s="24"/>
    </row>
    <row r="5420" spans="1:1" x14ac:dyDescent="0.3">
      <c r="A5420" s="24"/>
    </row>
    <row r="5421" spans="1:1" x14ac:dyDescent="0.3">
      <c r="A5421" s="24"/>
    </row>
    <row r="5422" spans="1:1" x14ac:dyDescent="0.3">
      <c r="A5422" s="24"/>
    </row>
    <row r="5423" spans="1:1" x14ac:dyDescent="0.3">
      <c r="A5423" s="24"/>
    </row>
    <row r="5424" spans="1:1" x14ac:dyDescent="0.3">
      <c r="A5424" s="24"/>
    </row>
    <row r="5425" spans="1:1" x14ac:dyDescent="0.3">
      <c r="A5425" s="24"/>
    </row>
    <row r="5426" spans="1:1" x14ac:dyDescent="0.3">
      <c r="A5426" s="24"/>
    </row>
    <row r="5427" spans="1:1" x14ac:dyDescent="0.3">
      <c r="A5427" s="24"/>
    </row>
    <row r="5428" spans="1:1" x14ac:dyDescent="0.3">
      <c r="A5428" s="24"/>
    </row>
    <row r="5429" spans="1:1" x14ac:dyDescent="0.3">
      <c r="A5429" s="24"/>
    </row>
    <row r="5430" spans="1:1" x14ac:dyDescent="0.3">
      <c r="A5430" s="24"/>
    </row>
    <row r="5431" spans="1:1" x14ac:dyDescent="0.3">
      <c r="A5431" s="24"/>
    </row>
    <row r="5432" spans="1:1" x14ac:dyDescent="0.3">
      <c r="A5432" s="24"/>
    </row>
    <row r="5433" spans="1:1" x14ac:dyDescent="0.3">
      <c r="A5433" s="24"/>
    </row>
    <row r="5434" spans="1:1" x14ac:dyDescent="0.3">
      <c r="A5434" s="24"/>
    </row>
    <row r="5435" spans="1:1" x14ac:dyDescent="0.3">
      <c r="A5435" s="24"/>
    </row>
    <row r="5436" spans="1:1" x14ac:dyDescent="0.3">
      <c r="A5436" s="24"/>
    </row>
    <row r="5437" spans="1:1" x14ac:dyDescent="0.3">
      <c r="A5437" s="24"/>
    </row>
    <row r="5438" spans="1:1" x14ac:dyDescent="0.3">
      <c r="A5438" s="24"/>
    </row>
    <row r="5439" spans="1:1" x14ac:dyDescent="0.3">
      <c r="A5439" s="24"/>
    </row>
    <row r="5440" spans="1:1" x14ac:dyDescent="0.3">
      <c r="A5440" s="24"/>
    </row>
    <row r="5441" spans="1:1" x14ac:dyDescent="0.3">
      <c r="A5441" s="24"/>
    </row>
    <row r="5442" spans="1:1" x14ac:dyDescent="0.3">
      <c r="A5442" s="24"/>
    </row>
    <row r="5443" spans="1:1" x14ac:dyDescent="0.3">
      <c r="A5443" s="24"/>
    </row>
    <row r="5444" spans="1:1" x14ac:dyDescent="0.3">
      <c r="A5444" s="24"/>
    </row>
    <row r="5445" spans="1:1" x14ac:dyDescent="0.3">
      <c r="A5445" s="24"/>
    </row>
    <row r="5446" spans="1:1" x14ac:dyDescent="0.3">
      <c r="A5446" s="24"/>
    </row>
    <row r="5447" spans="1:1" x14ac:dyDescent="0.3">
      <c r="A5447" s="24"/>
    </row>
    <row r="5448" spans="1:1" x14ac:dyDescent="0.3">
      <c r="A5448" s="24"/>
    </row>
    <row r="5449" spans="1:1" x14ac:dyDescent="0.3">
      <c r="A5449" s="24"/>
    </row>
    <row r="5450" spans="1:1" x14ac:dyDescent="0.3">
      <c r="A5450" s="24"/>
    </row>
    <row r="5451" spans="1:1" x14ac:dyDescent="0.3">
      <c r="A5451" s="24"/>
    </row>
    <row r="5452" spans="1:1" x14ac:dyDescent="0.3">
      <c r="A5452" s="24"/>
    </row>
    <row r="5453" spans="1:1" x14ac:dyDescent="0.3">
      <c r="A5453" s="24"/>
    </row>
    <row r="5454" spans="1:1" x14ac:dyDescent="0.3">
      <c r="A5454" s="24"/>
    </row>
    <row r="5455" spans="1:1" x14ac:dyDescent="0.3">
      <c r="A5455" s="24"/>
    </row>
    <row r="5456" spans="1:1" x14ac:dyDescent="0.3">
      <c r="A5456" s="24"/>
    </row>
    <row r="5457" spans="1:1" x14ac:dyDescent="0.3">
      <c r="A5457" s="24"/>
    </row>
    <row r="5458" spans="1:1" x14ac:dyDescent="0.3">
      <c r="A5458" s="24"/>
    </row>
    <row r="5459" spans="1:1" x14ac:dyDescent="0.3">
      <c r="A5459" s="24"/>
    </row>
    <row r="5460" spans="1:1" x14ac:dyDescent="0.3">
      <c r="A5460" s="24"/>
    </row>
    <row r="5461" spans="1:1" x14ac:dyDescent="0.3">
      <c r="A5461" s="24"/>
    </row>
    <row r="5462" spans="1:1" x14ac:dyDescent="0.3">
      <c r="A5462" s="24"/>
    </row>
    <row r="5463" spans="1:1" x14ac:dyDescent="0.3">
      <c r="A5463" s="24"/>
    </row>
    <row r="5464" spans="1:1" x14ac:dyDescent="0.3">
      <c r="A5464" s="24"/>
    </row>
    <row r="5465" spans="1:1" x14ac:dyDescent="0.3">
      <c r="A5465" s="24"/>
    </row>
    <row r="5466" spans="1:1" x14ac:dyDescent="0.3">
      <c r="A5466" s="24"/>
    </row>
    <row r="5467" spans="1:1" x14ac:dyDescent="0.3">
      <c r="A5467" s="24"/>
    </row>
    <row r="5468" spans="1:1" x14ac:dyDescent="0.3">
      <c r="A5468" s="24"/>
    </row>
    <row r="5469" spans="1:1" x14ac:dyDescent="0.3">
      <c r="A5469" s="24"/>
    </row>
    <row r="5470" spans="1:1" x14ac:dyDescent="0.3">
      <c r="A5470" s="24"/>
    </row>
    <row r="5471" spans="1:1" x14ac:dyDescent="0.3">
      <c r="A5471" s="24"/>
    </row>
    <row r="5472" spans="1:1" x14ac:dyDescent="0.3">
      <c r="A5472" s="24"/>
    </row>
    <row r="5473" spans="1:1" x14ac:dyDescent="0.3">
      <c r="A5473" s="24"/>
    </row>
    <row r="5474" spans="1:1" x14ac:dyDescent="0.3">
      <c r="A5474" s="24"/>
    </row>
    <row r="5475" spans="1:1" x14ac:dyDescent="0.3">
      <c r="A5475" s="24"/>
    </row>
    <row r="5476" spans="1:1" x14ac:dyDescent="0.3">
      <c r="A5476" s="24"/>
    </row>
    <row r="5477" spans="1:1" x14ac:dyDescent="0.3">
      <c r="A5477" s="24"/>
    </row>
    <row r="5478" spans="1:1" x14ac:dyDescent="0.3">
      <c r="A5478" s="24"/>
    </row>
    <row r="5479" spans="1:1" x14ac:dyDescent="0.3">
      <c r="A5479" s="24"/>
    </row>
    <row r="5480" spans="1:1" x14ac:dyDescent="0.3">
      <c r="A5480" s="24"/>
    </row>
    <row r="5481" spans="1:1" x14ac:dyDescent="0.3">
      <c r="A5481" s="24"/>
    </row>
    <row r="5482" spans="1:1" x14ac:dyDescent="0.3">
      <c r="A5482" s="24"/>
    </row>
    <row r="5483" spans="1:1" x14ac:dyDescent="0.3">
      <c r="A5483" s="24"/>
    </row>
    <row r="5484" spans="1:1" x14ac:dyDescent="0.3">
      <c r="A5484" s="24"/>
    </row>
    <row r="5485" spans="1:1" x14ac:dyDescent="0.3">
      <c r="A5485" s="24"/>
    </row>
    <row r="5486" spans="1:1" x14ac:dyDescent="0.3">
      <c r="A5486" s="24"/>
    </row>
    <row r="5487" spans="1:1" x14ac:dyDescent="0.3">
      <c r="A5487" s="24"/>
    </row>
    <row r="5488" spans="1:1" x14ac:dyDescent="0.3">
      <c r="A5488" s="24"/>
    </row>
    <row r="5489" spans="1:1" x14ac:dyDescent="0.3">
      <c r="A5489" s="24"/>
    </row>
    <row r="5490" spans="1:1" x14ac:dyDescent="0.3">
      <c r="A5490" s="24"/>
    </row>
    <row r="5491" spans="1:1" x14ac:dyDescent="0.3">
      <c r="A5491" s="24"/>
    </row>
    <row r="5492" spans="1:1" x14ac:dyDescent="0.3">
      <c r="A5492" s="24"/>
    </row>
    <row r="5493" spans="1:1" x14ac:dyDescent="0.3">
      <c r="A5493" s="24"/>
    </row>
    <row r="5494" spans="1:1" x14ac:dyDescent="0.3">
      <c r="A5494" s="24"/>
    </row>
    <row r="5495" spans="1:1" x14ac:dyDescent="0.3">
      <c r="A5495" s="24"/>
    </row>
    <row r="5496" spans="1:1" x14ac:dyDescent="0.3">
      <c r="A5496" s="24"/>
    </row>
    <row r="5497" spans="1:1" x14ac:dyDescent="0.3">
      <c r="A5497" s="24"/>
    </row>
    <row r="5498" spans="1:1" x14ac:dyDescent="0.3">
      <c r="A5498" s="24"/>
    </row>
    <row r="5499" spans="1:1" x14ac:dyDescent="0.3">
      <c r="A5499" s="24"/>
    </row>
    <row r="5500" spans="1:1" x14ac:dyDescent="0.3">
      <c r="A5500" s="24"/>
    </row>
    <row r="5501" spans="1:1" x14ac:dyDescent="0.3">
      <c r="A5501" s="24"/>
    </row>
    <row r="5502" spans="1:1" x14ac:dyDescent="0.3">
      <c r="A5502" s="24"/>
    </row>
    <row r="5503" spans="1:1" x14ac:dyDescent="0.3">
      <c r="A5503" s="2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9C048-69DA-4167-A9BB-5E34EE8144B4}">
  <sheetPr codeName="Sheet11"/>
  <dimension ref="A1:R124"/>
  <sheetViews>
    <sheetView workbookViewId="0">
      <selection activeCell="B1" sqref="B1:B30"/>
    </sheetView>
  </sheetViews>
  <sheetFormatPr defaultRowHeight="14.4" x14ac:dyDescent="0.3"/>
  <cols>
    <col min="1" max="1" width="21.6640625" customWidth="1"/>
    <col min="4" max="4" width="32" customWidth="1"/>
    <col min="8" max="8" width="28.33203125" customWidth="1"/>
    <col min="10" max="10" width="34.5546875" customWidth="1"/>
    <col min="11" max="11" width="21" customWidth="1"/>
  </cols>
  <sheetData>
    <row r="1" spans="1:18" x14ac:dyDescent="0.3">
      <c r="A1" s="20" t="s">
        <v>28</v>
      </c>
      <c r="B1">
        <v>152.80000000000001</v>
      </c>
      <c r="C1" s="16"/>
      <c r="E1" t="s">
        <v>4020</v>
      </c>
      <c r="F1" t="s">
        <v>4021</v>
      </c>
      <c r="G1" t="s">
        <v>4022</v>
      </c>
      <c r="K1" t="s">
        <v>697</v>
      </c>
      <c r="L1">
        <v>0.52</v>
      </c>
      <c r="M1">
        <v>0</v>
      </c>
      <c r="N1">
        <v>0.05</v>
      </c>
      <c r="O1">
        <v>0</v>
      </c>
      <c r="P1">
        <v>0.3</v>
      </c>
      <c r="Q1">
        <v>0.17</v>
      </c>
      <c r="R1" t="s">
        <v>294</v>
      </c>
    </row>
    <row r="2" spans="1:18" x14ac:dyDescent="0.3">
      <c r="A2" s="20" t="s">
        <v>72</v>
      </c>
      <c r="B2">
        <v>160</v>
      </c>
      <c r="C2" s="16"/>
      <c r="K2" t="s">
        <v>1605</v>
      </c>
      <c r="L2">
        <v>3.16</v>
      </c>
      <c r="M2">
        <v>0</v>
      </c>
      <c r="N2">
        <v>0</v>
      </c>
      <c r="O2">
        <v>3.16</v>
      </c>
      <c r="P2">
        <v>0</v>
      </c>
      <c r="Q2">
        <v>0</v>
      </c>
      <c r="R2" t="s">
        <v>3070</v>
      </c>
    </row>
    <row r="3" spans="1:18" x14ac:dyDescent="0.3">
      <c r="A3" s="20" t="s">
        <v>3052</v>
      </c>
      <c r="B3">
        <v>160</v>
      </c>
      <c r="C3" s="16"/>
      <c r="K3" t="s">
        <v>409</v>
      </c>
      <c r="L3">
        <v>3</v>
      </c>
      <c r="M3">
        <v>0</v>
      </c>
      <c r="N3">
        <v>1.5</v>
      </c>
      <c r="O3">
        <v>1.5</v>
      </c>
      <c r="P3">
        <v>0</v>
      </c>
      <c r="Q3">
        <v>0</v>
      </c>
      <c r="R3" t="s">
        <v>407</v>
      </c>
    </row>
    <row r="4" spans="1:18" x14ac:dyDescent="0.3">
      <c r="A4" s="20" t="s">
        <v>101</v>
      </c>
      <c r="B4">
        <v>177</v>
      </c>
      <c r="C4" s="16"/>
      <c r="K4" t="s">
        <v>821</v>
      </c>
      <c r="L4">
        <v>0.34</v>
      </c>
      <c r="M4">
        <v>0</v>
      </c>
      <c r="N4">
        <v>0.17</v>
      </c>
      <c r="O4">
        <v>0.17</v>
      </c>
      <c r="P4">
        <v>0</v>
      </c>
      <c r="Q4">
        <v>0</v>
      </c>
      <c r="R4" t="s">
        <v>3070</v>
      </c>
    </row>
    <row r="5" spans="1:18" x14ac:dyDescent="0.3">
      <c r="A5" s="20" t="s">
        <v>113</v>
      </c>
      <c r="B5">
        <v>128</v>
      </c>
      <c r="C5" s="16"/>
      <c r="D5" t="s">
        <v>4023</v>
      </c>
      <c r="E5" t="s">
        <v>4023</v>
      </c>
      <c r="F5" t="s">
        <v>4023</v>
      </c>
      <c r="G5" t="s">
        <v>4023</v>
      </c>
      <c r="K5" t="s">
        <v>828</v>
      </c>
      <c r="L5">
        <v>0.32000000000000006</v>
      </c>
      <c r="M5">
        <v>0</v>
      </c>
      <c r="N5">
        <v>0.15000000000000002</v>
      </c>
      <c r="O5">
        <v>0.17</v>
      </c>
      <c r="P5">
        <v>0</v>
      </c>
      <c r="Q5">
        <v>0</v>
      </c>
      <c r="R5" t="s">
        <v>3070</v>
      </c>
    </row>
    <row r="6" spans="1:18" x14ac:dyDescent="0.3">
      <c r="A6" s="20" t="s">
        <v>134</v>
      </c>
      <c r="B6">
        <v>160</v>
      </c>
      <c r="C6" s="16"/>
      <c r="K6" t="s">
        <v>137</v>
      </c>
      <c r="L6">
        <v>32.61</v>
      </c>
      <c r="M6">
        <v>0.7</v>
      </c>
      <c r="N6">
        <v>6.62</v>
      </c>
      <c r="O6">
        <v>10.33</v>
      </c>
      <c r="P6">
        <v>6.26</v>
      </c>
      <c r="Q6">
        <v>8.6999999999999993</v>
      </c>
      <c r="R6" t="s">
        <v>3071</v>
      </c>
    </row>
    <row r="7" spans="1:18" x14ac:dyDescent="0.3">
      <c r="A7" s="20" t="s">
        <v>150</v>
      </c>
      <c r="B7">
        <v>160.19999999999999</v>
      </c>
      <c r="C7" s="16"/>
      <c r="D7" t="s">
        <v>3810</v>
      </c>
      <c r="E7" t="s">
        <v>3810</v>
      </c>
      <c r="F7" t="s">
        <v>3810</v>
      </c>
      <c r="G7" t="s">
        <v>3810</v>
      </c>
      <c r="K7" t="s">
        <v>81</v>
      </c>
      <c r="L7">
        <v>733.52</v>
      </c>
      <c r="M7">
        <v>25.75</v>
      </c>
      <c r="N7">
        <v>187.16</v>
      </c>
      <c r="O7">
        <v>228.56</v>
      </c>
      <c r="P7">
        <v>184.53</v>
      </c>
      <c r="Q7">
        <v>107.52000000000001</v>
      </c>
      <c r="R7" t="s">
        <v>3072</v>
      </c>
    </row>
    <row r="8" spans="1:18" x14ac:dyDescent="0.3">
      <c r="A8" s="20" t="s">
        <v>164</v>
      </c>
      <c r="B8">
        <v>155</v>
      </c>
      <c r="C8" s="16"/>
      <c r="D8" t="s">
        <v>3811</v>
      </c>
      <c r="F8" t="s">
        <v>3812</v>
      </c>
      <c r="K8" t="s">
        <v>657</v>
      </c>
      <c r="L8">
        <v>3.63</v>
      </c>
      <c r="M8">
        <v>0</v>
      </c>
      <c r="N8">
        <v>1.08</v>
      </c>
      <c r="O8">
        <v>1.73</v>
      </c>
      <c r="P8">
        <v>0.82000000000000006</v>
      </c>
      <c r="Q8">
        <v>0</v>
      </c>
      <c r="R8" t="s">
        <v>193</v>
      </c>
    </row>
    <row r="9" spans="1:18" x14ac:dyDescent="0.3">
      <c r="A9" s="20" t="s">
        <v>169</v>
      </c>
      <c r="B9">
        <v>163</v>
      </c>
      <c r="C9" s="16"/>
      <c r="K9" t="s">
        <v>666</v>
      </c>
      <c r="L9">
        <v>0.5</v>
      </c>
      <c r="M9">
        <v>0</v>
      </c>
      <c r="N9">
        <v>0.15</v>
      </c>
      <c r="O9">
        <v>0.35</v>
      </c>
      <c r="P9">
        <v>0</v>
      </c>
      <c r="Q9">
        <v>0</v>
      </c>
      <c r="R9" t="s">
        <v>3070</v>
      </c>
    </row>
    <row r="10" spans="1:18" x14ac:dyDescent="0.3">
      <c r="A10" s="20" t="s">
        <v>175</v>
      </c>
      <c r="B10">
        <v>155.5</v>
      </c>
      <c r="C10" s="16"/>
      <c r="D10" t="s">
        <v>3811</v>
      </c>
      <c r="E10" t="s">
        <v>3813</v>
      </c>
      <c r="F10" t="s">
        <v>3814</v>
      </c>
      <c r="G10" t="s">
        <v>3815</v>
      </c>
      <c r="K10" t="s">
        <v>966</v>
      </c>
      <c r="L10">
        <v>0.08</v>
      </c>
      <c r="M10">
        <v>0</v>
      </c>
      <c r="N10">
        <v>0.08</v>
      </c>
      <c r="O10">
        <v>0</v>
      </c>
      <c r="P10">
        <v>0</v>
      </c>
      <c r="Q10">
        <v>0</v>
      </c>
      <c r="R10" t="s">
        <v>212</v>
      </c>
    </row>
    <row r="11" spans="1:18" x14ac:dyDescent="0.3">
      <c r="A11" s="20" t="s">
        <v>190</v>
      </c>
      <c r="B11">
        <v>160</v>
      </c>
      <c r="C11" s="16"/>
      <c r="K11" t="s">
        <v>291</v>
      </c>
      <c r="L11">
        <v>14.69</v>
      </c>
      <c r="M11">
        <v>1</v>
      </c>
      <c r="N11">
        <v>5</v>
      </c>
      <c r="O11">
        <v>4.22</v>
      </c>
      <c r="P11">
        <v>2.75</v>
      </c>
      <c r="Q11">
        <v>1.72</v>
      </c>
      <c r="R11" t="s">
        <v>3073</v>
      </c>
    </row>
    <row r="12" spans="1:18" x14ac:dyDescent="0.3">
      <c r="A12" s="20" t="s">
        <v>240</v>
      </c>
      <c r="B12">
        <v>160</v>
      </c>
      <c r="C12" s="16"/>
      <c r="K12" t="s">
        <v>91</v>
      </c>
      <c r="L12">
        <v>184.15999999999997</v>
      </c>
      <c r="M12">
        <v>13.43</v>
      </c>
      <c r="N12">
        <v>51.83</v>
      </c>
      <c r="O12">
        <v>49.259999999999991</v>
      </c>
      <c r="P12">
        <v>22.979999999999997</v>
      </c>
      <c r="Q12">
        <v>46.66</v>
      </c>
      <c r="R12" t="s">
        <v>3074</v>
      </c>
    </row>
    <row r="13" spans="1:18" x14ac:dyDescent="0.3">
      <c r="A13" s="20" t="s">
        <v>249</v>
      </c>
      <c r="B13">
        <v>118</v>
      </c>
      <c r="C13" s="16"/>
      <c r="D13" t="s">
        <v>3816</v>
      </c>
      <c r="E13" t="s">
        <v>3816</v>
      </c>
      <c r="F13" t="s">
        <v>3816</v>
      </c>
      <c r="G13" t="s">
        <v>3816</v>
      </c>
      <c r="K13" t="s">
        <v>1170</v>
      </c>
      <c r="L13">
        <v>4.12</v>
      </c>
      <c r="M13">
        <v>0</v>
      </c>
      <c r="N13">
        <v>0.23</v>
      </c>
      <c r="O13">
        <v>3.7600000000000002</v>
      </c>
      <c r="P13">
        <v>0</v>
      </c>
      <c r="Q13">
        <v>0.13</v>
      </c>
      <c r="R13" t="s">
        <v>3075</v>
      </c>
    </row>
    <row r="14" spans="1:18" x14ac:dyDescent="0.3">
      <c r="A14" s="20" t="s">
        <v>262</v>
      </c>
      <c r="B14">
        <v>130.75</v>
      </c>
      <c r="C14" s="16"/>
      <c r="D14" t="s">
        <v>3817</v>
      </c>
      <c r="E14" t="s">
        <v>3817</v>
      </c>
      <c r="F14" t="s">
        <v>3817</v>
      </c>
      <c r="G14" t="s">
        <v>3817</v>
      </c>
      <c r="K14" t="s">
        <v>263</v>
      </c>
      <c r="L14">
        <v>129.97999999999999</v>
      </c>
      <c r="M14">
        <v>6.81</v>
      </c>
      <c r="N14">
        <v>35.61999999999999</v>
      </c>
      <c r="O14">
        <v>36.94</v>
      </c>
      <c r="P14">
        <v>29.590000000000003</v>
      </c>
      <c r="Q14">
        <v>21.02</v>
      </c>
      <c r="R14" t="s">
        <v>3076</v>
      </c>
    </row>
    <row r="15" spans="1:18" x14ac:dyDescent="0.3">
      <c r="A15" s="20" t="s">
        <v>269</v>
      </c>
      <c r="B15">
        <v>130</v>
      </c>
      <c r="C15" s="16"/>
      <c r="D15" t="s">
        <v>3818</v>
      </c>
      <c r="E15" t="s">
        <v>3818</v>
      </c>
      <c r="F15" t="s">
        <v>3818</v>
      </c>
      <c r="G15" t="s">
        <v>3818</v>
      </c>
      <c r="K15" t="s">
        <v>203</v>
      </c>
      <c r="L15">
        <v>6.6099999999999994</v>
      </c>
      <c r="M15">
        <v>0.17</v>
      </c>
      <c r="N15">
        <v>3.5599999999999996</v>
      </c>
      <c r="O15">
        <v>0.75</v>
      </c>
      <c r="P15">
        <v>1.4</v>
      </c>
      <c r="Q15">
        <v>0.73</v>
      </c>
      <c r="R15" t="s">
        <v>3077</v>
      </c>
    </row>
    <row r="16" spans="1:18" x14ac:dyDescent="0.3">
      <c r="A16" s="20" t="s">
        <v>289</v>
      </c>
      <c r="B16">
        <v>106</v>
      </c>
      <c r="C16" s="16"/>
      <c r="D16" t="s">
        <v>3819</v>
      </c>
      <c r="E16" t="s">
        <v>3820</v>
      </c>
      <c r="F16" t="s">
        <v>3819</v>
      </c>
      <c r="G16" t="s">
        <v>3820</v>
      </c>
      <c r="K16" t="s">
        <v>1761</v>
      </c>
      <c r="L16">
        <v>0.42000000000000004</v>
      </c>
      <c r="M16">
        <v>0</v>
      </c>
      <c r="N16">
        <v>0</v>
      </c>
      <c r="O16">
        <v>0.25</v>
      </c>
      <c r="P16">
        <v>0.17</v>
      </c>
      <c r="Q16">
        <v>0</v>
      </c>
      <c r="R16" t="s">
        <v>212</v>
      </c>
    </row>
    <row r="17" spans="1:18" x14ac:dyDescent="0.3">
      <c r="A17" s="20" t="s">
        <v>301</v>
      </c>
      <c r="B17">
        <v>160</v>
      </c>
      <c r="C17" s="16"/>
      <c r="E17" t="s">
        <v>3821</v>
      </c>
      <c r="F17" t="s">
        <v>3821</v>
      </c>
      <c r="G17" t="s">
        <v>3821</v>
      </c>
      <c r="K17" t="s">
        <v>95</v>
      </c>
      <c r="L17">
        <v>0.02</v>
      </c>
      <c r="M17">
        <v>0.02</v>
      </c>
      <c r="N17">
        <v>0</v>
      </c>
      <c r="O17">
        <v>0</v>
      </c>
      <c r="P17">
        <v>0</v>
      </c>
      <c r="Q17">
        <v>0</v>
      </c>
      <c r="R17" t="s">
        <v>93</v>
      </c>
    </row>
    <row r="18" spans="1:18" x14ac:dyDescent="0.3">
      <c r="A18" s="20" t="s">
        <v>313</v>
      </c>
      <c r="B18">
        <v>138</v>
      </c>
      <c r="C18" s="16"/>
      <c r="D18" t="s">
        <v>3822</v>
      </c>
      <c r="E18" t="s">
        <v>3822</v>
      </c>
      <c r="F18" t="s">
        <v>3822</v>
      </c>
      <c r="G18" t="s">
        <v>3822</v>
      </c>
      <c r="K18" t="s">
        <v>40</v>
      </c>
      <c r="L18">
        <v>8.24</v>
      </c>
      <c r="M18">
        <v>0.15</v>
      </c>
      <c r="N18">
        <v>2.4099999999999997</v>
      </c>
      <c r="O18">
        <v>1.9500000000000002</v>
      </c>
      <c r="P18">
        <v>1.75</v>
      </c>
      <c r="Q18">
        <v>1.9799999999999998</v>
      </c>
      <c r="R18" t="s">
        <v>3078</v>
      </c>
    </row>
    <row r="19" spans="1:18" x14ac:dyDescent="0.3">
      <c r="A19" s="20" t="s">
        <v>324</v>
      </c>
      <c r="B19">
        <v>160</v>
      </c>
      <c r="C19" s="16"/>
      <c r="K19" t="s">
        <v>358</v>
      </c>
      <c r="L19">
        <v>37.770000000000003</v>
      </c>
      <c r="M19">
        <v>0.2</v>
      </c>
      <c r="N19">
        <v>12.34</v>
      </c>
      <c r="O19">
        <v>12.99</v>
      </c>
      <c r="P19">
        <v>1.57</v>
      </c>
      <c r="Q19">
        <v>10.670000000000002</v>
      </c>
      <c r="R19" t="s">
        <v>3079</v>
      </c>
    </row>
    <row r="20" spans="1:18" x14ac:dyDescent="0.3">
      <c r="A20" s="20" t="s">
        <v>331</v>
      </c>
      <c r="B20">
        <v>192</v>
      </c>
      <c r="C20" s="16"/>
      <c r="K20" t="s">
        <v>848</v>
      </c>
      <c r="L20">
        <v>5.07</v>
      </c>
      <c r="M20">
        <v>0</v>
      </c>
      <c r="N20">
        <v>1.31</v>
      </c>
      <c r="O20">
        <v>2.58</v>
      </c>
      <c r="P20">
        <v>0.18</v>
      </c>
      <c r="Q20">
        <v>1</v>
      </c>
      <c r="R20" t="s">
        <v>3080</v>
      </c>
    </row>
    <row r="21" spans="1:18" x14ac:dyDescent="0.3">
      <c r="B21" s="23"/>
      <c r="C21" s="21"/>
      <c r="D21" s="21"/>
      <c r="E21" s="21"/>
      <c r="F21" s="21"/>
      <c r="K21" t="s">
        <v>445</v>
      </c>
      <c r="L21">
        <v>30.12</v>
      </c>
      <c r="M21">
        <v>0</v>
      </c>
      <c r="N21">
        <v>6.9</v>
      </c>
      <c r="O21">
        <v>11.629999999999999</v>
      </c>
      <c r="P21">
        <v>6.53</v>
      </c>
      <c r="Q21">
        <v>5.0599999999999996</v>
      </c>
      <c r="R21" t="s">
        <v>3081</v>
      </c>
    </row>
    <row r="22" spans="1:18" x14ac:dyDescent="0.3">
      <c r="B22" s="23"/>
      <c r="C22" s="21"/>
      <c r="D22" s="21"/>
      <c r="E22" s="21"/>
      <c r="F22" s="21"/>
      <c r="K22" t="s">
        <v>1216</v>
      </c>
      <c r="L22">
        <v>56.78</v>
      </c>
      <c r="M22">
        <v>0</v>
      </c>
      <c r="N22">
        <v>7.5</v>
      </c>
      <c r="O22">
        <v>19.23</v>
      </c>
      <c r="P22">
        <v>12.05</v>
      </c>
      <c r="Q22">
        <v>18</v>
      </c>
      <c r="R22" t="s">
        <v>3082</v>
      </c>
    </row>
    <row r="23" spans="1:18" x14ac:dyDescent="0.3">
      <c r="B23" s="23"/>
      <c r="C23" s="21"/>
      <c r="D23" s="21"/>
      <c r="E23" s="21"/>
      <c r="F23" s="21"/>
      <c r="K23" t="s">
        <v>524</v>
      </c>
      <c r="L23">
        <v>7.17</v>
      </c>
      <c r="M23">
        <v>0</v>
      </c>
      <c r="N23">
        <v>0.65</v>
      </c>
      <c r="O23">
        <v>1.5</v>
      </c>
      <c r="P23">
        <v>4.0199999999999996</v>
      </c>
      <c r="Q23">
        <v>1</v>
      </c>
      <c r="R23" t="s">
        <v>3083</v>
      </c>
    </row>
    <row r="24" spans="1:18" x14ac:dyDescent="0.3">
      <c r="B24" s="23"/>
      <c r="C24" s="21"/>
      <c r="D24" s="21"/>
      <c r="E24" s="21"/>
      <c r="F24" s="21"/>
      <c r="K24" t="s">
        <v>582</v>
      </c>
      <c r="L24">
        <v>1.06</v>
      </c>
      <c r="M24">
        <v>0</v>
      </c>
      <c r="N24">
        <v>0.42</v>
      </c>
      <c r="O24">
        <v>0</v>
      </c>
      <c r="P24">
        <v>0.64</v>
      </c>
      <c r="Q24">
        <v>0</v>
      </c>
      <c r="R24" t="s">
        <v>3084</v>
      </c>
    </row>
    <row r="25" spans="1:18" x14ac:dyDescent="0.3">
      <c r="B25" s="23"/>
      <c r="C25" s="21"/>
      <c r="D25" s="21"/>
      <c r="E25" s="21"/>
      <c r="F25" s="21"/>
      <c r="K25" t="s">
        <v>135</v>
      </c>
      <c r="L25">
        <v>30.72</v>
      </c>
      <c r="M25">
        <v>0.48</v>
      </c>
      <c r="N25">
        <v>10.069999999999999</v>
      </c>
      <c r="O25">
        <v>7.39</v>
      </c>
      <c r="P25">
        <v>6.45</v>
      </c>
      <c r="Q25">
        <v>6.33</v>
      </c>
      <c r="R25" t="s">
        <v>3085</v>
      </c>
    </row>
    <row r="26" spans="1:18" x14ac:dyDescent="0.3">
      <c r="B26" s="23"/>
      <c r="C26" s="21"/>
      <c r="D26" s="21"/>
      <c r="E26" s="21"/>
      <c r="F26" s="21"/>
      <c r="K26" t="s">
        <v>151</v>
      </c>
      <c r="L26">
        <v>32.56</v>
      </c>
      <c r="M26">
        <v>1.8399999999999999</v>
      </c>
      <c r="N26">
        <v>8.26</v>
      </c>
      <c r="O26">
        <v>5.2700000000000005</v>
      </c>
      <c r="P26">
        <v>9.9300000000000015</v>
      </c>
      <c r="Q26">
        <v>7.26</v>
      </c>
      <c r="R26" t="s">
        <v>3086</v>
      </c>
    </row>
    <row r="27" spans="1:18" x14ac:dyDescent="0.3">
      <c r="B27" s="23"/>
      <c r="C27" s="21"/>
      <c r="D27" s="21"/>
      <c r="E27" s="21"/>
      <c r="F27" s="21"/>
      <c r="K27" t="s">
        <v>1754</v>
      </c>
      <c r="L27">
        <v>4.6300000000000008</v>
      </c>
      <c r="M27">
        <v>0</v>
      </c>
      <c r="N27">
        <v>0</v>
      </c>
      <c r="O27">
        <v>0.15</v>
      </c>
      <c r="P27">
        <v>4.4800000000000004</v>
      </c>
      <c r="Q27">
        <v>0</v>
      </c>
      <c r="R27" t="s">
        <v>3070</v>
      </c>
    </row>
    <row r="28" spans="1:18" x14ac:dyDescent="0.3">
      <c r="B28" s="23"/>
      <c r="C28" s="21"/>
      <c r="D28" s="21"/>
      <c r="E28" s="21"/>
      <c r="F28" s="21"/>
      <c r="K28" t="s">
        <v>226</v>
      </c>
      <c r="L28">
        <v>19.7</v>
      </c>
      <c r="M28">
        <v>2.2999999999999998</v>
      </c>
      <c r="N28">
        <v>6.3</v>
      </c>
      <c r="O28">
        <v>3.75</v>
      </c>
      <c r="P28">
        <v>3.1</v>
      </c>
      <c r="Q28">
        <v>4.25</v>
      </c>
      <c r="R28" t="s">
        <v>3087</v>
      </c>
    </row>
    <row r="29" spans="1:18" x14ac:dyDescent="0.3">
      <c r="B29" s="23"/>
      <c r="C29" s="21"/>
      <c r="D29" s="21"/>
      <c r="E29" s="21"/>
      <c r="F29" s="21"/>
      <c r="K29" t="s">
        <v>254</v>
      </c>
      <c r="L29">
        <v>51.489999999999995</v>
      </c>
      <c r="M29">
        <v>11.07</v>
      </c>
      <c r="N29">
        <v>17.52</v>
      </c>
      <c r="O29">
        <v>8.9600000000000009</v>
      </c>
      <c r="P29">
        <v>13.390000000000002</v>
      </c>
      <c r="Q29">
        <v>0.55000000000000004</v>
      </c>
      <c r="R29" t="s">
        <v>3088</v>
      </c>
    </row>
    <row r="30" spans="1:18" x14ac:dyDescent="0.3">
      <c r="B30" s="23"/>
      <c r="C30" s="21"/>
      <c r="D30" s="21"/>
      <c r="E30" s="21"/>
      <c r="F30" s="21"/>
      <c r="K30" t="s">
        <v>54</v>
      </c>
      <c r="L30">
        <v>3616.04</v>
      </c>
      <c r="M30">
        <v>197.55999999999989</v>
      </c>
      <c r="N30">
        <v>858.24000000000012</v>
      </c>
      <c r="O30">
        <v>815.96000000000015</v>
      </c>
      <c r="P30">
        <v>842.20999999999981</v>
      </c>
      <c r="Q30">
        <v>902.06999999999982</v>
      </c>
      <c r="R30" t="s">
        <v>3089</v>
      </c>
    </row>
    <row r="31" spans="1:18" x14ac:dyDescent="0.3">
      <c r="B31" s="23"/>
      <c r="C31" s="21"/>
      <c r="D31" s="21"/>
      <c r="E31" s="21"/>
      <c r="F31" s="21"/>
      <c r="K31" t="s">
        <v>1011</v>
      </c>
      <c r="L31">
        <v>5.3800000000000008</v>
      </c>
      <c r="M31">
        <v>0</v>
      </c>
      <c r="N31">
        <v>0.73</v>
      </c>
      <c r="O31">
        <v>0</v>
      </c>
      <c r="P31">
        <v>4.6500000000000004</v>
      </c>
      <c r="Q31">
        <v>0</v>
      </c>
      <c r="R31" t="s">
        <v>278</v>
      </c>
    </row>
    <row r="32" spans="1:18" x14ac:dyDescent="0.3">
      <c r="B32" s="23"/>
      <c r="C32" s="21"/>
      <c r="D32" s="21"/>
      <c r="E32" s="21"/>
      <c r="F32" s="21"/>
      <c r="K32" t="s">
        <v>271</v>
      </c>
      <c r="L32">
        <v>83.19</v>
      </c>
      <c r="M32">
        <v>3.1799999999999997</v>
      </c>
      <c r="N32">
        <v>23.509999999999998</v>
      </c>
      <c r="O32">
        <v>13.46</v>
      </c>
      <c r="P32">
        <v>26.220000000000002</v>
      </c>
      <c r="Q32">
        <v>16.82</v>
      </c>
      <c r="R32" t="s">
        <v>3090</v>
      </c>
    </row>
    <row r="33" spans="2:18" x14ac:dyDescent="0.3">
      <c r="B33" s="23"/>
      <c r="C33" s="21"/>
      <c r="D33" s="21"/>
      <c r="E33" s="21"/>
      <c r="F33" s="21"/>
      <c r="K33" t="s">
        <v>45</v>
      </c>
      <c r="L33">
        <v>1.51</v>
      </c>
      <c r="M33">
        <v>0.32</v>
      </c>
      <c r="N33">
        <v>0.46</v>
      </c>
      <c r="O33">
        <v>0.08</v>
      </c>
      <c r="P33">
        <v>0.65</v>
      </c>
      <c r="Q33">
        <v>0</v>
      </c>
      <c r="R33" t="s">
        <v>28</v>
      </c>
    </row>
    <row r="34" spans="2:18" x14ac:dyDescent="0.3">
      <c r="B34" s="23"/>
      <c r="C34" s="21"/>
      <c r="D34" s="21"/>
      <c r="E34" s="21"/>
      <c r="F34" s="21"/>
      <c r="K34" t="s">
        <v>1409</v>
      </c>
      <c r="L34">
        <v>1.9</v>
      </c>
      <c r="M34">
        <v>0</v>
      </c>
      <c r="N34">
        <v>0</v>
      </c>
      <c r="O34">
        <v>0.66999999999999993</v>
      </c>
      <c r="P34">
        <v>1.23</v>
      </c>
      <c r="Q34">
        <v>0</v>
      </c>
      <c r="R34" t="s">
        <v>113</v>
      </c>
    </row>
    <row r="35" spans="2:18" x14ac:dyDescent="0.3">
      <c r="B35" s="23"/>
      <c r="C35" s="21"/>
      <c r="D35" s="21"/>
      <c r="E35" s="21"/>
      <c r="F35" s="21"/>
      <c r="K35" t="s">
        <v>437</v>
      </c>
      <c r="L35">
        <v>54.110000000000007</v>
      </c>
      <c r="M35">
        <v>0</v>
      </c>
      <c r="N35">
        <v>13.270000000000001</v>
      </c>
      <c r="O35">
        <v>13.879999999999999</v>
      </c>
      <c r="P35">
        <v>18.580000000000002</v>
      </c>
      <c r="Q35">
        <v>8.3800000000000008</v>
      </c>
      <c r="R35" t="s">
        <v>3091</v>
      </c>
    </row>
    <row r="36" spans="2:18" x14ac:dyDescent="0.3">
      <c r="B36" s="23"/>
      <c r="C36" s="21"/>
      <c r="D36" s="21"/>
      <c r="E36" s="21"/>
      <c r="F36" s="21"/>
      <c r="K36" t="s">
        <v>139</v>
      </c>
      <c r="L36">
        <v>38.930000000000007</v>
      </c>
      <c r="M36">
        <v>1.88</v>
      </c>
      <c r="N36">
        <v>8.2800000000000011</v>
      </c>
      <c r="O36">
        <v>10.070000000000002</v>
      </c>
      <c r="P36">
        <v>13.389999999999999</v>
      </c>
      <c r="Q36">
        <v>5.3100000000000005</v>
      </c>
      <c r="R36" t="s">
        <v>3092</v>
      </c>
    </row>
    <row r="37" spans="2:18" x14ac:dyDescent="0.3">
      <c r="B37" s="23"/>
      <c r="C37" s="21"/>
      <c r="D37" s="21"/>
      <c r="E37" s="21"/>
      <c r="F37" s="21"/>
      <c r="K37" t="s">
        <v>1457</v>
      </c>
      <c r="L37">
        <v>0.05</v>
      </c>
      <c r="M37">
        <v>0</v>
      </c>
      <c r="N37">
        <v>0</v>
      </c>
      <c r="O37">
        <v>0.05</v>
      </c>
      <c r="P37">
        <v>0</v>
      </c>
      <c r="Q37">
        <v>0</v>
      </c>
      <c r="R37" t="s">
        <v>212</v>
      </c>
    </row>
    <row r="38" spans="2:18" x14ac:dyDescent="0.3">
      <c r="B38" s="23"/>
      <c r="C38" s="21"/>
      <c r="D38" s="21"/>
      <c r="E38" s="21"/>
      <c r="F38" s="21"/>
      <c r="K38" t="s">
        <v>967</v>
      </c>
      <c r="L38">
        <v>3.39</v>
      </c>
      <c r="M38">
        <v>0</v>
      </c>
      <c r="N38">
        <v>0.08</v>
      </c>
      <c r="O38">
        <v>1.98</v>
      </c>
      <c r="P38">
        <v>1.33</v>
      </c>
      <c r="Q38">
        <v>0</v>
      </c>
      <c r="R38" t="s">
        <v>3093</v>
      </c>
    </row>
    <row r="39" spans="2:18" x14ac:dyDescent="0.3">
      <c r="B39" s="23"/>
      <c r="C39" s="21"/>
      <c r="D39" s="21"/>
      <c r="E39" s="21"/>
      <c r="F39" s="21"/>
      <c r="K39" t="s">
        <v>1808</v>
      </c>
      <c r="L39">
        <v>1.45</v>
      </c>
      <c r="M39">
        <v>0</v>
      </c>
      <c r="N39">
        <v>0</v>
      </c>
      <c r="O39">
        <v>0.48</v>
      </c>
      <c r="P39">
        <v>0</v>
      </c>
      <c r="Q39">
        <v>0.97</v>
      </c>
      <c r="R39" t="s">
        <v>3094</v>
      </c>
    </row>
    <row r="40" spans="2:18" x14ac:dyDescent="0.3">
      <c r="B40" s="23"/>
      <c r="C40" s="21"/>
      <c r="D40" s="21"/>
      <c r="E40" s="21"/>
      <c r="F40" s="21"/>
      <c r="K40" t="s">
        <v>185</v>
      </c>
      <c r="L40">
        <v>14.38</v>
      </c>
      <c r="M40">
        <v>1.83</v>
      </c>
      <c r="N40">
        <v>4.37</v>
      </c>
      <c r="O40">
        <v>3.6000000000000005</v>
      </c>
      <c r="P40">
        <v>2.66</v>
      </c>
      <c r="Q40">
        <v>1.92</v>
      </c>
      <c r="R40" t="s">
        <v>3095</v>
      </c>
    </row>
    <row r="41" spans="2:18" x14ac:dyDescent="0.3">
      <c r="B41" s="23"/>
      <c r="C41" s="21"/>
      <c r="D41" s="21"/>
      <c r="E41" s="21"/>
      <c r="F41" s="21"/>
      <c r="K41" t="s">
        <v>143</v>
      </c>
      <c r="L41">
        <v>38.950000000000003</v>
      </c>
      <c r="M41">
        <v>2.0300000000000002</v>
      </c>
      <c r="N41">
        <v>14.58</v>
      </c>
      <c r="O41">
        <v>8.5</v>
      </c>
      <c r="P41">
        <v>5.5</v>
      </c>
      <c r="Q41">
        <v>8.34</v>
      </c>
      <c r="R41" t="s">
        <v>3071</v>
      </c>
    </row>
    <row r="42" spans="2:18" x14ac:dyDescent="0.3">
      <c r="B42" s="23"/>
      <c r="C42" s="21"/>
      <c r="D42" s="21"/>
      <c r="E42" s="21"/>
      <c r="F42" s="21"/>
      <c r="K42" t="s">
        <v>1856</v>
      </c>
      <c r="L42">
        <v>3.6100000000000003</v>
      </c>
      <c r="M42">
        <v>0</v>
      </c>
      <c r="N42">
        <v>0</v>
      </c>
      <c r="O42">
        <v>0.02</v>
      </c>
      <c r="P42">
        <v>0</v>
      </c>
      <c r="Q42">
        <v>3.5900000000000003</v>
      </c>
      <c r="R42" t="s">
        <v>3096</v>
      </c>
    </row>
    <row r="43" spans="2:18" x14ac:dyDescent="0.3">
      <c r="B43" s="23"/>
      <c r="C43" s="21"/>
      <c r="D43" s="21"/>
      <c r="E43" s="21"/>
      <c r="F43" s="21"/>
      <c r="K43" t="s">
        <v>114</v>
      </c>
      <c r="L43">
        <v>45.27</v>
      </c>
      <c r="M43">
        <v>2.36</v>
      </c>
      <c r="N43">
        <v>11.3</v>
      </c>
      <c r="O43">
        <v>16.759999999999998</v>
      </c>
      <c r="P43">
        <v>5.47</v>
      </c>
      <c r="Q43">
        <v>9.3800000000000008</v>
      </c>
      <c r="R43" t="s">
        <v>3097</v>
      </c>
    </row>
    <row r="44" spans="2:18" x14ac:dyDescent="0.3">
      <c r="B44" s="23"/>
      <c r="C44" s="21"/>
      <c r="D44" s="21"/>
      <c r="E44" s="21"/>
      <c r="F44" s="21"/>
      <c r="K44" t="s">
        <v>179</v>
      </c>
      <c r="L44">
        <v>14.84</v>
      </c>
      <c r="M44">
        <v>0.33</v>
      </c>
      <c r="N44">
        <v>2.23</v>
      </c>
      <c r="O44">
        <v>3.9600000000000004</v>
      </c>
      <c r="P44">
        <v>6.34</v>
      </c>
      <c r="Q44">
        <v>1.98</v>
      </c>
      <c r="R44" t="s">
        <v>3098</v>
      </c>
    </row>
    <row r="45" spans="2:18" x14ac:dyDescent="0.3">
      <c r="B45" s="23"/>
      <c r="C45" s="21"/>
      <c r="D45" s="21"/>
      <c r="E45" s="21"/>
      <c r="F45" s="21"/>
      <c r="K45" t="s">
        <v>170</v>
      </c>
      <c r="L45">
        <v>227.54000000000002</v>
      </c>
      <c r="M45">
        <v>9.629999999999999</v>
      </c>
      <c r="N45">
        <v>72.989999999999995</v>
      </c>
      <c r="O45">
        <v>49.45</v>
      </c>
      <c r="P45">
        <v>57.650000000000013</v>
      </c>
      <c r="Q45">
        <v>37.820000000000007</v>
      </c>
      <c r="R45" t="s">
        <v>3099</v>
      </c>
    </row>
    <row r="46" spans="2:18" x14ac:dyDescent="0.3">
      <c r="B46" s="23"/>
      <c r="C46" s="21"/>
      <c r="D46" s="21"/>
      <c r="E46" s="21"/>
      <c r="F46" s="21"/>
      <c r="K46" t="s">
        <v>346</v>
      </c>
      <c r="L46">
        <v>0.63</v>
      </c>
      <c r="M46">
        <v>0.33</v>
      </c>
      <c r="N46">
        <v>0</v>
      </c>
      <c r="O46">
        <v>0.3</v>
      </c>
      <c r="P46">
        <v>0</v>
      </c>
      <c r="Q46">
        <v>0</v>
      </c>
      <c r="R46" t="s">
        <v>3070</v>
      </c>
    </row>
    <row r="47" spans="2:18" x14ac:dyDescent="0.3">
      <c r="B47" s="23"/>
      <c r="C47" s="21"/>
      <c r="D47" s="21"/>
      <c r="E47" s="21"/>
      <c r="F47" s="21"/>
      <c r="K47" t="s">
        <v>472</v>
      </c>
      <c r="L47">
        <v>0.25</v>
      </c>
      <c r="M47">
        <v>0</v>
      </c>
      <c r="N47">
        <v>0.25</v>
      </c>
      <c r="O47">
        <v>0</v>
      </c>
      <c r="P47">
        <v>0</v>
      </c>
      <c r="Q47">
        <v>0</v>
      </c>
      <c r="R47" t="s">
        <v>193</v>
      </c>
    </row>
    <row r="48" spans="2:18" x14ac:dyDescent="0.3">
      <c r="B48" s="23"/>
      <c r="C48" s="21"/>
      <c r="D48" s="21"/>
      <c r="E48" s="21"/>
      <c r="F48" s="21"/>
      <c r="K48" t="s">
        <v>176</v>
      </c>
      <c r="L48">
        <v>30.499999999999996</v>
      </c>
      <c r="M48">
        <v>1.67</v>
      </c>
      <c r="N48">
        <v>7.96</v>
      </c>
      <c r="O48">
        <v>6.84</v>
      </c>
      <c r="P48">
        <v>8.08</v>
      </c>
      <c r="Q48">
        <v>5.95</v>
      </c>
      <c r="R48" t="s">
        <v>3100</v>
      </c>
    </row>
    <row r="49" spans="2:18" x14ac:dyDescent="0.3">
      <c r="B49" s="23"/>
      <c r="C49" s="21"/>
      <c r="D49" s="21"/>
      <c r="E49" s="21"/>
      <c r="F49" s="21"/>
      <c r="K49" t="s">
        <v>371</v>
      </c>
      <c r="L49">
        <v>1.8699999999999999</v>
      </c>
      <c r="M49">
        <v>0.4</v>
      </c>
      <c r="N49">
        <v>1.27</v>
      </c>
      <c r="O49">
        <v>0.2</v>
      </c>
      <c r="P49">
        <v>0</v>
      </c>
      <c r="Q49">
        <v>0</v>
      </c>
      <c r="R49" t="s">
        <v>3101</v>
      </c>
    </row>
    <row r="50" spans="2:18" x14ac:dyDescent="0.3">
      <c r="B50" s="23"/>
      <c r="C50" s="21"/>
      <c r="D50" s="21"/>
      <c r="E50" s="21"/>
      <c r="F50" s="21"/>
      <c r="K50" t="s">
        <v>1756</v>
      </c>
      <c r="L50">
        <v>0.35</v>
      </c>
      <c r="M50">
        <v>0</v>
      </c>
      <c r="N50">
        <v>0</v>
      </c>
      <c r="O50">
        <v>0.15</v>
      </c>
      <c r="P50">
        <v>0.2</v>
      </c>
      <c r="Q50">
        <v>0</v>
      </c>
      <c r="R50" t="s">
        <v>212</v>
      </c>
    </row>
    <row r="51" spans="2:18" x14ac:dyDescent="0.3">
      <c r="B51" s="23"/>
      <c r="C51" s="21"/>
      <c r="D51" s="21"/>
      <c r="E51" s="21"/>
      <c r="F51" s="21"/>
      <c r="K51" t="s">
        <v>1857</v>
      </c>
      <c r="L51">
        <v>2.1199999999999997</v>
      </c>
      <c r="M51">
        <v>0</v>
      </c>
      <c r="N51">
        <v>0</v>
      </c>
      <c r="O51">
        <v>0.02</v>
      </c>
      <c r="P51">
        <v>0</v>
      </c>
      <c r="Q51">
        <v>2.0999999999999996</v>
      </c>
      <c r="R51" t="s">
        <v>3096</v>
      </c>
    </row>
    <row r="52" spans="2:18" x14ac:dyDescent="0.3">
      <c r="B52" s="23"/>
      <c r="C52" s="21"/>
      <c r="D52" s="21"/>
      <c r="E52" s="21"/>
      <c r="F52" s="21"/>
      <c r="K52" t="s">
        <v>1858</v>
      </c>
      <c r="L52">
        <v>0.02</v>
      </c>
      <c r="M52">
        <v>0</v>
      </c>
      <c r="N52">
        <v>0</v>
      </c>
      <c r="O52">
        <v>0.02</v>
      </c>
      <c r="P52">
        <v>0</v>
      </c>
      <c r="Q52">
        <v>0</v>
      </c>
      <c r="R52" t="s">
        <v>93</v>
      </c>
    </row>
    <row r="53" spans="2:18" x14ac:dyDescent="0.3">
      <c r="B53" s="23"/>
      <c r="C53" s="21"/>
      <c r="D53" s="21"/>
      <c r="E53" s="21"/>
      <c r="F53" s="21"/>
      <c r="K53" t="s">
        <v>1859</v>
      </c>
      <c r="L53">
        <v>5.6899999999999995</v>
      </c>
      <c r="M53">
        <v>0</v>
      </c>
      <c r="N53">
        <v>0</v>
      </c>
      <c r="O53">
        <v>0.02</v>
      </c>
      <c r="P53">
        <v>5.5</v>
      </c>
      <c r="Q53">
        <v>0.17</v>
      </c>
      <c r="R53" t="s">
        <v>3096</v>
      </c>
    </row>
    <row r="54" spans="2:18" x14ac:dyDescent="0.3">
      <c r="B54" s="23"/>
      <c r="C54" s="21"/>
      <c r="D54" s="21"/>
      <c r="E54" s="21"/>
      <c r="F54" s="21"/>
      <c r="K54" t="s">
        <v>37</v>
      </c>
      <c r="L54">
        <v>2.06</v>
      </c>
      <c r="M54">
        <v>0.95000000000000007</v>
      </c>
      <c r="N54">
        <v>0.17</v>
      </c>
      <c r="O54">
        <v>0.22</v>
      </c>
      <c r="P54">
        <v>0</v>
      </c>
      <c r="Q54">
        <v>0.72</v>
      </c>
      <c r="R54" t="s">
        <v>3102</v>
      </c>
    </row>
    <row r="55" spans="2:18" x14ac:dyDescent="0.3">
      <c r="B55" s="23"/>
      <c r="C55" s="21"/>
      <c r="D55" s="21"/>
      <c r="E55" s="21"/>
      <c r="F55" s="21"/>
      <c r="K55" t="s">
        <v>127</v>
      </c>
      <c r="L55">
        <v>65.52</v>
      </c>
      <c r="M55">
        <v>4.41</v>
      </c>
      <c r="N55">
        <v>16.05</v>
      </c>
      <c r="O55">
        <v>16.54</v>
      </c>
      <c r="P55">
        <v>16.07</v>
      </c>
      <c r="Q55">
        <v>12.45</v>
      </c>
      <c r="R55" t="s">
        <v>3095</v>
      </c>
    </row>
    <row r="56" spans="2:18" x14ac:dyDescent="0.3">
      <c r="B56" s="23"/>
      <c r="C56" s="21"/>
      <c r="D56" s="21"/>
      <c r="E56" s="21"/>
      <c r="F56" s="21"/>
      <c r="K56" t="s">
        <v>1759</v>
      </c>
      <c r="L56">
        <v>0.23</v>
      </c>
      <c r="M56">
        <v>0</v>
      </c>
      <c r="N56">
        <v>0</v>
      </c>
      <c r="O56">
        <v>0.23</v>
      </c>
      <c r="P56">
        <v>0</v>
      </c>
      <c r="Q56">
        <v>0</v>
      </c>
      <c r="R56" t="s">
        <v>212</v>
      </c>
    </row>
    <row r="57" spans="2:18" x14ac:dyDescent="0.3">
      <c r="B57" s="23"/>
      <c r="C57" s="21"/>
      <c r="D57" s="21"/>
      <c r="E57" s="21"/>
      <c r="F57" s="21"/>
      <c r="K57" t="s">
        <v>205</v>
      </c>
      <c r="L57">
        <v>13.440000000000001</v>
      </c>
      <c r="M57">
        <v>0.57999999999999996</v>
      </c>
      <c r="N57">
        <v>1.45</v>
      </c>
      <c r="O57">
        <v>5.64</v>
      </c>
      <c r="P57">
        <v>3.95</v>
      </c>
      <c r="Q57">
        <v>1.8199999999999998</v>
      </c>
      <c r="R57" t="s">
        <v>3103</v>
      </c>
    </row>
    <row r="58" spans="2:18" x14ac:dyDescent="0.3">
      <c r="B58" s="23"/>
      <c r="C58" s="21"/>
      <c r="D58" s="21"/>
      <c r="E58" s="21"/>
      <c r="F58" s="21"/>
      <c r="K58" t="s">
        <v>304</v>
      </c>
      <c r="L58">
        <v>59.569999999999993</v>
      </c>
      <c r="M58">
        <v>2.27</v>
      </c>
      <c r="N58">
        <v>15.15</v>
      </c>
      <c r="O58">
        <v>11.43</v>
      </c>
      <c r="P58">
        <v>22.919999999999998</v>
      </c>
      <c r="Q58">
        <v>7.8</v>
      </c>
      <c r="R58" t="s">
        <v>3104</v>
      </c>
    </row>
    <row r="59" spans="2:18" x14ac:dyDescent="0.3">
      <c r="B59" s="23"/>
      <c r="C59" s="21"/>
      <c r="D59" s="21"/>
      <c r="E59" s="21"/>
      <c r="F59" s="21"/>
      <c r="K59" t="s">
        <v>334</v>
      </c>
      <c r="L59">
        <v>25.849999999999998</v>
      </c>
      <c r="M59">
        <v>4.95</v>
      </c>
      <c r="N59">
        <v>2.9699999999999998</v>
      </c>
      <c r="O59">
        <v>9.7499999999999982</v>
      </c>
      <c r="P59">
        <v>0</v>
      </c>
      <c r="Q59">
        <v>8.18</v>
      </c>
      <c r="R59" t="s">
        <v>3105</v>
      </c>
    </row>
    <row r="60" spans="2:18" x14ac:dyDescent="0.3">
      <c r="B60" s="23"/>
      <c r="C60" s="21"/>
      <c r="D60" s="21"/>
      <c r="E60" s="21"/>
      <c r="F60" s="21"/>
      <c r="K60" t="s">
        <v>52</v>
      </c>
      <c r="L60">
        <v>1.98</v>
      </c>
      <c r="M60">
        <v>0.88</v>
      </c>
      <c r="N60">
        <v>0</v>
      </c>
      <c r="O60">
        <v>0.08</v>
      </c>
      <c r="P60">
        <v>1.02</v>
      </c>
      <c r="Q60">
        <v>0</v>
      </c>
      <c r="R60" t="s">
        <v>3102</v>
      </c>
    </row>
    <row r="61" spans="2:18" x14ac:dyDescent="0.3">
      <c r="B61" s="23"/>
      <c r="C61" s="21"/>
      <c r="D61" s="21"/>
      <c r="E61" s="21"/>
      <c r="F61" s="21"/>
      <c r="K61" t="s">
        <v>2983</v>
      </c>
      <c r="L61">
        <v>0.08</v>
      </c>
      <c r="M61">
        <v>0</v>
      </c>
      <c r="N61">
        <v>0</v>
      </c>
      <c r="O61">
        <v>0</v>
      </c>
      <c r="P61">
        <v>0</v>
      </c>
      <c r="Q61">
        <v>0.08</v>
      </c>
      <c r="R61" t="s">
        <v>193</v>
      </c>
    </row>
    <row r="62" spans="2:18" x14ac:dyDescent="0.3">
      <c r="B62" s="23"/>
      <c r="C62" s="21"/>
      <c r="D62" s="21"/>
      <c r="E62" s="21"/>
      <c r="F62" s="21"/>
      <c r="K62" t="s">
        <v>49</v>
      </c>
      <c r="L62">
        <v>136.46</v>
      </c>
      <c r="M62">
        <v>2.84</v>
      </c>
      <c r="N62">
        <v>29.54</v>
      </c>
      <c r="O62">
        <v>36.010000000000005</v>
      </c>
      <c r="P62">
        <v>38.479999999999997</v>
      </c>
      <c r="Q62">
        <v>29.590000000000003</v>
      </c>
      <c r="R62" t="s">
        <v>3106</v>
      </c>
    </row>
    <row r="63" spans="2:18" x14ac:dyDescent="0.3">
      <c r="B63" s="23"/>
      <c r="C63" s="21"/>
      <c r="D63" s="21"/>
      <c r="E63" s="21"/>
      <c r="F63" s="21"/>
      <c r="K63" t="s">
        <v>1389</v>
      </c>
      <c r="L63">
        <v>0.02</v>
      </c>
      <c r="M63">
        <v>0</v>
      </c>
      <c r="N63">
        <v>0</v>
      </c>
      <c r="O63">
        <v>0.02</v>
      </c>
      <c r="P63">
        <v>0</v>
      </c>
      <c r="Q63">
        <v>0</v>
      </c>
      <c r="R63" t="s">
        <v>93</v>
      </c>
    </row>
    <row r="64" spans="2:18" x14ac:dyDescent="0.3">
      <c r="B64" s="23"/>
      <c r="C64" s="21"/>
      <c r="D64" s="21"/>
      <c r="E64" s="21"/>
      <c r="F64" s="21"/>
      <c r="K64" t="s">
        <v>1088</v>
      </c>
      <c r="L64">
        <v>0.37</v>
      </c>
      <c r="M64">
        <v>0</v>
      </c>
      <c r="N64">
        <v>0.37</v>
      </c>
      <c r="O64">
        <v>0</v>
      </c>
      <c r="P64">
        <v>0</v>
      </c>
      <c r="Q64">
        <v>0</v>
      </c>
      <c r="R64" t="s">
        <v>28</v>
      </c>
    </row>
    <row r="65" spans="2:18" x14ac:dyDescent="0.3">
      <c r="B65" s="23"/>
      <c r="C65" s="21"/>
      <c r="D65" s="21"/>
      <c r="E65" s="21"/>
      <c r="F65" s="21"/>
      <c r="K65" t="s">
        <v>66</v>
      </c>
      <c r="L65">
        <v>73.539999999999992</v>
      </c>
      <c r="M65">
        <v>1.8399999999999999</v>
      </c>
      <c r="N65">
        <v>14.5</v>
      </c>
      <c r="O65">
        <v>17.21</v>
      </c>
      <c r="P65">
        <v>14.16</v>
      </c>
      <c r="Q65">
        <v>25.83</v>
      </c>
      <c r="R65" t="s">
        <v>64</v>
      </c>
    </row>
    <row r="66" spans="2:18" x14ac:dyDescent="0.3">
      <c r="B66" s="23"/>
      <c r="C66" s="21"/>
      <c r="D66" s="21"/>
      <c r="E66" s="21"/>
      <c r="F66" s="21"/>
      <c r="K66" t="s">
        <v>61</v>
      </c>
      <c r="L66">
        <v>12.89</v>
      </c>
      <c r="M66">
        <v>1.0299999999999998</v>
      </c>
      <c r="N66">
        <v>2.54</v>
      </c>
      <c r="O66">
        <v>0.33</v>
      </c>
      <c r="P66">
        <v>2.98</v>
      </c>
      <c r="Q66">
        <v>6.0100000000000007</v>
      </c>
      <c r="R66" t="s">
        <v>3107</v>
      </c>
    </row>
    <row r="67" spans="2:18" x14ac:dyDescent="0.3">
      <c r="B67" s="23"/>
      <c r="C67" s="21"/>
      <c r="D67" s="21"/>
      <c r="E67" s="21"/>
      <c r="F67" s="21"/>
      <c r="K67" t="s">
        <v>295</v>
      </c>
      <c r="L67">
        <v>24.22</v>
      </c>
      <c r="M67">
        <v>0.32</v>
      </c>
      <c r="N67">
        <v>0.4</v>
      </c>
      <c r="O67">
        <v>21.11</v>
      </c>
      <c r="P67">
        <v>0</v>
      </c>
      <c r="Q67">
        <v>2.39</v>
      </c>
      <c r="R67" t="s">
        <v>3108</v>
      </c>
    </row>
    <row r="68" spans="2:18" x14ac:dyDescent="0.3">
      <c r="B68" s="23"/>
      <c r="C68" s="21"/>
      <c r="D68" s="21"/>
      <c r="E68" s="21"/>
      <c r="F68" s="21"/>
      <c r="K68" t="s">
        <v>290</v>
      </c>
      <c r="L68">
        <v>8</v>
      </c>
      <c r="M68">
        <v>0.5</v>
      </c>
      <c r="N68">
        <v>2</v>
      </c>
      <c r="O68">
        <v>2</v>
      </c>
      <c r="P68">
        <v>2</v>
      </c>
      <c r="Q68">
        <v>1.5</v>
      </c>
      <c r="R68" t="s">
        <v>289</v>
      </c>
    </row>
    <row r="69" spans="2:18" x14ac:dyDescent="0.3">
      <c r="B69" s="23"/>
      <c r="C69" s="21"/>
      <c r="D69" s="21"/>
      <c r="E69" s="21"/>
      <c r="F69" s="21"/>
      <c r="K69" t="s">
        <v>233</v>
      </c>
      <c r="L69">
        <v>1.35</v>
      </c>
      <c r="M69">
        <v>1</v>
      </c>
      <c r="N69">
        <v>0</v>
      </c>
      <c r="O69">
        <v>0.35</v>
      </c>
      <c r="P69">
        <v>0</v>
      </c>
      <c r="Q69">
        <v>0</v>
      </c>
      <c r="R69" t="s">
        <v>3070</v>
      </c>
    </row>
    <row r="70" spans="2:18" x14ac:dyDescent="0.3">
      <c r="B70" s="23"/>
      <c r="C70" s="21"/>
      <c r="D70" s="21"/>
      <c r="E70" s="21"/>
      <c r="F70" s="21"/>
      <c r="K70" t="s">
        <v>106</v>
      </c>
      <c r="L70">
        <v>20.48</v>
      </c>
      <c r="M70">
        <v>2.17</v>
      </c>
      <c r="N70">
        <v>9.17</v>
      </c>
      <c r="O70">
        <v>0.52</v>
      </c>
      <c r="P70">
        <v>8.52</v>
      </c>
      <c r="Q70">
        <v>0.1</v>
      </c>
      <c r="R70" t="s">
        <v>3109</v>
      </c>
    </row>
    <row r="71" spans="2:18" x14ac:dyDescent="0.3">
      <c r="B71" s="23"/>
      <c r="C71" s="21"/>
      <c r="D71" s="21"/>
      <c r="E71" s="21"/>
      <c r="F71" s="21"/>
      <c r="K71" t="s">
        <v>227</v>
      </c>
      <c r="L71">
        <v>6.13</v>
      </c>
      <c r="M71">
        <v>0.27</v>
      </c>
      <c r="N71">
        <v>4.59</v>
      </c>
      <c r="O71">
        <v>0</v>
      </c>
      <c r="P71">
        <v>1.1200000000000001</v>
      </c>
      <c r="Q71">
        <v>0.15</v>
      </c>
      <c r="R71" t="s">
        <v>3109</v>
      </c>
    </row>
    <row r="72" spans="2:18" x14ac:dyDescent="0.3">
      <c r="B72" s="23"/>
      <c r="C72" s="21"/>
      <c r="D72" s="21"/>
      <c r="E72" s="21"/>
      <c r="F72" s="21"/>
      <c r="K72" t="s">
        <v>229</v>
      </c>
      <c r="L72">
        <v>23.87</v>
      </c>
      <c r="M72">
        <v>0.33999999999999997</v>
      </c>
      <c r="N72">
        <v>11.850000000000001</v>
      </c>
      <c r="O72">
        <v>5.16</v>
      </c>
      <c r="P72">
        <v>4.2699999999999996</v>
      </c>
      <c r="Q72">
        <v>2.25</v>
      </c>
      <c r="R72" t="s">
        <v>3110</v>
      </c>
    </row>
    <row r="73" spans="2:18" x14ac:dyDescent="0.3">
      <c r="B73" s="23"/>
      <c r="C73" s="21"/>
      <c r="D73" s="21"/>
      <c r="E73" s="21"/>
      <c r="F73" s="21"/>
      <c r="K73" t="s">
        <v>1246</v>
      </c>
      <c r="L73">
        <v>5.8500000000000005</v>
      </c>
      <c r="M73">
        <v>0</v>
      </c>
      <c r="N73">
        <v>0</v>
      </c>
      <c r="O73">
        <v>2.95</v>
      </c>
      <c r="P73">
        <v>0</v>
      </c>
      <c r="Q73">
        <v>2.9000000000000004</v>
      </c>
      <c r="R73" t="s">
        <v>3111</v>
      </c>
    </row>
    <row r="74" spans="2:18" x14ac:dyDescent="0.3">
      <c r="B74" s="23"/>
      <c r="C74" s="21"/>
      <c r="D74" s="21"/>
      <c r="E74" s="21"/>
      <c r="F74" s="21"/>
      <c r="K74" t="s">
        <v>102</v>
      </c>
      <c r="L74">
        <v>11.82</v>
      </c>
      <c r="M74">
        <v>0.6</v>
      </c>
      <c r="N74">
        <v>4.2300000000000004</v>
      </c>
      <c r="O74">
        <v>2.75</v>
      </c>
      <c r="P74">
        <v>2.3199999999999998</v>
      </c>
      <c r="Q74">
        <v>1.9200000000000002</v>
      </c>
      <c r="R74" t="s">
        <v>3110</v>
      </c>
    </row>
    <row r="75" spans="2:18" x14ac:dyDescent="0.3">
      <c r="B75" s="23"/>
      <c r="C75" s="21"/>
      <c r="D75" s="21"/>
      <c r="E75" s="21"/>
      <c r="F75" s="21"/>
      <c r="K75" t="s">
        <v>104</v>
      </c>
      <c r="L75">
        <v>13.719999999999999</v>
      </c>
      <c r="M75">
        <v>0.62</v>
      </c>
      <c r="N75">
        <v>3.4299999999999997</v>
      </c>
      <c r="O75">
        <v>6.65</v>
      </c>
      <c r="P75">
        <v>1.92</v>
      </c>
      <c r="Q75">
        <v>1.0999999999999999</v>
      </c>
      <c r="R75" t="s">
        <v>3110</v>
      </c>
    </row>
    <row r="76" spans="2:18" x14ac:dyDescent="0.3">
      <c r="B76" s="23"/>
      <c r="C76" s="21"/>
      <c r="D76" s="21"/>
      <c r="E76" s="21"/>
      <c r="F76" s="21"/>
      <c r="K76" t="s">
        <v>230</v>
      </c>
      <c r="L76">
        <v>1.5500000000000003</v>
      </c>
      <c r="M76">
        <v>0.29000000000000004</v>
      </c>
      <c r="N76">
        <v>0.74</v>
      </c>
      <c r="O76">
        <v>0.08</v>
      </c>
      <c r="P76">
        <v>7.0000000000000007E-2</v>
      </c>
      <c r="Q76">
        <v>0.37</v>
      </c>
      <c r="R76" t="s">
        <v>3112</v>
      </c>
    </row>
    <row r="77" spans="2:18" x14ac:dyDescent="0.3">
      <c r="B77" s="23"/>
      <c r="C77" s="21"/>
      <c r="D77" s="21"/>
      <c r="E77" s="21"/>
      <c r="F77" s="21"/>
      <c r="K77" t="s">
        <v>162</v>
      </c>
      <c r="L77">
        <v>180.74</v>
      </c>
      <c r="M77">
        <v>3.56</v>
      </c>
      <c r="N77">
        <v>63.56</v>
      </c>
      <c r="O77">
        <v>43.25</v>
      </c>
      <c r="P77">
        <v>43.63</v>
      </c>
      <c r="Q77">
        <v>26.740000000000002</v>
      </c>
      <c r="R77" t="s">
        <v>3113</v>
      </c>
    </row>
    <row r="78" spans="2:18" x14ac:dyDescent="0.3">
      <c r="B78" s="23"/>
      <c r="C78" s="21"/>
      <c r="D78" s="21"/>
      <c r="E78" s="21"/>
      <c r="F78" s="21"/>
      <c r="K78" t="s">
        <v>748</v>
      </c>
      <c r="L78">
        <v>3.1399999999999997</v>
      </c>
      <c r="M78">
        <v>0</v>
      </c>
      <c r="N78">
        <v>0.57000000000000006</v>
      </c>
      <c r="O78">
        <v>0.7</v>
      </c>
      <c r="P78">
        <v>0</v>
      </c>
      <c r="Q78">
        <v>1.8699999999999999</v>
      </c>
      <c r="R78" t="s">
        <v>3114</v>
      </c>
    </row>
    <row r="79" spans="2:18" x14ac:dyDescent="0.3">
      <c r="B79" s="23"/>
      <c r="C79" s="21"/>
      <c r="D79" s="21"/>
      <c r="E79" s="21"/>
      <c r="F79" s="21"/>
      <c r="K79" t="s">
        <v>337</v>
      </c>
      <c r="L79">
        <v>6.49</v>
      </c>
      <c r="M79">
        <v>1.83</v>
      </c>
      <c r="N79">
        <v>2.83</v>
      </c>
      <c r="O79">
        <v>0</v>
      </c>
      <c r="P79">
        <v>1.83</v>
      </c>
      <c r="Q79">
        <v>0</v>
      </c>
      <c r="R79" t="s">
        <v>331</v>
      </c>
    </row>
    <row r="80" spans="2:18" x14ac:dyDescent="0.3">
      <c r="B80" s="23"/>
      <c r="C80" s="21"/>
      <c r="D80" s="21"/>
      <c r="E80" s="21"/>
      <c r="F80" s="21"/>
      <c r="K80" t="s">
        <v>218</v>
      </c>
      <c r="L80">
        <v>8.9699999999999989</v>
      </c>
      <c r="M80">
        <v>0.73</v>
      </c>
      <c r="N80">
        <v>1.77</v>
      </c>
      <c r="O80">
        <v>1.1100000000000001</v>
      </c>
      <c r="P80">
        <v>3.48</v>
      </c>
      <c r="Q80">
        <v>1.88</v>
      </c>
      <c r="R80" t="s">
        <v>3115</v>
      </c>
    </row>
    <row r="81" spans="2:18" x14ac:dyDescent="0.3">
      <c r="B81" s="23"/>
      <c r="C81" s="21"/>
      <c r="D81" s="21"/>
      <c r="E81" s="21"/>
      <c r="F81" s="21"/>
      <c r="K81" t="s">
        <v>116</v>
      </c>
      <c r="L81">
        <v>30.709999999999997</v>
      </c>
      <c r="M81">
        <v>2.91</v>
      </c>
      <c r="N81">
        <v>7.8900000000000006</v>
      </c>
      <c r="O81">
        <v>0.25</v>
      </c>
      <c r="P81">
        <v>7.84</v>
      </c>
      <c r="Q81">
        <v>11.819999999999997</v>
      </c>
      <c r="R81" t="s">
        <v>3116</v>
      </c>
    </row>
    <row r="82" spans="2:18" x14ac:dyDescent="0.3">
      <c r="B82" s="23"/>
      <c r="C82" s="21"/>
      <c r="D82" s="21"/>
      <c r="E82" s="21"/>
      <c r="F82" s="21"/>
      <c r="K82" t="s">
        <v>108</v>
      </c>
      <c r="L82">
        <v>40.169999999999995</v>
      </c>
      <c r="M82">
        <v>3</v>
      </c>
      <c r="N82">
        <v>8.98</v>
      </c>
      <c r="O82">
        <v>9.42</v>
      </c>
      <c r="P82">
        <v>12.58</v>
      </c>
      <c r="Q82">
        <v>6.1899999999999995</v>
      </c>
      <c r="R82" t="s">
        <v>3109</v>
      </c>
    </row>
    <row r="83" spans="2:18" x14ac:dyDescent="0.3">
      <c r="B83" s="23"/>
      <c r="C83" s="21"/>
      <c r="D83" s="21"/>
      <c r="E83" s="21"/>
      <c r="F83" s="21"/>
      <c r="K83" t="s">
        <v>1171</v>
      </c>
      <c r="L83">
        <v>0.4</v>
      </c>
      <c r="M83">
        <v>0</v>
      </c>
      <c r="N83">
        <v>0.4</v>
      </c>
      <c r="O83">
        <v>0</v>
      </c>
      <c r="P83">
        <v>0</v>
      </c>
      <c r="Q83">
        <v>0</v>
      </c>
      <c r="R83" t="s">
        <v>3117</v>
      </c>
    </row>
    <row r="84" spans="2:18" x14ac:dyDescent="0.3">
      <c r="B84" s="23"/>
      <c r="C84" s="21"/>
      <c r="D84" s="21"/>
      <c r="E84" s="21"/>
      <c r="F84" s="21"/>
      <c r="K84" t="s">
        <v>195</v>
      </c>
      <c r="L84">
        <v>31.93</v>
      </c>
      <c r="M84">
        <v>0.5</v>
      </c>
      <c r="N84">
        <v>10.250000000000002</v>
      </c>
      <c r="O84">
        <v>11.189999999999998</v>
      </c>
      <c r="P84">
        <v>8.2100000000000009</v>
      </c>
      <c r="Q84">
        <v>1.7799999999999998</v>
      </c>
      <c r="R84" t="s">
        <v>3118</v>
      </c>
    </row>
    <row r="85" spans="2:18" x14ac:dyDescent="0.3">
      <c r="B85" s="23"/>
      <c r="C85" s="21"/>
      <c r="D85" s="21"/>
      <c r="E85" s="21"/>
      <c r="F85" s="21"/>
      <c r="K85" t="s">
        <v>968</v>
      </c>
      <c r="L85">
        <v>0.08</v>
      </c>
      <c r="M85">
        <v>0</v>
      </c>
      <c r="N85">
        <v>0.08</v>
      </c>
      <c r="O85">
        <v>0</v>
      </c>
      <c r="P85">
        <v>0</v>
      </c>
      <c r="Q85">
        <v>0</v>
      </c>
      <c r="R85" t="s">
        <v>212</v>
      </c>
    </row>
    <row r="86" spans="2:18" x14ac:dyDescent="0.3">
      <c r="B86" s="23"/>
      <c r="C86" s="21"/>
      <c r="D86" s="21"/>
      <c r="E86" s="21"/>
      <c r="F86" s="21"/>
      <c r="K86" t="s">
        <v>1772</v>
      </c>
      <c r="L86">
        <v>0.4</v>
      </c>
      <c r="M86">
        <v>0</v>
      </c>
      <c r="N86">
        <v>0</v>
      </c>
      <c r="O86">
        <v>0.18</v>
      </c>
      <c r="P86">
        <v>0.22</v>
      </c>
      <c r="Q86">
        <v>0</v>
      </c>
      <c r="R86" t="s">
        <v>212</v>
      </c>
    </row>
    <row r="87" spans="2:18" x14ac:dyDescent="0.3">
      <c r="B87" s="23"/>
      <c r="C87" s="21"/>
      <c r="D87" s="21"/>
      <c r="E87" s="21"/>
      <c r="F87" s="21"/>
      <c r="K87" t="s">
        <v>177</v>
      </c>
      <c r="L87">
        <v>13.419999999999998</v>
      </c>
      <c r="M87">
        <v>0.17</v>
      </c>
      <c r="N87">
        <v>2.89</v>
      </c>
      <c r="O87">
        <v>4.3999999999999995</v>
      </c>
      <c r="P87">
        <v>3.36</v>
      </c>
      <c r="Q87">
        <v>2.6</v>
      </c>
      <c r="R87" t="s">
        <v>3119</v>
      </c>
    </row>
    <row r="88" spans="2:18" x14ac:dyDescent="0.3">
      <c r="B88" s="23"/>
      <c r="C88" s="21"/>
      <c r="D88" s="21"/>
      <c r="E88" s="21"/>
      <c r="F88" s="21"/>
      <c r="K88" t="s">
        <v>62</v>
      </c>
      <c r="L88">
        <v>2.7</v>
      </c>
      <c r="M88">
        <v>0.13</v>
      </c>
      <c r="N88">
        <v>0.18</v>
      </c>
      <c r="O88">
        <v>1.3</v>
      </c>
      <c r="P88">
        <v>0.36</v>
      </c>
      <c r="Q88">
        <v>0.73</v>
      </c>
      <c r="R88" t="s">
        <v>28</v>
      </c>
    </row>
    <row r="89" spans="2:18" x14ac:dyDescent="0.3">
      <c r="K89" t="s">
        <v>44</v>
      </c>
      <c r="L89">
        <v>19.86</v>
      </c>
      <c r="M89">
        <v>0.25</v>
      </c>
      <c r="N89">
        <v>2.7899999999999991</v>
      </c>
      <c r="O89">
        <v>8.7700000000000014</v>
      </c>
      <c r="P89">
        <v>3.81</v>
      </c>
      <c r="Q89">
        <v>4.24</v>
      </c>
      <c r="R89" t="s">
        <v>3120</v>
      </c>
    </row>
    <row r="90" spans="2:18" x14ac:dyDescent="0.3">
      <c r="K90" t="s">
        <v>182</v>
      </c>
      <c r="L90">
        <v>45.27000000000001</v>
      </c>
      <c r="M90">
        <v>0.5</v>
      </c>
      <c r="N90">
        <v>11.16</v>
      </c>
      <c r="O90">
        <v>13.98</v>
      </c>
      <c r="P90">
        <v>12.260000000000002</v>
      </c>
      <c r="Q90">
        <v>7.370000000000001</v>
      </c>
      <c r="R90" t="s">
        <v>3121</v>
      </c>
    </row>
    <row r="91" spans="2:18" x14ac:dyDescent="0.3">
      <c r="K91" t="s">
        <v>953</v>
      </c>
      <c r="L91">
        <v>14.28</v>
      </c>
      <c r="M91">
        <v>0</v>
      </c>
      <c r="N91">
        <v>1.3299999999999998</v>
      </c>
      <c r="O91">
        <v>7.3299999999999992</v>
      </c>
      <c r="P91">
        <v>5.5500000000000007</v>
      </c>
      <c r="Q91">
        <v>7.0000000000000007E-2</v>
      </c>
      <c r="R91" t="s">
        <v>3109</v>
      </c>
    </row>
    <row r="92" spans="2:18" x14ac:dyDescent="0.3">
      <c r="K92" t="s">
        <v>725</v>
      </c>
      <c r="L92">
        <v>11.37</v>
      </c>
      <c r="M92">
        <v>0</v>
      </c>
      <c r="N92">
        <v>2.4900000000000002</v>
      </c>
      <c r="O92">
        <v>4.29</v>
      </c>
      <c r="P92">
        <v>3.67</v>
      </c>
      <c r="Q92">
        <v>0.92</v>
      </c>
      <c r="R92" t="s">
        <v>3122</v>
      </c>
    </row>
    <row r="93" spans="2:18" x14ac:dyDescent="0.3">
      <c r="K93" t="s">
        <v>420</v>
      </c>
      <c r="L93">
        <v>28.179999999999996</v>
      </c>
      <c r="M93">
        <v>0</v>
      </c>
      <c r="N93">
        <v>5.7299999999999995</v>
      </c>
      <c r="O93">
        <v>5.3999999999999995</v>
      </c>
      <c r="P93">
        <v>11.009999999999998</v>
      </c>
      <c r="Q93">
        <v>6.0399999999999991</v>
      </c>
      <c r="R93" t="s">
        <v>3085</v>
      </c>
    </row>
    <row r="94" spans="2:18" x14ac:dyDescent="0.3">
      <c r="K94" t="s">
        <v>356</v>
      </c>
      <c r="L94">
        <v>6.68</v>
      </c>
      <c r="M94">
        <v>0.7</v>
      </c>
      <c r="N94">
        <v>5.08</v>
      </c>
      <c r="O94">
        <v>0.89999999999999991</v>
      </c>
      <c r="P94">
        <v>0</v>
      </c>
      <c r="Q94">
        <v>0</v>
      </c>
      <c r="R94" t="s">
        <v>3123</v>
      </c>
    </row>
    <row r="95" spans="2:18" x14ac:dyDescent="0.3">
      <c r="K95" t="s">
        <v>1074</v>
      </c>
      <c r="L95">
        <v>6</v>
      </c>
      <c r="M95">
        <v>0</v>
      </c>
      <c r="N95">
        <v>1.5</v>
      </c>
      <c r="O95">
        <v>4.2300000000000004</v>
      </c>
      <c r="P95">
        <v>0.27</v>
      </c>
      <c r="Q95">
        <v>0</v>
      </c>
      <c r="R95" t="s">
        <v>3123</v>
      </c>
    </row>
    <row r="96" spans="2:18" x14ac:dyDescent="0.3">
      <c r="K96" t="s">
        <v>242</v>
      </c>
      <c r="L96">
        <v>7.55</v>
      </c>
      <c r="M96">
        <v>1.35</v>
      </c>
      <c r="N96">
        <v>0</v>
      </c>
      <c r="O96">
        <v>2.6</v>
      </c>
      <c r="P96">
        <v>2.67</v>
      </c>
      <c r="Q96">
        <v>0.92999999999999994</v>
      </c>
      <c r="R96" t="s">
        <v>3124</v>
      </c>
    </row>
    <row r="97" spans="11:18" x14ac:dyDescent="0.3">
      <c r="K97" t="s">
        <v>1022</v>
      </c>
      <c r="L97">
        <v>18.299999999999997</v>
      </c>
      <c r="M97">
        <v>0</v>
      </c>
      <c r="N97">
        <v>2.0300000000000002</v>
      </c>
      <c r="O97">
        <v>0.08</v>
      </c>
      <c r="P97">
        <v>12.07</v>
      </c>
      <c r="Q97">
        <v>4.1199999999999992</v>
      </c>
      <c r="R97" t="s">
        <v>294</v>
      </c>
    </row>
    <row r="98" spans="11:18" x14ac:dyDescent="0.3">
      <c r="K98" t="s">
        <v>241</v>
      </c>
      <c r="L98">
        <v>7.0600000000000005</v>
      </c>
      <c r="M98">
        <v>7.0000000000000007E-2</v>
      </c>
      <c r="N98">
        <v>1.1299999999999999</v>
      </c>
      <c r="O98">
        <v>2.42</v>
      </c>
      <c r="P98">
        <v>1.27</v>
      </c>
      <c r="Q98">
        <v>2.17</v>
      </c>
      <c r="R98" t="s">
        <v>240</v>
      </c>
    </row>
    <row r="99" spans="11:18" x14ac:dyDescent="0.3">
      <c r="K99" t="s">
        <v>156</v>
      </c>
      <c r="L99">
        <v>89.3</v>
      </c>
      <c r="M99">
        <v>5.29</v>
      </c>
      <c r="N99">
        <v>21.97</v>
      </c>
      <c r="O99">
        <v>28.45</v>
      </c>
      <c r="P99">
        <v>15.829999999999998</v>
      </c>
      <c r="Q99">
        <v>17.760000000000002</v>
      </c>
      <c r="R99" t="s">
        <v>3125</v>
      </c>
    </row>
    <row r="100" spans="11:18" x14ac:dyDescent="0.3">
      <c r="K100" t="s">
        <v>30</v>
      </c>
      <c r="L100">
        <v>66.28</v>
      </c>
      <c r="M100">
        <v>3.55</v>
      </c>
      <c r="N100">
        <v>18.920000000000002</v>
      </c>
      <c r="O100">
        <v>16.88</v>
      </c>
      <c r="P100">
        <v>12.860000000000001</v>
      </c>
      <c r="Q100">
        <v>14.070000000000002</v>
      </c>
      <c r="R100" t="s">
        <v>3126</v>
      </c>
    </row>
    <row r="101" spans="11:18" x14ac:dyDescent="0.3">
      <c r="K101" t="s">
        <v>395</v>
      </c>
      <c r="L101">
        <v>0.35000000000000003</v>
      </c>
      <c r="M101">
        <v>0</v>
      </c>
      <c r="N101">
        <v>0.02</v>
      </c>
      <c r="O101">
        <v>0.33</v>
      </c>
      <c r="P101">
        <v>0</v>
      </c>
      <c r="Q101">
        <v>0</v>
      </c>
      <c r="R101" t="s">
        <v>3127</v>
      </c>
    </row>
    <row r="102" spans="11:18" x14ac:dyDescent="0.3">
      <c r="K102" t="s">
        <v>1860</v>
      </c>
      <c r="L102">
        <v>0.22</v>
      </c>
      <c r="M102">
        <v>0</v>
      </c>
      <c r="N102">
        <v>0</v>
      </c>
      <c r="O102">
        <v>0.02</v>
      </c>
      <c r="P102">
        <v>0.2</v>
      </c>
      <c r="Q102">
        <v>0</v>
      </c>
      <c r="R102" t="s">
        <v>3096</v>
      </c>
    </row>
    <row r="103" spans="11:18" x14ac:dyDescent="0.3">
      <c r="K103" t="s">
        <v>42</v>
      </c>
      <c r="L103">
        <v>40.949999999999996</v>
      </c>
      <c r="M103">
        <v>0.84000000000000008</v>
      </c>
      <c r="N103">
        <v>11.719999999999999</v>
      </c>
      <c r="O103">
        <v>9.9500000000000011</v>
      </c>
      <c r="P103">
        <v>8.68</v>
      </c>
      <c r="Q103">
        <v>9.76</v>
      </c>
      <c r="R103" t="s">
        <v>3128</v>
      </c>
    </row>
    <row r="104" spans="11:18" x14ac:dyDescent="0.3">
      <c r="K104" t="s">
        <v>1458</v>
      </c>
      <c r="L104">
        <v>0.08</v>
      </c>
      <c r="M104">
        <v>0</v>
      </c>
      <c r="N104">
        <v>0</v>
      </c>
      <c r="O104">
        <v>0.08</v>
      </c>
      <c r="P104">
        <v>0</v>
      </c>
      <c r="Q104">
        <v>0</v>
      </c>
      <c r="R104" t="s">
        <v>212</v>
      </c>
    </row>
    <row r="105" spans="11:18" x14ac:dyDescent="0.3">
      <c r="K105" t="s">
        <v>1865</v>
      </c>
      <c r="L105">
        <v>5.96</v>
      </c>
      <c r="M105">
        <v>0</v>
      </c>
      <c r="N105">
        <v>0</v>
      </c>
      <c r="O105">
        <v>0.17</v>
      </c>
      <c r="P105">
        <v>5.79</v>
      </c>
      <c r="Q105">
        <v>0</v>
      </c>
      <c r="R105" t="s">
        <v>3129</v>
      </c>
    </row>
    <row r="106" spans="11:18" x14ac:dyDescent="0.3">
      <c r="K106" t="s">
        <v>665</v>
      </c>
      <c r="L106">
        <v>3.13</v>
      </c>
      <c r="M106">
        <v>0</v>
      </c>
      <c r="N106">
        <v>0.13</v>
      </c>
      <c r="O106">
        <v>0.75</v>
      </c>
      <c r="P106">
        <v>1</v>
      </c>
      <c r="Q106">
        <v>1.25</v>
      </c>
      <c r="R106" t="s">
        <v>3070</v>
      </c>
    </row>
    <row r="107" spans="11:18" x14ac:dyDescent="0.3">
      <c r="K107" t="s">
        <v>112</v>
      </c>
      <c r="L107">
        <v>1.36</v>
      </c>
      <c r="M107">
        <v>0.17</v>
      </c>
      <c r="N107">
        <v>0.55000000000000004</v>
      </c>
      <c r="O107">
        <v>0.64</v>
      </c>
      <c r="P107">
        <v>0</v>
      </c>
      <c r="Q107">
        <v>0</v>
      </c>
      <c r="R107" t="s">
        <v>3130</v>
      </c>
    </row>
    <row r="108" spans="11:18" x14ac:dyDescent="0.3">
      <c r="K108" t="s">
        <v>234</v>
      </c>
      <c r="L108">
        <v>1.06</v>
      </c>
      <c r="M108">
        <v>0.25</v>
      </c>
      <c r="N108">
        <v>0.51</v>
      </c>
      <c r="O108">
        <v>0.30000000000000004</v>
      </c>
      <c r="P108">
        <v>0</v>
      </c>
      <c r="Q108">
        <v>0</v>
      </c>
      <c r="R108" t="s">
        <v>3070</v>
      </c>
    </row>
    <row r="109" spans="11:18" x14ac:dyDescent="0.3">
      <c r="K109" t="s">
        <v>1697</v>
      </c>
      <c r="L109">
        <v>0.02</v>
      </c>
      <c r="M109">
        <v>0</v>
      </c>
      <c r="N109">
        <v>0</v>
      </c>
      <c r="O109">
        <v>0.02</v>
      </c>
      <c r="P109">
        <v>0</v>
      </c>
      <c r="Q109">
        <v>0</v>
      </c>
      <c r="R109" t="s">
        <v>93</v>
      </c>
    </row>
    <row r="110" spans="11:18" x14ac:dyDescent="0.3">
      <c r="K110" t="s">
        <v>214</v>
      </c>
      <c r="L110">
        <v>5.42</v>
      </c>
      <c r="M110">
        <v>0.08</v>
      </c>
      <c r="N110">
        <v>2.81</v>
      </c>
      <c r="O110">
        <v>0.36000000000000004</v>
      </c>
      <c r="P110">
        <v>2.17</v>
      </c>
      <c r="Q110">
        <v>0</v>
      </c>
      <c r="R110" t="s">
        <v>3131</v>
      </c>
    </row>
    <row r="111" spans="11:18" x14ac:dyDescent="0.3">
      <c r="K111" t="s">
        <v>39</v>
      </c>
      <c r="L111">
        <v>24.819999999999997</v>
      </c>
      <c r="M111">
        <v>0.12</v>
      </c>
      <c r="N111">
        <v>13.77</v>
      </c>
      <c r="O111">
        <v>5.4499999999999993</v>
      </c>
      <c r="P111">
        <v>4.34</v>
      </c>
      <c r="Q111">
        <v>1.1400000000000001</v>
      </c>
      <c r="R111" t="s">
        <v>3132</v>
      </c>
    </row>
    <row r="112" spans="11:18" x14ac:dyDescent="0.3">
      <c r="K112" t="s">
        <v>96</v>
      </c>
      <c r="L112">
        <v>16.68</v>
      </c>
      <c r="M112">
        <v>0.02</v>
      </c>
      <c r="N112">
        <v>2.3299999999999996</v>
      </c>
      <c r="O112">
        <v>2.6399999999999997</v>
      </c>
      <c r="P112">
        <v>11.690000000000001</v>
      </c>
      <c r="Q112">
        <v>0</v>
      </c>
      <c r="R112" t="s">
        <v>3133</v>
      </c>
    </row>
    <row r="113" spans="11:18" x14ac:dyDescent="0.3">
      <c r="K113" t="s">
        <v>178</v>
      </c>
      <c r="L113">
        <v>1.79</v>
      </c>
      <c r="M113">
        <v>0.17</v>
      </c>
      <c r="N113">
        <v>0.45</v>
      </c>
      <c r="O113">
        <v>0.5</v>
      </c>
      <c r="P113">
        <v>0.5</v>
      </c>
      <c r="Q113">
        <v>0.17</v>
      </c>
      <c r="R113" t="s">
        <v>3134</v>
      </c>
    </row>
    <row r="114" spans="11:18" x14ac:dyDescent="0.3">
      <c r="K114" t="s">
        <v>1390</v>
      </c>
      <c r="L114">
        <v>0.02</v>
      </c>
      <c r="M114">
        <v>0</v>
      </c>
      <c r="N114">
        <v>0</v>
      </c>
      <c r="O114">
        <v>0.02</v>
      </c>
      <c r="P114">
        <v>0</v>
      </c>
      <c r="Q114">
        <v>0</v>
      </c>
      <c r="R114" t="s">
        <v>93</v>
      </c>
    </row>
    <row r="115" spans="11:18" x14ac:dyDescent="0.3">
      <c r="K115" t="s">
        <v>1180</v>
      </c>
      <c r="L115">
        <v>1.21</v>
      </c>
      <c r="M115">
        <v>0</v>
      </c>
      <c r="N115">
        <v>0.3</v>
      </c>
      <c r="O115">
        <v>0.69000000000000006</v>
      </c>
      <c r="P115">
        <v>0.22</v>
      </c>
      <c r="Q115">
        <v>0</v>
      </c>
      <c r="R115" t="s">
        <v>3135</v>
      </c>
    </row>
    <row r="116" spans="11:18" x14ac:dyDescent="0.3">
      <c r="K116" t="s">
        <v>217</v>
      </c>
      <c r="L116">
        <v>18.27</v>
      </c>
      <c r="M116">
        <v>1.6099999999999999</v>
      </c>
      <c r="N116">
        <v>3.7300000000000004</v>
      </c>
      <c r="O116">
        <v>7.39</v>
      </c>
      <c r="P116">
        <v>1</v>
      </c>
      <c r="Q116">
        <v>4.5399999999999991</v>
      </c>
      <c r="R116" t="s">
        <v>3136</v>
      </c>
    </row>
    <row r="117" spans="11:18" x14ac:dyDescent="0.3">
      <c r="K117" t="s">
        <v>444</v>
      </c>
      <c r="L117">
        <v>3.09</v>
      </c>
      <c r="M117">
        <v>0</v>
      </c>
      <c r="N117">
        <v>1.0999999999999999</v>
      </c>
      <c r="O117">
        <v>0.35</v>
      </c>
      <c r="P117">
        <v>0.96000000000000008</v>
      </c>
      <c r="Q117">
        <v>0.68</v>
      </c>
      <c r="R117" t="s">
        <v>3137</v>
      </c>
    </row>
    <row r="118" spans="11:18" x14ac:dyDescent="0.3">
      <c r="K118" t="s">
        <v>48</v>
      </c>
      <c r="L118">
        <v>11.430000000000001</v>
      </c>
      <c r="M118">
        <v>0.47</v>
      </c>
      <c r="N118">
        <v>2.68</v>
      </c>
      <c r="O118">
        <v>2.5</v>
      </c>
      <c r="P118">
        <v>3.63</v>
      </c>
      <c r="Q118">
        <v>2.1500000000000004</v>
      </c>
      <c r="R118" t="s">
        <v>3107</v>
      </c>
    </row>
    <row r="119" spans="11:18" x14ac:dyDescent="0.3">
      <c r="K119" t="s">
        <v>35</v>
      </c>
      <c r="L119">
        <v>42.910000000000004</v>
      </c>
      <c r="M119">
        <v>1.06</v>
      </c>
      <c r="N119">
        <v>7.8500000000000005</v>
      </c>
      <c r="O119">
        <v>9.5899999999999981</v>
      </c>
      <c r="P119">
        <v>13.56</v>
      </c>
      <c r="Q119">
        <v>10.85</v>
      </c>
      <c r="R119" t="s">
        <v>3138</v>
      </c>
    </row>
    <row r="120" spans="11:18" x14ac:dyDescent="0.3">
      <c r="K120" t="s">
        <v>460</v>
      </c>
      <c r="L120">
        <v>4.63</v>
      </c>
      <c r="M120">
        <v>0</v>
      </c>
      <c r="N120">
        <v>1.18</v>
      </c>
      <c r="O120">
        <v>1</v>
      </c>
      <c r="P120">
        <v>1.4</v>
      </c>
      <c r="Q120">
        <v>1.05</v>
      </c>
      <c r="R120" t="s">
        <v>3077</v>
      </c>
    </row>
    <row r="121" spans="11:18" x14ac:dyDescent="0.3">
      <c r="K121" t="s">
        <v>1021</v>
      </c>
      <c r="L121">
        <v>3.25</v>
      </c>
      <c r="M121">
        <v>0</v>
      </c>
      <c r="N121">
        <v>2.25</v>
      </c>
      <c r="O121">
        <v>0.25</v>
      </c>
      <c r="P121">
        <v>0</v>
      </c>
      <c r="Q121">
        <v>0.75</v>
      </c>
      <c r="R121" t="s">
        <v>3139</v>
      </c>
    </row>
    <row r="122" spans="11:18" x14ac:dyDescent="0.3">
      <c r="K122" t="s">
        <v>483</v>
      </c>
      <c r="L122">
        <v>3.7199999999999998</v>
      </c>
      <c r="M122">
        <v>0</v>
      </c>
      <c r="N122">
        <v>0.45</v>
      </c>
      <c r="O122">
        <v>0</v>
      </c>
      <c r="P122">
        <v>0</v>
      </c>
      <c r="Q122">
        <v>3.2699999999999996</v>
      </c>
      <c r="R122" t="s">
        <v>3140</v>
      </c>
    </row>
    <row r="123" spans="11:18" x14ac:dyDescent="0.3">
      <c r="K123" t="s">
        <v>105</v>
      </c>
      <c r="L123">
        <v>7</v>
      </c>
      <c r="M123">
        <v>0.33</v>
      </c>
      <c r="N123">
        <v>1.67</v>
      </c>
      <c r="O123">
        <v>2.25</v>
      </c>
      <c r="P123">
        <v>1.17</v>
      </c>
      <c r="Q123">
        <v>1.58</v>
      </c>
      <c r="R123" t="s">
        <v>101</v>
      </c>
    </row>
    <row r="124" spans="11:18" x14ac:dyDescent="0.3">
      <c r="K124" t="s">
        <v>423</v>
      </c>
      <c r="L124">
        <v>24.110000000000003</v>
      </c>
      <c r="M124">
        <v>0</v>
      </c>
      <c r="N124">
        <v>8.57</v>
      </c>
      <c r="O124">
        <v>10.370000000000001</v>
      </c>
      <c r="P124">
        <v>3.21</v>
      </c>
      <c r="Q124">
        <v>1.96</v>
      </c>
      <c r="R124" t="s">
        <v>3085</v>
      </c>
    </row>
  </sheetData>
  <hyperlinks>
    <hyperlink ref="A17" location="'Princess Halili'!A2" display="Princess Halili" xr:uid="{E974E6C6-E047-4926-A335-C86AD8B1DD37}"/>
    <hyperlink ref="A1" location="'Aileen Fajardo'!A2" display="Aileen Fajardo" xr:uid="{C961F0A3-3214-476E-A776-F11C9B4D9364}"/>
    <hyperlink ref="A19" location="'Rejie Montemor'!A2" display="Rejie Montemor" xr:uid="{49E2300D-CB1F-4CF3-94F1-1987C735E55C}"/>
    <hyperlink ref="A2" location="'Ann Morei Narag'!A2" display="Ann Morei Narag" xr:uid="{DC5951A6-BE55-434A-B6C1-175A041DDDF5}"/>
    <hyperlink ref="A3" location="'Christine Chiu'!A2" display="Christine Chiu" xr:uid="{9D943B38-0F81-4A8C-8862-B6D2848AD31A}"/>
    <hyperlink ref="A4" location="'Efleda Reyes'!A2" display="Efleda Reyes" xr:uid="{0177E979-AECE-4886-AC7E-B67DCA9FDEA1}"/>
    <hyperlink ref="A16" location="'Neeti Gambhir'!A2" display="Neeti Gambhir" xr:uid="{C010E803-8155-40FE-9A10-FCEC74C9FB59}"/>
    <hyperlink ref="A13" location="'Ma Angela Ibanez'!A2" display="Ma Angela Ibanez" xr:uid="{308C3F4E-E039-459C-98EE-58B945FEE273}"/>
    <hyperlink ref="A7" location="'Irish Guia Medel'!A2" display="Irish Guia Medel" xr:uid="{CA63120C-5C9C-4DF0-8D85-A6F2FCA8647B}"/>
    <hyperlink ref="A5" location="'Franz Xavier Cruz'!A2" display="Franz Xavier Cruz" xr:uid="{880D7602-7404-4168-87B5-F85990B2F997}"/>
    <hyperlink ref="A6" location="'Gerardo Macawile'!A2" display="Gerardo Macawile" xr:uid="{AB07E3E9-6637-4C67-BF19-36782FE6DD0B}"/>
    <hyperlink ref="A15" location="'Mary Ann Carpio'!A2" display="Mary Ann Carpio" xr:uid="{6CBD0D44-BFC8-4078-9065-2D4C052125A2}"/>
    <hyperlink ref="A9" location="'Jeric Rivera'!A2" display="Jeric Rivera" xr:uid="{724D6F7B-EBC8-49A7-896B-CAD7E913752C}"/>
    <hyperlink ref="A8" location="'Jennica Felipe'!A2" display="Jennica Felipe" xr:uid="{1F85C2B3-1A9D-4F1C-8964-80F85CD712BF}"/>
    <hyperlink ref="A11" location="'Jordan Martinez'!A2" display="Jordan Martinez" xr:uid="{B5326FBF-ABB1-4DF8-B42C-D3B50A4255D6}"/>
    <hyperlink ref="A14" location="'Marie Ann Ticzon'!A2" display="Marie Ann Ticzon" xr:uid="{23577170-DD23-4E49-8D2C-D3780FA8C263}"/>
    <hyperlink ref="A18" location="'Rachele Anne Nicdao'!A2" display="Rachele Anne Nicdao" xr:uid="{7A96D050-A868-49AE-924F-D7175CB47C9D}"/>
    <hyperlink ref="A10" location="'Jimwelle Villon'!A2" display="Jimwelle Villon" xr:uid="{8BBF5715-D71B-4902-B32D-DD1F1A38D0BF}"/>
    <hyperlink ref="A20" location="'Sarah Angelica Medrano'!A2" display="Sarah Angelica Medrano" xr:uid="{92A50BE7-8375-4768-8846-D4DE87457F0D}"/>
    <hyperlink ref="A12" location="'Lindsay Casero'!A2" display="Lindsay Casero" xr:uid="{01135BA1-F7D4-4C35-84B7-AF50F88991F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F2CB8ED-4683-4F12-A677-1720DE836376}">
          <x14:formula1>
            <xm:f>'Client Name'!$A:$A</xm:f>
          </x14:formula1>
          <xm:sqref>J18 J12:J14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BCEDE-7EE1-45DD-96A5-17E4B23C1914}">
  <sheetPr codeName="Sheet19"/>
  <dimension ref="A1:AF57"/>
  <sheetViews>
    <sheetView zoomScale="85" zoomScaleNormal="85" workbookViewId="0">
      <selection activeCell="L1" sqref="L1"/>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 min="15" max="15" width="32.109375" customWidth="1"/>
  </cols>
  <sheetData>
    <row r="1" spans="1:32" ht="37.200000000000003" customHeight="1" thickBot="1" x14ac:dyDescent="0.35">
      <c r="A1" s="47" t="s">
        <v>3051</v>
      </c>
      <c r="B1" s="48" t="s">
        <v>301</v>
      </c>
      <c r="C1" s="14"/>
      <c r="D1" s="14"/>
      <c r="E1" s="14"/>
      <c r="F1" s="14"/>
      <c r="G1" s="14"/>
      <c r="H1" s="4"/>
      <c r="I1" s="14"/>
      <c r="J1" s="14"/>
      <c r="K1" s="14"/>
      <c r="L1" s="1" t="s">
        <v>3144</v>
      </c>
      <c r="M1">
        <v>157</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137</v>
      </c>
      <c r="P2">
        <v>12</v>
      </c>
      <c r="R2">
        <v>3</v>
      </c>
      <c r="S2">
        <v>3</v>
      </c>
      <c r="T2">
        <v>3</v>
      </c>
      <c r="U2">
        <v>3</v>
      </c>
      <c r="Y2" t="s">
        <v>137</v>
      </c>
      <c r="Z2">
        <v>5.32</v>
      </c>
      <c r="AB2">
        <v>0</v>
      </c>
      <c r="AC2">
        <v>0</v>
      </c>
      <c r="AD2">
        <v>2.35</v>
      </c>
      <c r="AE2">
        <v>0</v>
      </c>
      <c r="AF2">
        <v>2.9699999999999998</v>
      </c>
    </row>
    <row r="3" spans="1:32" x14ac:dyDescent="0.3">
      <c r="A3" s="2"/>
      <c r="B3" s="2" t="s">
        <v>378</v>
      </c>
      <c r="C3" s="2"/>
      <c r="D3" s="2" t="s">
        <v>576</v>
      </c>
      <c r="E3" s="2"/>
      <c r="F3" s="2" t="s">
        <v>747</v>
      </c>
      <c r="G3" s="2"/>
      <c r="H3" s="4" t="s">
        <v>897</v>
      </c>
      <c r="I3" s="2"/>
      <c r="J3" s="14" t="s">
        <v>33</v>
      </c>
      <c r="O3" t="s">
        <v>54</v>
      </c>
      <c r="P3">
        <v>15</v>
      </c>
      <c r="R3">
        <v>4.5</v>
      </c>
      <c r="S3">
        <v>3.5</v>
      </c>
      <c r="T3">
        <v>3.5</v>
      </c>
      <c r="U3">
        <v>3.5</v>
      </c>
      <c r="Y3" t="s">
        <v>54</v>
      </c>
      <c r="Z3">
        <v>33.4</v>
      </c>
      <c r="AB3">
        <v>1.98</v>
      </c>
      <c r="AC3">
        <v>4.33</v>
      </c>
      <c r="AD3">
        <v>6.96</v>
      </c>
      <c r="AE3">
        <v>3.4</v>
      </c>
      <c r="AF3">
        <v>16.73</v>
      </c>
    </row>
    <row r="4" spans="1:32" x14ac:dyDescent="0.3">
      <c r="A4" s="2" t="s">
        <v>13</v>
      </c>
      <c r="B4" s="5" t="s">
        <v>156</v>
      </c>
      <c r="C4" s="3">
        <v>2.5</v>
      </c>
      <c r="D4" s="5" t="s">
        <v>156</v>
      </c>
      <c r="E4" s="3">
        <v>3</v>
      </c>
      <c r="F4" s="5" t="s">
        <v>156</v>
      </c>
      <c r="G4" s="3">
        <v>2</v>
      </c>
      <c r="H4" s="5" t="s">
        <v>156</v>
      </c>
      <c r="I4" s="3">
        <v>1</v>
      </c>
      <c r="J4" s="5" t="s">
        <v>156</v>
      </c>
      <c r="K4">
        <v>2</v>
      </c>
      <c r="O4" t="s">
        <v>143</v>
      </c>
      <c r="P4">
        <v>12</v>
      </c>
      <c r="R4">
        <v>3</v>
      </c>
      <c r="S4">
        <v>3</v>
      </c>
      <c r="T4">
        <v>3</v>
      </c>
      <c r="U4">
        <v>3</v>
      </c>
      <c r="Y4" t="s">
        <v>143</v>
      </c>
      <c r="Z4">
        <v>7.84</v>
      </c>
      <c r="AB4">
        <v>0.1</v>
      </c>
      <c r="AC4">
        <v>3.13</v>
      </c>
      <c r="AD4">
        <v>1.33</v>
      </c>
      <c r="AE4">
        <v>0</v>
      </c>
      <c r="AF4">
        <v>3.28</v>
      </c>
    </row>
    <row r="5" spans="1:32" x14ac:dyDescent="0.3">
      <c r="A5" s="2" t="s">
        <v>13</v>
      </c>
      <c r="B5" s="5" t="s">
        <v>143</v>
      </c>
      <c r="C5" s="3">
        <v>3</v>
      </c>
      <c r="D5" s="3" t="s">
        <v>137</v>
      </c>
      <c r="E5" s="3">
        <v>3</v>
      </c>
      <c r="F5" s="5" t="s">
        <v>304</v>
      </c>
      <c r="G5" s="3">
        <v>2</v>
      </c>
      <c r="H5" s="5" t="s">
        <v>304</v>
      </c>
      <c r="I5" s="3">
        <v>2</v>
      </c>
      <c r="J5" s="5" t="s">
        <v>304</v>
      </c>
      <c r="K5">
        <v>2</v>
      </c>
      <c r="O5" t="s">
        <v>472</v>
      </c>
      <c r="P5">
        <v>12</v>
      </c>
      <c r="R5">
        <v>3</v>
      </c>
      <c r="S5">
        <v>3</v>
      </c>
      <c r="T5">
        <v>3</v>
      </c>
      <c r="U5">
        <v>3</v>
      </c>
      <c r="Y5" t="s">
        <v>472</v>
      </c>
      <c r="Z5">
        <v>0</v>
      </c>
      <c r="AB5">
        <v>0</v>
      </c>
      <c r="AC5">
        <v>0</v>
      </c>
      <c r="AD5">
        <v>0</v>
      </c>
      <c r="AE5">
        <v>0</v>
      </c>
      <c r="AF5">
        <v>0</v>
      </c>
    </row>
    <row r="6" spans="1:32" x14ac:dyDescent="0.3">
      <c r="A6" s="2" t="s">
        <v>13</v>
      </c>
      <c r="B6" s="5" t="s">
        <v>304</v>
      </c>
      <c r="C6" s="3">
        <v>2</v>
      </c>
      <c r="D6" s="5" t="s">
        <v>304</v>
      </c>
      <c r="E6" s="3">
        <v>2</v>
      </c>
      <c r="F6" s="15" t="s">
        <v>334</v>
      </c>
      <c r="G6" s="3">
        <v>4</v>
      </c>
      <c r="H6" s="15" t="s">
        <v>334</v>
      </c>
      <c r="I6" s="3">
        <v>1</v>
      </c>
      <c r="J6" s="29" t="s">
        <v>334</v>
      </c>
      <c r="K6">
        <v>1</v>
      </c>
      <c r="O6" t="s">
        <v>304</v>
      </c>
      <c r="P6">
        <v>40</v>
      </c>
      <c r="R6">
        <v>10</v>
      </c>
      <c r="S6">
        <v>10</v>
      </c>
      <c r="T6">
        <v>10</v>
      </c>
      <c r="U6">
        <v>10</v>
      </c>
      <c r="Y6" t="s">
        <v>304</v>
      </c>
      <c r="Z6">
        <v>58.03</v>
      </c>
      <c r="AB6">
        <v>2.27</v>
      </c>
      <c r="AC6">
        <v>14.87</v>
      </c>
      <c r="AD6">
        <v>10.17</v>
      </c>
      <c r="AE6">
        <v>22.92</v>
      </c>
      <c r="AF6">
        <v>7.8000000000000007</v>
      </c>
    </row>
    <row r="7" spans="1:32" x14ac:dyDescent="0.3">
      <c r="A7" s="2" t="s">
        <v>13</v>
      </c>
      <c r="B7" s="5" t="s">
        <v>54</v>
      </c>
      <c r="C7" s="3">
        <v>0.5</v>
      </c>
      <c r="D7" s="5"/>
      <c r="E7" s="3"/>
      <c r="F7" s="5"/>
      <c r="G7" s="3"/>
      <c r="H7" s="15" t="s">
        <v>472</v>
      </c>
      <c r="I7" s="3">
        <v>3</v>
      </c>
      <c r="J7" s="5" t="s">
        <v>54</v>
      </c>
      <c r="K7">
        <v>3</v>
      </c>
      <c r="O7" t="s">
        <v>334</v>
      </c>
      <c r="P7">
        <v>24</v>
      </c>
      <c r="R7">
        <v>6</v>
      </c>
      <c r="S7">
        <v>6</v>
      </c>
      <c r="T7">
        <v>6</v>
      </c>
      <c r="U7">
        <v>6</v>
      </c>
      <c r="Y7" t="s">
        <v>334</v>
      </c>
      <c r="Z7">
        <v>0</v>
      </c>
      <c r="AB7">
        <v>0</v>
      </c>
      <c r="AC7">
        <v>0</v>
      </c>
      <c r="AD7">
        <v>0</v>
      </c>
      <c r="AE7">
        <v>0</v>
      </c>
      <c r="AF7">
        <v>0</v>
      </c>
    </row>
    <row r="8" spans="1:32" x14ac:dyDescent="0.3">
      <c r="A8" s="2" t="s">
        <v>13</v>
      </c>
      <c r="B8" s="5"/>
      <c r="C8" s="3"/>
      <c r="D8" s="3"/>
      <c r="E8" s="3"/>
      <c r="F8" s="3"/>
      <c r="G8" s="3"/>
      <c r="H8" s="5" t="s">
        <v>54</v>
      </c>
      <c r="I8" s="3">
        <v>1</v>
      </c>
      <c r="J8" s="29"/>
      <c r="O8" t="s">
        <v>156</v>
      </c>
      <c r="P8">
        <v>42</v>
      </c>
      <c r="R8">
        <v>10.5</v>
      </c>
      <c r="S8">
        <v>10.5</v>
      </c>
      <c r="T8">
        <v>10.5</v>
      </c>
      <c r="U8">
        <v>10.5</v>
      </c>
      <c r="Y8" t="s">
        <v>156</v>
      </c>
      <c r="Z8">
        <v>64.37</v>
      </c>
      <c r="AB8">
        <v>3.9699999999999998</v>
      </c>
      <c r="AC8">
        <v>17.72</v>
      </c>
      <c r="AD8">
        <v>19.240000000000002</v>
      </c>
      <c r="AE8">
        <v>13.68</v>
      </c>
      <c r="AF8">
        <v>9.76</v>
      </c>
    </row>
    <row r="9" spans="1:32" x14ac:dyDescent="0.3">
      <c r="A9" s="2"/>
      <c r="B9" s="3"/>
      <c r="C9" s="3"/>
      <c r="D9" s="3"/>
      <c r="E9" s="3"/>
      <c r="F9" s="3"/>
      <c r="G9" s="3"/>
      <c r="H9" s="15"/>
      <c r="I9" s="3"/>
      <c r="J9" s="29"/>
    </row>
    <row r="10" spans="1:32" x14ac:dyDescent="0.3">
      <c r="A10" s="2" t="s">
        <v>14</v>
      </c>
      <c r="B10" s="5" t="s">
        <v>156</v>
      </c>
      <c r="C10" s="3">
        <v>2.5</v>
      </c>
      <c r="D10" s="5" t="s">
        <v>156</v>
      </c>
      <c r="E10" s="3">
        <v>3</v>
      </c>
      <c r="F10" s="5" t="s">
        <v>156</v>
      </c>
      <c r="G10" s="3">
        <v>2</v>
      </c>
      <c r="H10" s="5" t="s">
        <v>156</v>
      </c>
      <c r="I10" s="3">
        <v>1</v>
      </c>
      <c r="J10" s="5" t="s">
        <v>156</v>
      </c>
      <c r="K10">
        <v>2</v>
      </c>
    </row>
    <row r="11" spans="1:32" x14ac:dyDescent="0.3">
      <c r="A11" s="2" t="s">
        <v>14</v>
      </c>
      <c r="B11" s="5" t="s">
        <v>143</v>
      </c>
      <c r="C11" s="3">
        <v>3</v>
      </c>
      <c r="D11" s="3" t="s">
        <v>137</v>
      </c>
      <c r="E11" s="3">
        <v>3</v>
      </c>
      <c r="F11" s="5" t="s">
        <v>304</v>
      </c>
      <c r="G11" s="3">
        <v>2</v>
      </c>
      <c r="H11" s="5" t="s">
        <v>304</v>
      </c>
      <c r="I11" s="3">
        <v>2</v>
      </c>
      <c r="J11" s="5" t="s">
        <v>304</v>
      </c>
      <c r="K11">
        <v>2</v>
      </c>
    </row>
    <row r="12" spans="1:32" x14ac:dyDescent="0.3">
      <c r="A12" s="2" t="s">
        <v>14</v>
      </c>
      <c r="B12" s="5" t="s">
        <v>304</v>
      </c>
      <c r="C12" s="3">
        <v>2</v>
      </c>
      <c r="D12" s="5" t="s">
        <v>304</v>
      </c>
      <c r="E12" s="3">
        <v>2</v>
      </c>
      <c r="F12" s="15" t="s">
        <v>334</v>
      </c>
      <c r="G12" s="3">
        <v>4</v>
      </c>
      <c r="H12" s="15" t="s">
        <v>334</v>
      </c>
      <c r="I12" s="3">
        <v>1</v>
      </c>
      <c r="J12" s="29" t="s">
        <v>334</v>
      </c>
      <c r="K12">
        <v>1</v>
      </c>
    </row>
    <row r="13" spans="1:32" x14ac:dyDescent="0.3">
      <c r="A13" s="2" t="s">
        <v>14</v>
      </c>
      <c r="B13" s="5" t="s">
        <v>54</v>
      </c>
      <c r="C13" s="3">
        <v>0.5</v>
      </c>
      <c r="D13" s="5"/>
      <c r="E13" s="3"/>
      <c r="F13" s="5"/>
      <c r="G13" s="3"/>
      <c r="H13" s="15" t="s">
        <v>472</v>
      </c>
      <c r="I13" s="3">
        <v>3</v>
      </c>
      <c r="J13" s="5" t="s">
        <v>54</v>
      </c>
      <c r="K13">
        <v>3</v>
      </c>
    </row>
    <row r="14" spans="1:32" x14ac:dyDescent="0.3">
      <c r="A14" s="2"/>
      <c r="B14" s="5"/>
      <c r="C14" s="3"/>
      <c r="D14" s="3"/>
      <c r="E14" s="3"/>
      <c r="F14" s="3"/>
      <c r="G14" s="3"/>
      <c r="H14" s="5" t="s">
        <v>54</v>
      </c>
      <c r="I14" s="3">
        <v>1</v>
      </c>
      <c r="J14" s="29"/>
    </row>
    <row r="15" spans="1:32" x14ac:dyDescent="0.3">
      <c r="A15" s="2"/>
      <c r="B15" s="3"/>
      <c r="C15" s="3"/>
      <c r="D15" s="3"/>
      <c r="E15" s="3"/>
      <c r="F15" s="3"/>
      <c r="G15" s="3"/>
      <c r="H15" s="15"/>
      <c r="I15" s="3"/>
      <c r="J15" s="29"/>
    </row>
    <row r="16" spans="1:32" x14ac:dyDescent="0.3">
      <c r="A16" s="2" t="s">
        <v>15</v>
      </c>
      <c r="B16" s="5" t="s">
        <v>156</v>
      </c>
      <c r="C16" s="3">
        <v>2.5</v>
      </c>
      <c r="D16" s="5" t="s">
        <v>156</v>
      </c>
      <c r="E16" s="3">
        <v>3</v>
      </c>
      <c r="F16" s="5" t="s">
        <v>156</v>
      </c>
      <c r="G16" s="3">
        <v>2</v>
      </c>
      <c r="H16" s="5" t="s">
        <v>156</v>
      </c>
      <c r="I16" s="3">
        <v>1</v>
      </c>
      <c r="J16" s="5" t="s">
        <v>156</v>
      </c>
      <c r="K16">
        <v>2</v>
      </c>
    </row>
    <row r="17" spans="1:32" x14ac:dyDescent="0.3">
      <c r="A17" s="2" t="s">
        <v>15</v>
      </c>
      <c r="B17" s="5" t="s">
        <v>143</v>
      </c>
      <c r="C17" s="3">
        <v>3</v>
      </c>
      <c r="D17" s="3" t="s">
        <v>137</v>
      </c>
      <c r="E17" s="3">
        <v>3</v>
      </c>
      <c r="F17" s="5" t="s">
        <v>304</v>
      </c>
      <c r="G17" s="3">
        <v>2</v>
      </c>
      <c r="H17" s="5" t="s">
        <v>304</v>
      </c>
      <c r="I17" s="3">
        <v>2</v>
      </c>
      <c r="J17" s="5" t="s">
        <v>304</v>
      </c>
      <c r="K17">
        <v>2</v>
      </c>
    </row>
    <row r="18" spans="1:32" x14ac:dyDescent="0.3">
      <c r="A18" s="2" t="s">
        <v>15</v>
      </c>
      <c r="B18" s="5" t="s">
        <v>304</v>
      </c>
      <c r="C18" s="3">
        <v>2</v>
      </c>
      <c r="D18" s="5" t="s">
        <v>304</v>
      </c>
      <c r="E18" s="3">
        <v>2</v>
      </c>
      <c r="F18" s="15" t="s">
        <v>334</v>
      </c>
      <c r="G18" s="3">
        <v>4</v>
      </c>
      <c r="H18" s="15" t="s">
        <v>334</v>
      </c>
      <c r="I18" s="3">
        <v>1</v>
      </c>
      <c r="J18" s="29" t="s">
        <v>334</v>
      </c>
      <c r="K18">
        <v>1</v>
      </c>
      <c r="O18" t="s">
        <v>3143</v>
      </c>
      <c r="P18">
        <f>SUM(P2:P17)</f>
        <v>157</v>
      </c>
      <c r="R18">
        <f>SUM(R2:R17)</f>
        <v>40</v>
      </c>
      <c r="S18">
        <f>SUM(S2:S17)</f>
        <v>39</v>
      </c>
      <c r="T18">
        <f>SUM(T2:T17)</f>
        <v>39</v>
      </c>
      <c r="U18">
        <f>SUM(U2:U17)</f>
        <v>39</v>
      </c>
      <c r="Y18" t="s">
        <v>3143</v>
      </c>
      <c r="Z18">
        <f>SUM(Z2:Z17)</f>
        <v>168.96</v>
      </c>
      <c r="AB18">
        <f>SUM(AB2:AB17)</f>
        <v>8.32</v>
      </c>
      <c r="AC18">
        <f>SUM(AC2:AC17)</f>
        <v>40.049999999999997</v>
      </c>
      <c r="AD18">
        <f>SUM(AD2:AD17)</f>
        <v>40.050000000000004</v>
      </c>
      <c r="AE18">
        <f>SUM(AE2:AE17)</f>
        <v>40</v>
      </c>
      <c r="AF18">
        <f>SUM(AF2:AF17)</f>
        <v>40.54</v>
      </c>
    </row>
    <row r="19" spans="1:32" x14ac:dyDescent="0.3">
      <c r="A19" s="2" t="s">
        <v>15</v>
      </c>
      <c r="B19" s="5" t="s">
        <v>54</v>
      </c>
      <c r="C19" s="3">
        <v>0.5</v>
      </c>
      <c r="D19" s="5"/>
      <c r="E19" s="3"/>
      <c r="F19" s="5"/>
      <c r="G19" s="3"/>
      <c r="H19" s="15" t="s">
        <v>472</v>
      </c>
      <c r="I19" s="3">
        <v>3</v>
      </c>
      <c r="J19" s="5" t="s">
        <v>54</v>
      </c>
      <c r="K19">
        <v>3</v>
      </c>
    </row>
    <row r="20" spans="1:32" x14ac:dyDescent="0.3">
      <c r="A20" s="2"/>
      <c r="B20" s="5"/>
      <c r="C20" s="3"/>
      <c r="D20" s="3"/>
      <c r="E20" s="3"/>
      <c r="F20" s="3"/>
      <c r="G20" s="3"/>
      <c r="H20" s="5" t="s">
        <v>54</v>
      </c>
      <c r="I20" s="3">
        <v>1</v>
      </c>
      <c r="J20" s="29"/>
    </row>
    <row r="21" spans="1:32" x14ac:dyDescent="0.3">
      <c r="A21" s="2"/>
      <c r="B21" s="3"/>
      <c r="C21" s="3"/>
      <c r="D21" s="3"/>
      <c r="E21" s="3"/>
      <c r="F21" s="3"/>
      <c r="G21" s="3"/>
      <c r="H21" s="15"/>
      <c r="I21" s="3"/>
      <c r="J21" s="29"/>
    </row>
    <row r="22" spans="1:32" x14ac:dyDescent="0.3">
      <c r="A22" s="2" t="s">
        <v>16</v>
      </c>
      <c r="B22" s="5" t="s">
        <v>156</v>
      </c>
      <c r="C22" s="3">
        <v>2.5</v>
      </c>
      <c r="D22" s="5" t="s">
        <v>156</v>
      </c>
      <c r="E22" s="3">
        <v>3</v>
      </c>
      <c r="F22" s="5" t="s">
        <v>156</v>
      </c>
      <c r="G22" s="3">
        <v>2</v>
      </c>
      <c r="H22" s="5" t="s">
        <v>156</v>
      </c>
      <c r="I22" s="3">
        <v>1</v>
      </c>
      <c r="J22" s="5" t="s">
        <v>156</v>
      </c>
      <c r="K22">
        <v>2</v>
      </c>
    </row>
    <row r="23" spans="1:32" x14ac:dyDescent="0.3">
      <c r="A23" s="2" t="s">
        <v>16</v>
      </c>
      <c r="B23" s="5" t="s">
        <v>143</v>
      </c>
      <c r="C23" s="3">
        <v>3</v>
      </c>
      <c r="D23" s="3" t="s">
        <v>137</v>
      </c>
      <c r="E23" s="3">
        <v>3</v>
      </c>
      <c r="F23" s="5" t="s">
        <v>304</v>
      </c>
      <c r="G23" s="3">
        <v>2</v>
      </c>
      <c r="H23" s="5" t="s">
        <v>304</v>
      </c>
      <c r="I23" s="3">
        <v>2</v>
      </c>
      <c r="J23" s="5" t="s">
        <v>304</v>
      </c>
      <c r="K23">
        <v>2</v>
      </c>
    </row>
    <row r="24" spans="1:32" x14ac:dyDescent="0.3">
      <c r="A24" s="2" t="s">
        <v>16</v>
      </c>
      <c r="B24" s="5" t="s">
        <v>304</v>
      </c>
      <c r="C24" s="3">
        <v>2</v>
      </c>
      <c r="D24" s="5" t="s">
        <v>304</v>
      </c>
      <c r="E24" s="3">
        <v>2</v>
      </c>
      <c r="F24" s="15" t="s">
        <v>334</v>
      </c>
      <c r="G24" s="3">
        <v>4</v>
      </c>
      <c r="H24" s="15" t="s">
        <v>334</v>
      </c>
      <c r="I24" s="3">
        <v>1</v>
      </c>
      <c r="J24" s="29" t="s">
        <v>334</v>
      </c>
      <c r="K24">
        <v>1</v>
      </c>
    </row>
    <row r="25" spans="1:32" x14ac:dyDescent="0.3">
      <c r="A25" s="2" t="s">
        <v>16</v>
      </c>
      <c r="B25" s="5" t="s">
        <v>54</v>
      </c>
      <c r="C25" s="3">
        <v>0.5</v>
      </c>
      <c r="D25" s="5"/>
      <c r="E25" s="3"/>
      <c r="F25" s="5"/>
      <c r="G25" s="3"/>
      <c r="H25" s="15" t="s">
        <v>472</v>
      </c>
      <c r="I25" s="3">
        <v>3</v>
      </c>
      <c r="J25" s="5" t="s">
        <v>54</v>
      </c>
      <c r="K25">
        <v>3</v>
      </c>
    </row>
    <row r="26" spans="1:32" x14ac:dyDescent="0.3">
      <c r="A26" s="2"/>
      <c r="B26" s="5"/>
      <c r="C26" s="3"/>
      <c r="D26" s="3"/>
      <c r="E26" s="3"/>
      <c r="F26" s="3"/>
      <c r="G26" s="3"/>
      <c r="H26" s="5" t="s">
        <v>54</v>
      </c>
      <c r="I26" s="3">
        <v>1</v>
      </c>
      <c r="J26" s="29"/>
    </row>
    <row r="28" spans="1:32" x14ac:dyDescent="0.3">
      <c r="A28" s="2" t="s">
        <v>17</v>
      </c>
      <c r="L28" s="1" t="s">
        <v>3144</v>
      </c>
      <c r="M28" s="1">
        <v>168.96</v>
      </c>
    </row>
    <row r="29" spans="1:32" x14ac:dyDescent="0.3">
      <c r="B29" s="1" t="s">
        <v>378</v>
      </c>
      <c r="D29" s="1" t="s">
        <v>576</v>
      </c>
      <c r="F29" s="1" t="s">
        <v>747</v>
      </c>
      <c r="H29" s="17" t="s">
        <v>897</v>
      </c>
      <c r="J29" s="1" t="s">
        <v>33</v>
      </c>
    </row>
    <row r="30" spans="1:32" x14ac:dyDescent="0.3">
      <c r="A30" s="19" t="s">
        <v>13</v>
      </c>
      <c r="J30" t="s">
        <v>54</v>
      </c>
      <c r="K30">
        <v>1.98</v>
      </c>
    </row>
    <row r="31" spans="1:32" x14ac:dyDescent="0.3">
      <c r="A31" s="19" t="s">
        <v>13</v>
      </c>
      <c r="J31" t="s">
        <v>143</v>
      </c>
      <c r="K31">
        <v>0.1</v>
      </c>
    </row>
    <row r="32" spans="1:32" x14ac:dyDescent="0.3">
      <c r="A32" s="19" t="s">
        <v>13</v>
      </c>
      <c r="J32" t="s">
        <v>304</v>
      </c>
      <c r="K32">
        <v>2.27</v>
      </c>
    </row>
    <row r="33" spans="1:11" x14ac:dyDescent="0.3">
      <c r="A33" s="19" t="s">
        <v>13</v>
      </c>
      <c r="J33" t="s">
        <v>156</v>
      </c>
      <c r="K33">
        <v>3.9699999999999998</v>
      </c>
    </row>
    <row r="36" spans="1:11" x14ac:dyDescent="0.3">
      <c r="A36" s="19" t="s">
        <v>14</v>
      </c>
      <c r="B36" t="s">
        <v>54</v>
      </c>
      <c r="C36">
        <v>0.15</v>
      </c>
      <c r="D36" t="s">
        <v>54</v>
      </c>
      <c r="E36">
        <v>0.98</v>
      </c>
      <c r="F36" t="s">
        <v>54</v>
      </c>
      <c r="G36">
        <v>1.57</v>
      </c>
      <c r="H36" s="18" t="s">
        <v>54</v>
      </c>
      <c r="I36">
        <v>0.28000000000000003</v>
      </c>
      <c r="J36" t="s">
        <v>54</v>
      </c>
      <c r="K36">
        <v>1.35</v>
      </c>
    </row>
    <row r="37" spans="1:11" x14ac:dyDescent="0.3">
      <c r="A37" s="19" t="s">
        <v>14</v>
      </c>
      <c r="B37" t="s">
        <v>143</v>
      </c>
      <c r="C37">
        <v>2.6799999999999997</v>
      </c>
      <c r="D37" t="s">
        <v>304</v>
      </c>
      <c r="E37">
        <v>0.18</v>
      </c>
      <c r="F37" t="s">
        <v>143</v>
      </c>
      <c r="G37">
        <v>0.45</v>
      </c>
      <c r="H37" s="18" t="s">
        <v>304</v>
      </c>
      <c r="I37">
        <v>5.41</v>
      </c>
      <c r="J37" t="s">
        <v>304</v>
      </c>
      <c r="K37">
        <v>4.05</v>
      </c>
    </row>
    <row r="38" spans="1:11" x14ac:dyDescent="0.3">
      <c r="A38" s="19" t="s">
        <v>14</v>
      </c>
      <c r="B38" t="s">
        <v>304</v>
      </c>
      <c r="C38">
        <v>2.3199999999999998</v>
      </c>
      <c r="D38" t="s">
        <v>156</v>
      </c>
      <c r="E38">
        <v>6.9700000000000006</v>
      </c>
      <c r="F38" t="s">
        <v>304</v>
      </c>
      <c r="G38">
        <v>2.91</v>
      </c>
      <c r="H38" s="18" t="s">
        <v>156</v>
      </c>
      <c r="I38">
        <v>2.2999999999999998</v>
      </c>
      <c r="J38" t="s">
        <v>156</v>
      </c>
      <c r="K38">
        <v>2.6</v>
      </c>
    </row>
    <row r="39" spans="1:11" x14ac:dyDescent="0.3">
      <c r="A39" s="19" t="s">
        <v>14</v>
      </c>
      <c r="B39" t="s">
        <v>156</v>
      </c>
      <c r="C39">
        <v>2.83</v>
      </c>
      <c r="F39" t="s">
        <v>156</v>
      </c>
      <c r="G39">
        <v>3.02</v>
      </c>
    </row>
    <row r="42" spans="1:11" x14ac:dyDescent="0.3">
      <c r="A42" s="19" t="s">
        <v>15</v>
      </c>
      <c r="B42" t="s">
        <v>137</v>
      </c>
      <c r="C42">
        <v>0.9</v>
      </c>
      <c r="D42" t="s">
        <v>137</v>
      </c>
      <c r="E42">
        <v>1.45</v>
      </c>
      <c r="F42" t="s">
        <v>54</v>
      </c>
      <c r="G42">
        <v>1.98</v>
      </c>
      <c r="H42" s="18" t="s">
        <v>304</v>
      </c>
      <c r="I42">
        <v>2.2199999999999998</v>
      </c>
      <c r="J42" t="s">
        <v>54</v>
      </c>
      <c r="K42">
        <v>1.73</v>
      </c>
    </row>
    <row r="43" spans="1:11" x14ac:dyDescent="0.3">
      <c r="A43" s="19" t="s">
        <v>15</v>
      </c>
      <c r="B43" t="s">
        <v>54</v>
      </c>
      <c r="C43">
        <v>1.1500000000000001</v>
      </c>
      <c r="D43" t="s">
        <v>54</v>
      </c>
      <c r="E43">
        <v>2.1</v>
      </c>
      <c r="F43" t="s">
        <v>304</v>
      </c>
      <c r="G43">
        <v>2.38</v>
      </c>
      <c r="H43" s="18" t="s">
        <v>156</v>
      </c>
      <c r="I43">
        <v>5.85</v>
      </c>
      <c r="J43" t="s">
        <v>304</v>
      </c>
      <c r="K43">
        <v>1.9</v>
      </c>
    </row>
    <row r="44" spans="1:11" x14ac:dyDescent="0.3">
      <c r="A44" s="19" t="s">
        <v>15</v>
      </c>
      <c r="B44" t="s">
        <v>143</v>
      </c>
      <c r="C44">
        <v>1.33</v>
      </c>
      <c r="D44" t="s">
        <v>304</v>
      </c>
      <c r="E44">
        <v>1.6</v>
      </c>
      <c r="F44" t="s">
        <v>156</v>
      </c>
      <c r="G44">
        <v>3.6400000000000006</v>
      </c>
      <c r="J44" t="s">
        <v>156</v>
      </c>
      <c r="K44">
        <v>4.38</v>
      </c>
    </row>
    <row r="45" spans="1:11" x14ac:dyDescent="0.3">
      <c r="A45" s="19" t="s">
        <v>15</v>
      </c>
      <c r="B45" t="s">
        <v>304</v>
      </c>
      <c r="C45">
        <v>2.0699999999999998</v>
      </c>
      <c r="D45" t="s">
        <v>156</v>
      </c>
      <c r="E45">
        <v>2.8000000000000003</v>
      </c>
    </row>
    <row r="46" spans="1:11" x14ac:dyDescent="0.3">
      <c r="A46" s="19" t="s">
        <v>15</v>
      </c>
      <c r="B46" t="s">
        <v>156</v>
      </c>
      <c r="C46">
        <v>2.57</v>
      </c>
    </row>
    <row r="49" spans="1:11" x14ac:dyDescent="0.3">
      <c r="A49" s="19" t="s">
        <v>16</v>
      </c>
      <c r="B49" t="s">
        <v>54</v>
      </c>
      <c r="C49">
        <v>1.42</v>
      </c>
      <c r="D49" t="s">
        <v>54</v>
      </c>
      <c r="E49">
        <v>0.46</v>
      </c>
      <c r="F49" t="s">
        <v>54</v>
      </c>
      <c r="G49">
        <v>0.42</v>
      </c>
      <c r="H49" s="18" t="s">
        <v>304</v>
      </c>
      <c r="I49">
        <v>5.72</v>
      </c>
      <c r="J49" t="s">
        <v>54</v>
      </c>
      <c r="K49">
        <v>1.1000000000000001</v>
      </c>
    </row>
    <row r="50" spans="1:11" x14ac:dyDescent="0.3">
      <c r="A50" s="19" t="s">
        <v>16</v>
      </c>
      <c r="B50" t="s">
        <v>304</v>
      </c>
      <c r="C50">
        <v>4.18</v>
      </c>
      <c r="D50" t="s">
        <v>304</v>
      </c>
      <c r="E50">
        <v>4.51</v>
      </c>
      <c r="F50" t="s">
        <v>304</v>
      </c>
      <c r="G50">
        <v>6.0200000000000005</v>
      </c>
      <c r="H50" s="18" t="s">
        <v>156</v>
      </c>
      <c r="I50">
        <v>2.3200000000000003</v>
      </c>
      <c r="J50" t="s">
        <v>304</v>
      </c>
      <c r="K50">
        <v>2.4900000000000002</v>
      </c>
    </row>
    <row r="51" spans="1:11" x14ac:dyDescent="0.3">
      <c r="A51" s="19" t="s">
        <v>16</v>
      </c>
      <c r="B51" t="s">
        <v>156</v>
      </c>
      <c r="C51">
        <v>2.1800000000000002</v>
      </c>
      <c r="D51" t="s">
        <v>156</v>
      </c>
      <c r="E51">
        <v>3.3299999999999996</v>
      </c>
      <c r="F51" t="s">
        <v>156</v>
      </c>
      <c r="G51">
        <v>1.44</v>
      </c>
      <c r="J51" t="s">
        <v>156</v>
      </c>
      <c r="K51">
        <v>4.41</v>
      </c>
    </row>
    <row r="54" spans="1:11" x14ac:dyDescent="0.3">
      <c r="A54" s="19" t="s">
        <v>18</v>
      </c>
      <c r="B54" t="s">
        <v>137</v>
      </c>
      <c r="C54">
        <v>1.5499999999999998</v>
      </c>
      <c r="D54" t="s">
        <v>137</v>
      </c>
      <c r="E54">
        <v>1.42</v>
      </c>
      <c r="F54" t="s">
        <v>304</v>
      </c>
      <c r="G54">
        <v>4.12</v>
      </c>
      <c r="H54" s="18" t="s">
        <v>54</v>
      </c>
      <c r="I54">
        <v>8</v>
      </c>
      <c r="J54" t="s">
        <v>54</v>
      </c>
      <c r="K54">
        <v>8</v>
      </c>
    </row>
    <row r="55" spans="1:11" x14ac:dyDescent="0.3">
      <c r="A55" s="19" t="s">
        <v>18</v>
      </c>
      <c r="B55" t="s">
        <v>54</v>
      </c>
      <c r="C55">
        <v>0.73</v>
      </c>
      <c r="D55" t="s">
        <v>304</v>
      </c>
      <c r="E55">
        <v>3.6799999999999997</v>
      </c>
      <c r="F55" t="s">
        <v>156</v>
      </c>
      <c r="G55">
        <v>4.29</v>
      </c>
    </row>
    <row r="56" spans="1:11" x14ac:dyDescent="0.3">
      <c r="A56" s="19" t="s">
        <v>18</v>
      </c>
      <c r="B56" t="s">
        <v>143</v>
      </c>
      <c r="C56">
        <v>3.28</v>
      </c>
      <c r="D56" t="s">
        <v>156</v>
      </c>
      <c r="E56">
        <v>2.9699999999999998</v>
      </c>
    </row>
    <row r="57" spans="1:11" x14ac:dyDescent="0.3">
      <c r="A57" s="19" t="s">
        <v>18</v>
      </c>
      <c r="B57" t="s">
        <v>156</v>
      </c>
      <c r="C57">
        <v>2.5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69AEED-45E0-4901-AC35-128553B5AF2A}">
          <x14:formula1>
            <xm:f>'Client Name'!$A:$A</xm:f>
          </x14:formula1>
          <xm:sqref>J4:J26 F4:F26 H4:H26 D4:D26 B4:B26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F2578-E157-4FFC-AADB-F27952CB165A}">
  <sheetPr codeName="Sheet23"/>
  <dimension ref="A1:AF546"/>
  <sheetViews>
    <sheetView topLeftCell="H1" zoomScaleNormal="100" workbookViewId="0">
      <selection activeCell="R15" sqref="R15"/>
    </sheetView>
  </sheetViews>
  <sheetFormatPr defaultRowHeight="14.4" x14ac:dyDescent="0.3"/>
  <cols>
    <col min="1" max="1" width="9.109375" style="19"/>
    <col min="2" max="2" width="26.88671875" bestFit="1" customWidth="1"/>
    <col min="3" max="3" width="7.6640625" style="70" bestFit="1" customWidth="1"/>
    <col min="4" max="4" width="26.88671875" bestFit="1" customWidth="1"/>
    <col min="5" max="5" width="7.6640625" style="70" bestFit="1" customWidth="1"/>
    <col min="6" max="6" width="26.88671875" customWidth="1"/>
    <col min="7" max="7" width="7.6640625" style="70" bestFit="1" customWidth="1"/>
    <col min="8" max="8" width="26.88671875" style="18" customWidth="1"/>
    <col min="9" max="9" width="7.6640625" style="70" bestFit="1" customWidth="1"/>
    <col min="10" max="10" width="26.88671875" bestFit="1" customWidth="1"/>
    <col min="11" max="11" width="7.6640625" style="70" bestFit="1" customWidth="1"/>
    <col min="12" max="12" width="15.88671875" customWidth="1"/>
    <col min="15" max="15" width="27.5546875" customWidth="1"/>
    <col min="16" max="16" width="17.6640625" customWidth="1"/>
  </cols>
  <sheetData>
    <row r="1" spans="1:32" ht="37.200000000000003" customHeight="1" thickBot="1" x14ac:dyDescent="0.35">
      <c r="A1" s="47" t="s">
        <v>3051</v>
      </c>
      <c r="B1" s="48" t="s">
        <v>28</v>
      </c>
      <c r="C1" s="66"/>
      <c r="D1" s="14"/>
      <c r="E1" s="66"/>
      <c r="F1" s="14"/>
      <c r="G1" s="66"/>
      <c r="H1" s="4"/>
      <c r="I1" s="66"/>
      <c r="J1" s="14"/>
      <c r="K1" s="66"/>
      <c r="L1" s="1" t="s">
        <v>3144</v>
      </c>
      <c r="M1">
        <v>152.80000000000001</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67"/>
      <c r="D2" s="4"/>
      <c r="E2" s="67"/>
      <c r="F2" s="4"/>
      <c r="G2" s="67"/>
      <c r="H2" s="4"/>
      <c r="I2" s="67"/>
      <c r="J2" s="14"/>
      <c r="K2" s="67"/>
      <c r="O2" t="s">
        <v>40</v>
      </c>
      <c r="P2">
        <v>0</v>
      </c>
      <c r="R2">
        <v>0</v>
      </c>
      <c r="S2">
        <v>0</v>
      </c>
      <c r="T2">
        <v>0</v>
      </c>
      <c r="U2">
        <v>0</v>
      </c>
      <c r="Y2" t="s">
        <v>40</v>
      </c>
      <c r="Z2">
        <v>7.82</v>
      </c>
      <c r="AB2">
        <v>0.15</v>
      </c>
      <c r="AC2">
        <v>2.16</v>
      </c>
      <c r="AD2">
        <v>1.78</v>
      </c>
      <c r="AE2">
        <v>1.75</v>
      </c>
      <c r="AF2">
        <v>1.98</v>
      </c>
    </row>
    <row r="3" spans="1:32" x14ac:dyDescent="0.3">
      <c r="A3" s="2"/>
      <c r="B3" s="2" t="s">
        <v>378</v>
      </c>
      <c r="C3" s="68"/>
      <c r="D3" s="2" t="s">
        <v>576</v>
      </c>
      <c r="E3" s="68"/>
      <c r="F3" s="2" t="s">
        <v>747</v>
      </c>
      <c r="G3" s="68"/>
      <c r="H3" s="4" t="s">
        <v>897</v>
      </c>
      <c r="I3" s="68"/>
      <c r="J3" s="14" t="s">
        <v>33</v>
      </c>
      <c r="O3" t="s">
        <v>358</v>
      </c>
      <c r="P3">
        <v>12</v>
      </c>
      <c r="R3">
        <v>3</v>
      </c>
      <c r="S3">
        <v>3</v>
      </c>
      <c r="T3">
        <v>3</v>
      </c>
      <c r="U3">
        <v>3</v>
      </c>
      <c r="Y3" t="s">
        <v>358</v>
      </c>
      <c r="Z3">
        <v>0</v>
      </c>
      <c r="AB3">
        <v>0</v>
      </c>
      <c r="AC3">
        <v>0</v>
      </c>
      <c r="AD3">
        <v>0</v>
      </c>
      <c r="AE3">
        <v>0</v>
      </c>
      <c r="AF3">
        <v>0</v>
      </c>
    </row>
    <row r="4" spans="1:32" x14ac:dyDescent="0.3">
      <c r="A4" s="2" t="s">
        <v>13</v>
      </c>
      <c r="B4" s="5" t="s">
        <v>42</v>
      </c>
      <c r="C4" s="69">
        <v>1</v>
      </c>
      <c r="D4" s="51" t="s">
        <v>42</v>
      </c>
      <c r="E4" s="69">
        <v>0.5</v>
      </c>
      <c r="F4" s="51" t="s">
        <v>42</v>
      </c>
      <c r="G4" s="69">
        <v>0.5</v>
      </c>
      <c r="H4" s="5" t="s">
        <v>42</v>
      </c>
      <c r="I4" s="69">
        <v>1</v>
      </c>
      <c r="J4" s="5" t="s">
        <v>42</v>
      </c>
      <c r="K4" s="69">
        <v>1</v>
      </c>
      <c r="O4" t="s">
        <v>582</v>
      </c>
      <c r="P4">
        <v>2</v>
      </c>
      <c r="R4">
        <v>1</v>
      </c>
      <c r="S4">
        <v>0</v>
      </c>
      <c r="T4">
        <v>1</v>
      </c>
      <c r="U4">
        <v>0</v>
      </c>
      <c r="Y4" t="s">
        <v>582</v>
      </c>
      <c r="Z4">
        <v>0.84</v>
      </c>
      <c r="AB4">
        <v>0</v>
      </c>
      <c r="AC4">
        <v>0.42</v>
      </c>
      <c r="AD4">
        <v>0</v>
      </c>
      <c r="AE4">
        <v>0.42</v>
      </c>
      <c r="AF4">
        <v>0</v>
      </c>
    </row>
    <row r="5" spans="1:32" x14ac:dyDescent="0.3">
      <c r="A5" s="2" t="s">
        <v>13</v>
      </c>
      <c r="B5" s="5" t="s">
        <v>39</v>
      </c>
      <c r="C5" s="69">
        <v>1</v>
      </c>
      <c r="D5" s="15" t="s">
        <v>37</v>
      </c>
      <c r="E5" s="69">
        <v>1</v>
      </c>
      <c r="F5" s="71" t="s">
        <v>52</v>
      </c>
      <c r="G5" s="72">
        <v>2</v>
      </c>
      <c r="H5" s="5" t="s">
        <v>44</v>
      </c>
      <c r="I5" s="69">
        <v>1</v>
      </c>
      <c r="J5" s="5" t="s">
        <v>62</v>
      </c>
      <c r="K5" s="70">
        <v>1</v>
      </c>
      <c r="O5" t="s">
        <v>54</v>
      </c>
      <c r="P5">
        <v>18</v>
      </c>
      <c r="R5">
        <v>4.5</v>
      </c>
      <c r="S5">
        <v>4.5</v>
      </c>
      <c r="T5">
        <v>4.5</v>
      </c>
      <c r="U5">
        <v>4.5</v>
      </c>
      <c r="Y5" t="s">
        <v>54</v>
      </c>
      <c r="Z5">
        <v>42.089999999999996</v>
      </c>
      <c r="AB5">
        <v>1.63</v>
      </c>
      <c r="AC5">
        <v>11.219999999999999</v>
      </c>
      <c r="AD5">
        <v>4.71</v>
      </c>
      <c r="AE5">
        <v>6.23</v>
      </c>
      <c r="AF5">
        <v>18.299999999999997</v>
      </c>
    </row>
    <row r="6" spans="1:32" x14ac:dyDescent="0.3">
      <c r="A6" s="2" t="s">
        <v>13</v>
      </c>
      <c r="B6" s="5" t="s">
        <v>48</v>
      </c>
      <c r="C6" s="69">
        <v>0.5</v>
      </c>
      <c r="D6" s="51" t="s">
        <v>44</v>
      </c>
      <c r="E6" s="69">
        <v>1</v>
      </c>
      <c r="F6" s="15" t="s">
        <v>62</v>
      </c>
      <c r="G6" s="69">
        <v>1</v>
      </c>
      <c r="H6" s="15" t="s">
        <v>358</v>
      </c>
      <c r="I6" s="69">
        <v>1</v>
      </c>
      <c r="J6" s="29" t="s">
        <v>30</v>
      </c>
      <c r="K6" s="70">
        <v>0.7</v>
      </c>
      <c r="O6" t="s">
        <v>45</v>
      </c>
      <c r="P6">
        <v>2</v>
      </c>
      <c r="R6">
        <v>0.5</v>
      </c>
      <c r="S6">
        <v>0.5</v>
      </c>
      <c r="T6">
        <v>0</v>
      </c>
      <c r="U6">
        <v>1</v>
      </c>
      <c r="Y6" t="s">
        <v>45</v>
      </c>
      <c r="Z6">
        <v>1.51</v>
      </c>
      <c r="AB6">
        <v>0.32</v>
      </c>
      <c r="AC6">
        <v>0.46</v>
      </c>
      <c r="AD6">
        <v>0.08</v>
      </c>
      <c r="AE6">
        <v>0.65</v>
      </c>
      <c r="AF6">
        <v>0</v>
      </c>
    </row>
    <row r="7" spans="1:32" x14ac:dyDescent="0.3">
      <c r="A7" s="2" t="s">
        <v>13</v>
      </c>
      <c r="B7" s="5" t="s">
        <v>358</v>
      </c>
      <c r="C7" s="69">
        <v>1</v>
      </c>
      <c r="D7" s="51" t="s">
        <v>358</v>
      </c>
      <c r="E7" s="69">
        <v>1</v>
      </c>
      <c r="F7" s="5" t="s">
        <v>30</v>
      </c>
      <c r="G7" s="69">
        <v>1</v>
      </c>
      <c r="H7" s="15" t="s">
        <v>748</v>
      </c>
      <c r="I7" s="69">
        <v>0.5</v>
      </c>
      <c r="J7" s="5" t="s">
        <v>49</v>
      </c>
      <c r="K7" s="70">
        <v>2.6</v>
      </c>
      <c r="O7" t="s">
        <v>37</v>
      </c>
      <c r="P7">
        <v>3</v>
      </c>
      <c r="R7">
        <v>3</v>
      </c>
      <c r="S7">
        <v>0</v>
      </c>
      <c r="T7">
        <v>0</v>
      </c>
      <c r="U7">
        <v>0</v>
      </c>
      <c r="Y7" t="s">
        <v>37</v>
      </c>
      <c r="Z7">
        <v>1.6400000000000001</v>
      </c>
      <c r="AB7">
        <v>0.95000000000000007</v>
      </c>
      <c r="AC7">
        <v>0.17</v>
      </c>
      <c r="AD7">
        <v>0.22</v>
      </c>
      <c r="AE7">
        <v>0</v>
      </c>
      <c r="AF7">
        <v>0.3</v>
      </c>
    </row>
    <row r="8" spans="1:32" x14ac:dyDescent="0.3">
      <c r="A8" s="2" t="s">
        <v>13</v>
      </c>
      <c r="B8" s="5" t="s">
        <v>30</v>
      </c>
      <c r="C8" s="69">
        <v>1</v>
      </c>
      <c r="D8" s="15" t="s">
        <v>30</v>
      </c>
      <c r="E8" s="69">
        <v>1</v>
      </c>
      <c r="F8" s="15" t="s">
        <v>582</v>
      </c>
      <c r="G8" s="69">
        <v>1</v>
      </c>
      <c r="H8" s="5" t="s">
        <v>1088</v>
      </c>
      <c r="I8" s="69">
        <v>1</v>
      </c>
      <c r="J8" s="29" t="s">
        <v>54</v>
      </c>
      <c r="K8" s="70">
        <v>1.5</v>
      </c>
      <c r="O8" t="s">
        <v>52</v>
      </c>
      <c r="P8">
        <v>2</v>
      </c>
      <c r="R8">
        <v>2</v>
      </c>
      <c r="S8">
        <v>0</v>
      </c>
      <c r="T8">
        <v>0</v>
      </c>
      <c r="U8">
        <v>0</v>
      </c>
      <c r="Y8" t="s">
        <v>52</v>
      </c>
      <c r="Z8">
        <v>1.01</v>
      </c>
      <c r="AB8">
        <v>0.88</v>
      </c>
      <c r="AC8">
        <v>0</v>
      </c>
      <c r="AD8">
        <v>0.08</v>
      </c>
      <c r="AE8">
        <v>0.05</v>
      </c>
      <c r="AF8">
        <v>0</v>
      </c>
    </row>
    <row r="9" spans="1:32" x14ac:dyDescent="0.3">
      <c r="A9" s="2" t="s">
        <v>13</v>
      </c>
      <c r="B9" s="5" t="s">
        <v>49</v>
      </c>
      <c r="C9" s="69">
        <v>2.6</v>
      </c>
      <c r="D9" s="15" t="s">
        <v>49</v>
      </c>
      <c r="E9" s="69">
        <v>2.6</v>
      </c>
      <c r="F9" s="15" t="s">
        <v>49</v>
      </c>
      <c r="G9" s="69">
        <v>2.6</v>
      </c>
      <c r="H9" s="5" t="s">
        <v>30</v>
      </c>
      <c r="I9" s="69">
        <v>1</v>
      </c>
      <c r="J9" s="29" t="s">
        <v>37</v>
      </c>
      <c r="K9" s="70">
        <v>2</v>
      </c>
      <c r="O9" t="s">
        <v>49</v>
      </c>
      <c r="P9">
        <v>52</v>
      </c>
      <c r="R9">
        <v>13</v>
      </c>
      <c r="S9">
        <v>13</v>
      </c>
      <c r="T9">
        <v>13</v>
      </c>
      <c r="U9">
        <v>13</v>
      </c>
      <c r="Y9" t="s">
        <v>49</v>
      </c>
      <c r="Z9">
        <v>27.790000000000006</v>
      </c>
      <c r="AB9">
        <v>1.3399999999999999</v>
      </c>
      <c r="AC9">
        <v>5.29</v>
      </c>
      <c r="AD9">
        <v>8.01</v>
      </c>
      <c r="AE9">
        <v>9.9800000000000022</v>
      </c>
      <c r="AF9">
        <v>3.17</v>
      </c>
    </row>
    <row r="10" spans="1:32" x14ac:dyDescent="0.3">
      <c r="A10" s="2" t="s">
        <v>13</v>
      </c>
      <c r="B10" s="5" t="s">
        <v>54</v>
      </c>
      <c r="C10" s="69">
        <v>1</v>
      </c>
      <c r="D10" s="15" t="s">
        <v>54</v>
      </c>
      <c r="E10" s="69">
        <v>1</v>
      </c>
      <c r="F10" s="15" t="s">
        <v>54</v>
      </c>
      <c r="G10" s="69">
        <v>0.5</v>
      </c>
      <c r="H10" s="5" t="s">
        <v>49</v>
      </c>
      <c r="I10" s="69">
        <v>2.6</v>
      </c>
      <c r="J10" s="29"/>
      <c r="O10" t="s">
        <v>1088</v>
      </c>
      <c r="P10">
        <v>1</v>
      </c>
      <c r="R10">
        <v>1</v>
      </c>
      <c r="S10">
        <v>0</v>
      </c>
      <c r="T10">
        <v>0</v>
      </c>
      <c r="U10">
        <v>0</v>
      </c>
      <c r="Y10" t="s">
        <v>1088</v>
      </c>
      <c r="Z10">
        <v>0.37</v>
      </c>
      <c r="AB10">
        <v>0</v>
      </c>
      <c r="AC10">
        <v>0.37</v>
      </c>
      <c r="AD10">
        <v>0</v>
      </c>
      <c r="AE10">
        <v>0</v>
      </c>
      <c r="AF10">
        <v>0</v>
      </c>
    </row>
    <row r="11" spans="1:32" x14ac:dyDescent="0.3">
      <c r="A11" s="2" t="s">
        <v>13</v>
      </c>
      <c r="B11" s="5"/>
      <c r="C11" s="69"/>
      <c r="D11" s="15"/>
      <c r="E11" s="69"/>
      <c r="F11" s="15" t="s">
        <v>45</v>
      </c>
      <c r="G11" s="69">
        <v>0.5</v>
      </c>
      <c r="H11" s="5" t="s">
        <v>54</v>
      </c>
      <c r="I11" s="69">
        <v>0.5</v>
      </c>
      <c r="J11" s="29"/>
      <c r="O11" t="s">
        <v>61</v>
      </c>
      <c r="P11">
        <v>2</v>
      </c>
      <c r="R11">
        <v>0</v>
      </c>
      <c r="S11">
        <v>0</v>
      </c>
      <c r="T11">
        <v>0</v>
      </c>
      <c r="U11">
        <v>2</v>
      </c>
      <c r="Y11" t="s">
        <v>61</v>
      </c>
      <c r="Z11">
        <v>7.03</v>
      </c>
      <c r="AB11">
        <v>0.47</v>
      </c>
      <c r="AC11">
        <v>2.41</v>
      </c>
      <c r="AD11">
        <v>0.33000000000000007</v>
      </c>
      <c r="AE11">
        <v>0.64</v>
      </c>
      <c r="AF11">
        <v>3.18</v>
      </c>
    </row>
    <row r="12" spans="1:32" x14ac:dyDescent="0.3">
      <c r="A12" s="2"/>
      <c r="B12" s="5"/>
      <c r="C12" s="69"/>
      <c r="D12" s="15"/>
      <c r="E12" s="69"/>
      <c r="F12" s="3"/>
      <c r="G12" s="69"/>
      <c r="H12" s="5"/>
      <c r="I12" s="69"/>
      <c r="J12" s="29"/>
      <c r="O12" t="s">
        <v>748</v>
      </c>
      <c r="P12">
        <v>2</v>
      </c>
      <c r="R12">
        <v>0.5</v>
      </c>
      <c r="S12">
        <v>0.5</v>
      </c>
      <c r="T12">
        <v>0.5</v>
      </c>
      <c r="U12">
        <v>0.5</v>
      </c>
      <c r="Y12" t="s">
        <v>748</v>
      </c>
      <c r="Z12">
        <v>0.60000000000000009</v>
      </c>
      <c r="AB12">
        <v>0</v>
      </c>
      <c r="AC12">
        <v>0.4</v>
      </c>
      <c r="AD12">
        <v>0.2</v>
      </c>
      <c r="AE12">
        <v>0</v>
      </c>
      <c r="AF12">
        <v>0</v>
      </c>
    </row>
    <row r="13" spans="1:32" x14ac:dyDescent="0.3">
      <c r="A13" s="2"/>
      <c r="B13" s="3"/>
      <c r="C13" s="69"/>
      <c r="D13" s="3"/>
      <c r="E13" s="69"/>
      <c r="F13" s="3"/>
      <c r="G13" s="69"/>
      <c r="H13" s="15"/>
      <c r="I13" s="69"/>
      <c r="J13" s="29"/>
      <c r="O13" t="s">
        <v>62</v>
      </c>
      <c r="P13">
        <v>8</v>
      </c>
      <c r="R13">
        <v>2</v>
      </c>
      <c r="S13">
        <v>2</v>
      </c>
      <c r="T13">
        <v>2</v>
      </c>
      <c r="U13">
        <v>2</v>
      </c>
      <c r="Y13" t="s">
        <v>62</v>
      </c>
      <c r="Z13">
        <v>2.7</v>
      </c>
      <c r="AB13">
        <v>0.13</v>
      </c>
      <c r="AC13">
        <v>0.18</v>
      </c>
      <c r="AD13">
        <v>1.3</v>
      </c>
      <c r="AE13">
        <v>0.36</v>
      </c>
      <c r="AF13">
        <v>0.73</v>
      </c>
    </row>
    <row r="14" spans="1:32" x14ac:dyDescent="0.3">
      <c r="A14" s="2" t="s">
        <v>14</v>
      </c>
      <c r="B14" s="5" t="s">
        <v>42</v>
      </c>
      <c r="C14" s="69">
        <v>1</v>
      </c>
      <c r="D14" s="51" t="s">
        <v>42</v>
      </c>
      <c r="E14" s="69">
        <v>0.5</v>
      </c>
      <c r="F14" s="5" t="s">
        <v>42</v>
      </c>
      <c r="G14" s="69">
        <v>0.5</v>
      </c>
      <c r="H14" s="5" t="s">
        <v>42</v>
      </c>
      <c r="I14" s="69">
        <v>1</v>
      </c>
      <c r="J14" s="5" t="s">
        <v>42</v>
      </c>
      <c r="K14" s="69">
        <v>1</v>
      </c>
      <c r="O14" t="s">
        <v>44</v>
      </c>
      <c r="P14">
        <v>8</v>
      </c>
      <c r="R14">
        <v>2</v>
      </c>
      <c r="S14">
        <v>2</v>
      </c>
      <c r="T14">
        <v>2</v>
      </c>
      <c r="U14">
        <v>2</v>
      </c>
      <c r="Y14" t="s">
        <v>44</v>
      </c>
      <c r="Z14">
        <v>12.8</v>
      </c>
      <c r="AB14">
        <v>0.25</v>
      </c>
      <c r="AC14">
        <v>1.89</v>
      </c>
      <c r="AD14">
        <v>4.8099999999999996</v>
      </c>
      <c r="AE14">
        <v>3.81</v>
      </c>
      <c r="AF14">
        <v>2.04</v>
      </c>
    </row>
    <row r="15" spans="1:32" x14ac:dyDescent="0.3">
      <c r="A15" s="2" t="s">
        <v>14</v>
      </c>
      <c r="B15" s="5" t="s">
        <v>39</v>
      </c>
      <c r="C15" s="69">
        <v>1</v>
      </c>
      <c r="D15" s="15" t="s">
        <v>44</v>
      </c>
      <c r="E15" s="69">
        <v>1</v>
      </c>
      <c r="F15" s="71" t="s">
        <v>45</v>
      </c>
      <c r="G15" s="72">
        <v>0.5</v>
      </c>
      <c r="H15" s="5" t="s">
        <v>44</v>
      </c>
      <c r="I15" s="69">
        <v>1</v>
      </c>
      <c r="J15" s="5" t="s">
        <v>62</v>
      </c>
      <c r="K15" s="70">
        <v>1</v>
      </c>
      <c r="O15" t="s">
        <v>30</v>
      </c>
      <c r="P15">
        <v>18.8</v>
      </c>
      <c r="R15">
        <v>4.7</v>
      </c>
      <c r="S15">
        <v>4.7</v>
      </c>
      <c r="T15">
        <v>4.7</v>
      </c>
      <c r="U15">
        <v>4.7</v>
      </c>
      <c r="Y15" t="s">
        <v>30</v>
      </c>
      <c r="Z15">
        <v>21.780000000000005</v>
      </c>
      <c r="AB15">
        <v>0.1</v>
      </c>
      <c r="AC15">
        <v>6.5100000000000007</v>
      </c>
      <c r="AD15">
        <v>8.2900000000000009</v>
      </c>
      <c r="AE15">
        <v>6.15</v>
      </c>
      <c r="AF15">
        <v>0.73</v>
      </c>
    </row>
    <row r="16" spans="1:32" x14ac:dyDescent="0.3">
      <c r="A16" s="2" t="s">
        <v>14</v>
      </c>
      <c r="B16" s="5" t="s">
        <v>48</v>
      </c>
      <c r="C16" s="69">
        <v>0.5</v>
      </c>
      <c r="D16" s="51" t="s">
        <v>358</v>
      </c>
      <c r="E16" s="69">
        <v>1</v>
      </c>
      <c r="F16" s="15" t="s">
        <v>62</v>
      </c>
      <c r="G16" s="69">
        <v>1</v>
      </c>
      <c r="H16" s="15" t="s">
        <v>358</v>
      </c>
      <c r="I16" s="69">
        <v>1</v>
      </c>
      <c r="J16" s="29" t="s">
        <v>30</v>
      </c>
      <c r="K16" s="70">
        <v>0.7</v>
      </c>
      <c r="O16" t="s">
        <v>42</v>
      </c>
      <c r="P16">
        <v>16</v>
      </c>
      <c r="R16">
        <v>4</v>
      </c>
      <c r="S16">
        <v>4</v>
      </c>
      <c r="T16">
        <v>4</v>
      </c>
      <c r="U16">
        <v>4</v>
      </c>
      <c r="Y16" t="s">
        <v>42</v>
      </c>
      <c r="Z16">
        <v>19.939999999999998</v>
      </c>
      <c r="AB16">
        <v>0.64</v>
      </c>
      <c r="AC16">
        <v>4.67</v>
      </c>
      <c r="AD16">
        <v>6.01</v>
      </c>
      <c r="AE16">
        <v>4.2599999999999989</v>
      </c>
      <c r="AF16">
        <v>4.3600000000000003</v>
      </c>
    </row>
    <row r="17" spans="1:32" x14ac:dyDescent="0.3">
      <c r="A17" s="2" t="s">
        <v>14</v>
      </c>
      <c r="B17" s="5" t="s">
        <v>358</v>
      </c>
      <c r="C17" s="69">
        <v>1</v>
      </c>
      <c r="D17" s="51" t="s">
        <v>30</v>
      </c>
      <c r="E17" s="69">
        <v>1</v>
      </c>
      <c r="F17" s="5" t="s">
        <v>30</v>
      </c>
      <c r="G17" s="69">
        <v>1</v>
      </c>
      <c r="H17" s="15" t="s">
        <v>748</v>
      </c>
      <c r="I17" s="69">
        <v>0.5</v>
      </c>
      <c r="J17" s="5" t="s">
        <v>49</v>
      </c>
      <c r="K17" s="70">
        <v>2.6</v>
      </c>
      <c r="O17" t="s">
        <v>39</v>
      </c>
      <c r="P17">
        <v>4</v>
      </c>
      <c r="R17">
        <v>1</v>
      </c>
      <c r="S17">
        <v>1</v>
      </c>
      <c r="T17">
        <v>1</v>
      </c>
      <c r="U17">
        <v>1</v>
      </c>
      <c r="Y17" t="s">
        <v>39</v>
      </c>
      <c r="Z17">
        <v>2.0700000000000003</v>
      </c>
      <c r="AB17">
        <v>0.12</v>
      </c>
      <c r="AC17">
        <v>0.27</v>
      </c>
      <c r="AD17">
        <v>0.44999999999999996</v>
      </c>
      <c r="AE17">
        <v>0.84000000000000008</v>
      </c>
      <c r="AF17">
        <v>0.39</v>
      </c>
    </row>
    <row r="18" spans="1:32" x14ac:dyDescent="0.3">
      <c r="A18" s="2" t="s">
        <v>14</v>
      </c>
      <c r="B18" s="5" t="s">
        <v>30</v>
      </c>
      <c r="C18" s="69">
        <v>1</v>
      </c>
      <c r="D18" s="15" t="s">
        <v>49</v>
      </c>
      <c r="E18" s="69">
        <v>2.6</v>
      </c>
      <c r="F18" s="3" t="s">
        <v>49</v>
      </c>
      <c r="G18" s="69">
        <v>2.6</v>
      </c>
      <c r="H18" s="5" t="s">
        <v>30</v>
      </c>
      <c r="I18" s="69">
        <v>1</v>
      </c>
      <c r="J18" s="29" t="s">
        <v>54</v>
      </c>
      <c r="K18" s="70">
        <v>1.5</v>
      </c>
      <c r="O18" t="s">
        <v>48</v>
      </c>
      <c r="P18">
        <v>2</v>
      </c>
      <c r="R18">
        <v>0.5</v>
      </c>
      <c r="S18">
        <v>0.5</v>
      </c>
      <c r="T18">
        <v>0.5</v>
      </c>
      <c r="U18">
        <v>0.5</v>
      </c>
      <c r="Y18" t="s">
        <v>48</v>
      </c>
      <c r="Z18">
        <v>9.9600000000000009</v>
      </c>
      <c r="AB18">
        <v>0.47</v>
      </c>
      <c r="AC18">
        <v>2.2300000000000004</v>
      </c>
      <c r="AD18">
        <v>1.9</v>
      </c>
      <c r="AE18">
        <v>3.63</v>
      </c>
      <c r="AF18">
        <v>1.73</v>
      </c>
    </row>
    <row r="19" spans="1:32" x14ac:dyDescent="0.3">
      <c r="A19" s="2" t="s">
        <v>14</v>
      </c>
      <c r="B19" s="5" t="s">
        <v>49</v>
      </c>
      <c r="C19" s="69">
        <v>2.6</v>
      </c>
      <c r="D19" s="15" t="s">
        <v>54</v>
      </c>
      <c r="E19" s="69">
        <v>1</v>
      </c>
      <c r="F19" s="15" t="s">
        <v>54</v>
      </c>
      <c r="G19" s="69">
        <v>0.5</v>
      </c>
      <c r="H19" s="5" t="s">
        <v>49</v>
      </c>
      <c r="I19" s="69">
        <v>2.6</v>
      </c>
      <c r="J19" s="29"/>
      <c r="O19" t="s">
        <v>35</v>
      </c>
      <c r="P19">
        <v>0</v>
      </c>
      <c r="R19">
        <v>0</v>
      </c>
      <c r="S19">
        <v>0</v>
      </c>
      <c r="T19">
        <v>0</v>
      </c>
      <c r="U19">
        <v>0</v>
      </c>
      <c r="Y19" t="s">
        <v>35</v>
      </c>
      <c r="Z19">
        <v>8.09</v>
      </c>
      <c r="AB19">
        <v>0.56000000000000005</v>
      </c>
      <c r="AC19">
        <v>1.39</v>
      </c>
      <c r="AD19">
        <v>1.8099999999999998</v>
      </c>
      <c r="AE19">
        <v>1.2000000000000002</v>
      </c>
      <c r="AF19">
        <v>3.13</v>
      </c>
    </row>
    <row r="20" spans="1:32" x14ac:dyDescent="0.3">
      <c r="A20" s="2" t="s">
        <v>14</v>
      </c>
      <c r="B20" s="5" t="s">
        <v>54</v>
      </c>
      <c r="C20" s="69">
        <v>1</v>
      </c>
      <c r="D20" s="15"/>
      <c r="E20" s="69"/>
      <c r="F20" s="3"/>
      <c r="G20" s="69"/>
      <c r="H20" s="5" t="s">
        <v>54</v>
      </c>
      <c r="I20" s="69">
        <v>0.5</v>
      </c>
      <c r="J20" s="29"/>
    </row>
    <row r="21" spans="1:32" x14ac:dyDescent="0.3">
      <c r="A21" s="2"/>
      <c r="B21" s="5"/>
      <c r="C21" s="69"/>
      <c r="D21" s="15"/>
      <c r="E21" s="69"/>
      <c r="F21" s="3"/>
      <c r="G21" s="69"/>
      <c r="H21" s="5"/>
      <c r="I21" s="69"/>
      <c r="J21" s="29"/>
    </row>
    <row r="22" spans="1:32" x14ac:dyDescent="0.3">
      <c r="A22" s="2"/>
      <c r="B22" s="5"/>
      <c r="C22" s="69"/>
      <c r="D22" s="15"/>
      <c r="E22" s="69"/>
      <c r="F22" s="3"/>
      <c r="G22" s="69"/>
      <c r="H22" s="5"/>
      <c r="I22" s="69"/>
      <c r="J22" s="29"/>
    </row>
    <row r="23" spans="1:32" x14ac:dyDescent="0.3">
      <c r="A23" s="2" t="s">
        <v>15</v>
      </c>
      <c r="B23" s="5" t="s">
        <v>42</v>
      </c>
      <c r="C23" s="69">
        <v>1</v>
      </c>
      <c r="D23" s="5" t="s">
        <v>42</v>
      </c>
      <c r="E23" s="69">
        <v>0.5</v>
      </c>
      <c r="F23" s="5" t="s">
        <v>42</v>
      </c>
      <c r="G23" s="69">
        <v>0.5</v>
      </c>
      <c r="H23" s="5" t="s">
        <v>42</v>
      </c>
      <c r="I23" s="69">
        <v>1</v>
      </c>
      <c r="J23" s="5" t="s">
        <v>42</v>
      </c>
      <c r="K23" s="69">
        <v>1</v>
      </c>
    </row>
    <row r="24" spans="1:32" x14ac:dyDescent="0.3">
      <c r="A24" s="2" t="s">
        <v>15</v>
      </c>
      <c r="B24" s="5" t="s">
        <v>39</v>
      </c>
      <c r="C24" s="69">
        <v>1</v>
      </c>
      <c r="D24" s="15" t="s">
        <v>44</v>
      </c>
      <c r="E24" s="69">
        <v>1</v>
      </c>
      <c r="F24" s="5" t="s">
        <v>62</v>
      </c>
      <c r="G24" s="69">
        <v>1</v>
      </c>
      <c r="H24" s="5" t="s">
        <v>44</v>
      </c>
      <c r="I24" s="69">
        <v>1</v>
      </c>
      <c r="J24" s="5" t="s">
        <v>62</v>
      </c>
      <c r="K24" s="70">
        <v>1</v>
      </c>
    </row>
    <row r="25" spans="1:32" x14ac:dyDescent="0.3">
      <c r="A25" s="2" t="s">
        <v>15</v>
      </c>
      <c r="B25" s="5" t="s">
        <v>48</v>
      </c>
      <c r="C25" s="69">
        <v>0.5</v>
      </c>
      <c r="D25" s="51" t="s">
        <v>358</v>
      </c>
      <c r="E25" s="69">
        <v>1</v>
      </c>
      <c r="F25" s="15" t="s">
        <v>30</v>
      </c>
      <c r="G25" s="69">
        <v>1</v>
      </c>
      <c r="H25" s="15" t="s">
        <v>358</v>
      </c>
      <c r="I25" s="69">
        <v>1</v>
      </c>
      <c r="J25" s="29" t="s">
        <v>30</v>
      </c>
      <c r="K25" s="70">
        <v>0.7</v>
      </c>
    </row>
    <row r="26" spans="1:32" x14ac:dyDescent="0.3">
      <c r="A26" s="2" t="s">
        <v>15</v>
      </c>
      <c r="B26" s="5" t="s">
        <v>358</v>
      </c>
      <c r="C26" s="69">
        <v>1</v>
      </c>
      <c r="D26" s="51" t="s">
        <v>30</v>
      </c>
      <c r="E26" s="69">
        <v>1</v>
      </c>
      <c r="F26" s="5" t="s">
        <v>582</v>
      </c>
      <c r="G26" s="69">
        <v>1</v>
      </c>
      <c r="H26" s="15" t="s">
        <v>748</v>
      </c>
      <c r="I26" s="69">
        <v>0.5</v>
      </c>
      <c r="J26" s="5" t="s">
        <v>49</v>
      </c>
      <c r="K26" s="70">
        <v>2.6</v>
      </c>
    </row>
    <row r="27" spans="1:32" x14ac:dyDescent="0.3">
      <c r="A27" s="2" t="s">
        <v>15</v>
      </c>
      <c r="B27" s="5" t="s">
        <v>30</v>
      </c>
      <c r="C27" s="69">
        <v>1</v>
      </c>
      <c r="D27" s="15" t="s">
        <v>49</v>
      </c>
      <c r="E27" s="69">
        <v>2.6</v>
      </c>
      <c r="F27" s="3" t="s">
        <v>49</v>
      </c>
      <c r="G27" s="69">
        <v>2.6</v>
      </c>
      <c r="H27" s="5" t="s">
        <v>30</v>
      </c>
      <c r="I27" s="69">
        <v>1</v>
      </c>
      <c r="J27" s="29" t="s">
        <v>54</v>
      </c>
      <c r="K27" s="70">
        <v>1.5</v>
      </c>
    </row>
    <row r="28" spans="1:32" x14ac:dyDescent="0.3">
      <c r="A28" s="2" t="s">
        <v>15</v>
      </c>
      <c r="B28" s="5" t="s">
        <v>49</v>
      </c>
      <c r="C28" s="69">
        <v>2.6</v>
      </c>
      <c r="D28" s="15" t="s">
        <v>54</v>
      </c>
      <c r="E28" s="69">
        <v>1</v>
      </c>
      <c r="F28" s="3" t="s">
        <v>54</v>
      </c>
      <c r="G28" s="69">
        <v>0.5</v>
      </c>
      <c r="H28" s="5" t="s">
        <v>49</v>
      </c>
      <c r="I28" s="69">
        <v>2.6</v>
      </c>
      <c r="J28" s="29"/>
    </row>
    <row r="29" spans="1:32" x14ac:dyDescent="0.3">
      <c r="A29" s="2" t="s">
        <v>15</v>
      </c>
      <c r="B29" s="5" t="s">
        <v>54</v>
      </c>
      <c r="C29" s="69">
        <v>1</v>
      </c>
      <c r="D29" s="15"/>
      <c r="E29" s="69"/>
      <c r="F29" s="3"/>
      <c r="G29" s="69"/>
      <c r="H29" s="5" t="s">
        <v>54</v>
      </c>
      <c r="I29" s="69">
        <v>0.5</v>
      </c>
      <c r="J29" s="29"/>
      <c r="O29" t="s">
        <v>3143</v>
      </c>
      <c r="P29">
        <f>SUM(P2:P28)</f>
        <v>152.80000000000001</v>
      </c>
      <c r="R29">
        <f>SUM(R2:R28)</f>
        <v>42.7</v>
      </c>
      <c r="S29">
        <f>SUM(S2:S28)</f>
        <v>35.700000000000003</v>
      </c>
      <c r="T29">
        <f>SUM(T2:T28)</f>
        <v>36.200000000000003</v>
      </c>
      <c r="U29">
        <f>SUM(U2:U28)</f>
        <v>38.200000000000003</v>
      </c>
      <c r="Y29" t="s">
        <v>3143</v>
      </c>
      <c r="Z29">
        <f>SUM(Z2:Z28)</f>
        <v>168.04000000000002</v>
      </c>
      <c r="AB29">
        <f>SUM(AB2:AB28)</f>
        <v>8.009999999999998</v>
      </c>
      <c r="AC29">
        <f>SUM(AC2:AC28)</f>
        <v>40.040000000000006</v>
      </c>
      <c r="AD29">
        <f>SUM(AD2:AD28)</f>
        <v>39.979999999999997</v>
      </c>
      <c r="AE29">
        <f>SUM(AE2:AE28)</f>
        <v>39.970000000000013</v>
      </c>
      <c r="AF29">
        <f>SUM(AF2:AF28)</f>
        <v>40.04</v>
      </c>
    </row>
    <row r="30" spans="1:32" x14ac:dyDescent="0.3">
      <c r="A30" s="2"/>
      <c r="B30" s="5"/>
      <c r="C30" s="69"/>
      <c r="D30" s="3"/>
      <c r="E30" s="69"/>
      <c r="F30" s="3"/>
      <c r="G30" s="69"/>
      <c r="H30" s="5"/>
      <c r="I30" s="69"/>
      <c r="J30" s="29"/>
    </row>
    <row r="31" spans="1:32" x14ac:dyDescent="0.3">
      <c r="A31" s="2"/>
      <c r="B31" s="3"/>
      <c r="C31" s="69"/>
      <c r="D31" s="3"/>
      <c r="E31" s="69"/>
      <c r="F31" s="3"/>
      <c r="G31" s="69"/>
      <c r="H31" s="15"/>
      <c r="I31" s="69"/>
      <c r="J31" s="29"/>
    </row>
    <row r="32" spans="1:32" x14ac:dyDescent="0.3">
      <c r="A32" s="2" t="s">
        <v>16</v>
      </c>
      <c r="B32" s="5" t="s">
        <v>42</v>
      </c>
      <c r="C32" s="69">
        <v>1</v>
      </c>
      <c r="D32" s="5" t="s">
        <v>42</v>
      </c>
      <c r="E32" s="69">
        <v>0.5</v>
      </c>
      <c r="F32" s="5" t="s">
        <v>42</v>
      </c>
      <c r="G32" s="69">
        <v>0.5</v>
      </c>
      <c r="H32" s="5" t="s">
        <v>42</v>
      </c>
      <c r="I32" s="69">
        <v>1</v>
      </c>
      <c r="J32" s="5" t="s">
        <v>42</v>
      </c>
      <c r="K32" s="69">
        <v>1</v>
      </c>
    </row>
    <row r="33" spans="1:13" x14ac:dyDescent="0.3">
      <c r="A33" s="2" t="s">
        <v>16</v>
      </c>
      <c r="B33" s="5" t="s">
        <v>39</v>
      </c>
      <c r="C33" s="69">
        <v>1</v>
      </c>
      <c r="D33" s="5" t="s">
        <v>44</v>
      </c>
      <c r="E33" s="69">
        <v>1</v>
      </c>
      <c r="F33" s="5" t="s">
        <v>45</v>
      </c>
      <c r="G33" s="73">
        <v>1</v>
      </c>
      <c r="H33" s="5" t="s">
        <v>44</v>
      </c>
      <c r="I33" s="69">
        <v>1</v>
      </c>
      <c r="J33" s="71" t="s">
        <v>61</v>
      </c>
      <c r="K33" s="72">
        <v>2</v>
      </c>
    </row>
    <row r="34" spans="1:13" x14ac:dyDescent="0.3">
      <c r="A34" s="2" t="s">
        <v>16</v>
      </c>
      <c r="B34" s="5" t="s">
        <v>48</v>
      </c>
      <c r="C34" s="69">
        <v>0.5</v>
      </c>
      <c r="D34" s="51" t="s">
        <v>358</v>
      </c>
      <c r="E34" s="69">
        <v>1</v>
      </c>
      <c r="F34" s="15" t="s">
        <v>62</v>
      </c>
      <c r="G34" s="69">
        <v>1</v>
      </c>
      <c r="H34" s="15" t="s">
        <v>358</v>
      </c>
      <c r="I34" s="69">
        <v>1</v>
      </c>
      <c r="J34" s="29" t="s">
        <v>62</v>
      </c>
      <c r="K34" s="70">
        <v>1</v>
      </c>
    </row>
    <row r="35" spans="1:13" x14ac:dyDescent="0.3">
      <c r="A35" s="2" t="s">
        <v>16</v>
      </c>
      <c r="B35" s="5" t="s">
        <v>358</v>
      </c>
      <c r="C35" s="69">
        <v>1</v>
      </c>
      <c r="D35" s="51" t="s">
        <v>30</v>
      </c>
      <c r="E35" s="69">
        <v>1</v>
      </c>
      <c r="F35" s="5" t="s">
        <v>30</v>
      </c>
      <c r="G35" s="69">
        <v>1</v>
      </c>
      <c r="H35" s="15" t="s">
        <v>748</v>
      </c>
      <c r="I35" s="69">
        <v>0.5</v>
      </c>
      <c r="J35" s="5" t="s">
        <v>30</v>
      </c>
      <c r="K35" s="70">
        <v>0.7</v>
      </c>
    </row>
    <row r="36" spans="1:13" x14ac:dyDescent="0.3">
      <c r="A36" s="2" t="s">
        <v>16</v>
      </c>
      <c r="B36" s="5" t="s">
        <v>30</v>
      </c>
      <c r="C36" s="69">
        <v>1</v>
      </c>
      <c r="D36" s="15" t="s">
        <v>49</v>
      </c>
      <c r="E36" s="69">
        <v>2.6</v>
      </c>
      <c r="F36" s="3" t="s">
        <v>49</v>
      </c>
      <c r="G36" s="69">
        <v>2.6</v>
      </c>
      <c r="H36" s="5" t="s">
        <v>30</v>
      </c>
      <c r="I36" s="69">
        <v>1</v>
      </c>
      <c r="J36" s="29" t="s">
        <v>49</v>
      </c>
      <c r="K36" s="70">
        <v>2.6</v>
      </c>
    </row>
    <row r="37" spans="1:13" x14ac:dyDescent="0.3">
      <c r="A37" s="2" t="s">
        <v>16</v>
      </c>
      <c r="B37" s="5" t="s">
        <v>49</v>
      </c>
      <c r="C37" s="69">
        <v>2.6</v>
      </c>
      <c r="D37" s="15" t="s">
        <v>54</v>
      </c>
      <c r="E37" s="69">
        <v>1</v>
      </c>
      <c r="F37" s="3" t="s">
        <v>54</v>
      </c>
      <c r="G37" s="69">
        <v>0.5</v>
      </c>
      <c r="H37" s="5" t="s">
        <v>49</v>
      </c>
      <c r="I37" s="69">
        <v>2.6</v>
      </c>
      <c r="J37" s="29" t="s">
        <v>54</v>
      </c>
      <c r="K37" s="70">
        <v>1.5</v>
      </c>
    </row>
    <row r="38" spans="1:13" x14ac:dyDescent="0.3">
      <c r="A38" s="2" t="s">
        <v>16</v>
      </c>
      <c r="B38" s="5" t="s">
        <v>54</v>
      </c>
      <c r="C38" s="69">
        <v>1</v>
      </c>
      <c r="D38" s="15"/>
      <c r="E38" s="69"/>
      <c r="F38" s="3"/>
      <c r="G38" s="69"/>
      <c r="H38" s="5" t="s">
        <v>54</v>
      </c>
      <c r="I38" s="69">
        <v>0.5</v>
      </c>
      <c r="J38" s="29"/>
    </row>
    <row r="39" spans="1:13" x14ac:dyDescent="0.3">
      <c r="A39" s="2"/>
      <c r="B39" s="5"/>
      <c r="C39" s="69"/>
      <c r="D39" s="15"/>
      <c r="E39" s="69"/>
      <c r="F39" s="3"/>
      <c r="G39" s="69"/>
      <c r="H39" s="5"/>
      <c r="I39" s="69"/>
      <c r="J39" s="29"/>
    </row>
    <row r="40" spans="1:13" x14ac:dyDescent="0.3">
      <c r="A40" s="2"/>
      <c r="B40" s="5"/>
      <c r="C40" s="69"/>
      <c r="D40" s="3"/>
      <c r="E40" s="69"/>
      <c r="F40" s="3"/>
      <c r="G40" s="69"/>
      <c r="H40" s="5"/>
      <c r="I40" s="69"/>
      <c r="J40" s="29"/>
    </row>
    <row r="41" spans="1:13" x14ac:dyDescent="0.3">
      <c r="A41" s="2" t="s">
        <v>17</v>
      </c>
      <c r="C41"/>
      <c r="E41"/>
      <c r="G41"/>
      <c r="I41"/>
      <c r="L41" s="1" t="s">
        <v>3144</v>
      </c>
      <c r="M41" s="1">
        <v>168.04000000000002</v>
      </c>
    </row>
    <row r="42" spans="1:13" x14ac:dyDescent="0.3">
      <c r="B42" s="1" t="s">
        <v>378</v>
      </c>
      <c r="C42"/>
      <c r="D42" s="1" t="s">
        <v>576</v>
      </c>
      <c r="E42"/>
      <c r="F42" s="1" t="s">
        <v>747</v>
      </c>
      <c r="G42"/>
      <c r="H42" s="17" t="s">
        <v>897</v>
      </c>
      <c r="I42"/>
      <c r="J42" s="1" t="s">
        <v>33</v>
      </c>
    </row>
    <row r="43" spans="1:13" x14ac:dyDescent="0.3">
      <c r="A43" s="19" t="s">
        <v>13</v>
      </c>
      <c r="J43" t="s">
        <v>40</v>
      </c>
      <c r="K43" s="70">
        <v>0.15</v>
      </c>
    </row>
    <row r="44" spans="1:13" x14ac:dyDescent="0.3">
      <c r="A44" s="19" t="s">
        <v>13</v>
      </c>
      <c r="J44" t="s">
        <v>54</v>
      </c>
      <c r="K44" s="70">
        <v>1.63</v>
      </c>
    </row>
    <row r="45" spans="1:13" x14ac:dyDescent="0.3">
      <c r="A45" s="19" t="s">
        <v>13</v>
      </c>
      <c r="J45" t="s">
        <v>45</v>
      </c>
      <c r="K45" s="70">
        <v>0.32</v>
      </c>
    </row>
    <row r="46" spans="1:13" x14ac:dyDescent="0.3">
      <c r="A46" s="19" t="s">
        <v>13</v>
      </c>
      <c r="J46" t="s">
        <v>37</v>
      </c>
      <c r="K46" s="70">
        <v>0.95000000000000007</v>
      </c>
    </row>
    <row r="47" spans="1:13" x14ac:dyDescent="0.3">
      <c r="A47" s="19" t="s">
        <v>13</v>
      </c>
      <c r="J47" t="s">
        <v>52</v>
      </c>
      <c r="K47" s="70">
        <v>0.88</v>
      </c>
    </row>
    <row r="48" spans="1:13" x14ac:dyDescent="0.3">
      <c r="A48" s="19" t="s">
        <v>13</v>
      </c>
      <c r="J48" t="s">
        <v>49</v>
      </c>
      <c r="K48" s="70">
        <v>1.3399999999999999</v>
      </c>
    </row>
    <row r="49" spans="1:11" x14ac:dyDescent="0.3">
      <c r="A49" s="19" t="s">
        <v>13</v>
      </c>
      <c r="J49" t="s">
        <v>61</v>
      </c>
      <c r="K49" s="70">
        <v>0.47</v>
      </c>
    </row>
    <row r="50" spans="1:11" x14ac:dyDescent="0.3">
      <c r="A50" s="19" t="s">
        <v>13</v>
      </c>
      <c r="J50" t="s">
        <v>62</v>
      </c>
      <c r="K50" s="70">
        <v>0.13</v>
      </c>
    </row>
    <row r="51" spans="1:11" x14ac:dyDescent="0.3">
      <c r="A51" s="19" t="s">
        <v>13</v>
      </c>
      <c r="J51" t="s">
        <v>44</v>
      </c>
      <c r="K51" s="70">
        <v>0.25</v>
      </c>
    </row>
    <row r="52" spans="1:11" x14ac:dyDescent="0.3">
      <c r="A52" s="19" t="s">
        <v>13</v>
      </c>
      <c r="J52" t="s">
        <v>30</v>
      </c>
      <c r="K52" s="70">
        <v>0.1</v>
      </c>
    </row>
    <row r="53" spans="1:11" x14ac:dyDescent="0.3">
      <c r="A53" s="19" t="s">
        <v>13</v>
      </c>
      <c r="J53" t="s">
        <v>42</v>
      </c>
      <c r="K53" s="70">
        <v>0.64</v>
      </c>
    </row>
    <row r="54" spans="1:11" x14ac:dyDescent="0.3">
      <c r="A54" s="19" t="s">
        <v>13</v>
      </c>
      <c r="J54" t="s">
        <v>39</v>
      </c>
      <c r="K54" s="70">
        <v>0.12</v>
      </c>
    </row>
    <row r="55" spans="1:11" x14ac:dyDescent="0.3">
      <c r="A55" s="19" t="s">
        <v>13</v>
      </c>
      <c r="J55" t="s">
        <v>48</v>
      </c>
      <c r="K55" s="70">
        <v>0.47</v>
      </c>
    </row>
    <row r="56" spans="1:11" x14ac:dyDescent="0.3">
      <c r="A56" s="19" t="s">
        <v>13</v>
      </c>
      <c r="J56" t="s">
        <v>35</v>
      </c>
      <c r="K56" s="70">
        <v>0.56000000000000005</v>
      </c>
    </row>
    <row r="59" spans="1:11" x14ac:dyDescent="0.3">
      <c r="A59" s="19" t="s">
        <v>14</v>
      </c>
      <c r="B59" t="s">
        <v>54</v>
      </c>
      <c r="C59" s="70">
        <v>8</v>
      </c>
      <c r="D59" t="s">
        <v>40</v>
      </c>
      <c r="E59" s="70">
        <v>1.67</v>
      </c>
      <c r="F59" t="s">
        <v>40</v>
      </c>
      <c r="G59" s="70">
        <v>0.39</v>
      </c>
      <c r="H59" s="18" t="s">
        <v>40</v>
      </c>
      <c r="I59" s="70">
        <v>0.1</v>
      </c>
      <c r="J59" t="s">
        <v>45</v>
      </c>
      <c r="K59" s="70">
        <v>0.28000000000000003</v>
      </c>
    </row>
    <row r="60" spans="1:11" x14ac:dyDescent="0.3">
      <c r="A60" s="19" t="s">
        <v>14</v>
      </c>
      <c r="D60" t="s">
        <v>582</v>
      </c>
      <c r="E60" s="70">
        <v>7.0000000000000007E-2</v>
      </c>
      <c r="F60" t="s">
        <v>582</v>
      </c>
      <c r="G60" s="70">
        <v>0.35</v>
      </c>
      <c r="H60" s="18" t="s">
        <v>49</v>
      </c>
      <c r="I60" s="70">
        <v>1.4</v>
      </c>
      <c r="J60" t="s">
        <v>49</v>
      </c>
      <c r="K60" s="70">
        <v>0.7599999999999999</v>
      </c>
    </row>
    <row r="61" spans="1:11" x14ac:dyDescent="0.3">
      <c r="A61" s="19" t="s">
        <v>14</v>
      </c>
      <c r="D61" t="s">
        <v>54</v>
      </c>
      <c r="E61" s="70">
        <v>0.93</v>
      </c>
      <c r="F61" t="s">
        <v>54</v>
      </c>
      <c r="G61" s="70">
        <v>2.29</v>
      </c>
      <c r="H61" s="18" t="s">
        <v>44</v>
      </c>
      <c r="I61" s="70">
        <v>0.95</v>
      </c>
      <c r="J61" t="s">
        <v>1088</v>
      </c>
      <c r="K61" s="70">
        <v>0.37</v>
      </c>
    </row>
    <row r="62" spans="1:11" x14ac:dyDescent="0.3">
      <c r="A62" s="19" t="s">
        <v>14</v>
      </c>
      <c r="D62" t="s">
        <v>45</v>
      </c>
      <c r="E62" s="70">
        <v>0.18</v>
      </c>
      <c r="F62" t="s">
        <v>37</v>
      </c>
      <c r="G62" s="70">
        <v>0.17</v>
      </c>
      <c r="H62" s="18" t="s">
        <v>30</v>
      </c>
      <c r="I62" s="70">
        <v>5.53</v>
      </c>
      <c r="J62" t="s">
        <v>61</v>
      </c>
      <c r="K62" s="70">
        <v>1.4900000000000002</v>
      </c>
    </row>
    <row r="63" spans="1:11" x14ac:dyDescent="0.3">
      <c r="A63" s="19" t="s">
        <v>14</v>
      </c>
      <c r="D63" t="s">
        <v>49</v>
      </c>
      <c r="E63" s="70">
        <v>1.58</v>
      </c>
      <c r="F63" t="s">
        <v>49</v>
      </c>
      <c r="G63" s="70">
        <v>1.5499999999999998</v>
      </c>
      <c r="H63" s="18" t="s">
        <v>42</v>
      </c>
      <c r="I63" s="70">
        <v>0.03</v>
      </c>
      <c r="J63" t="s">
        <v>748</v>
      </c>
      <c r="K63" s="70">
        <v>0.3</v>
      </c>
    </row>
    <row r="64" spans="1:11" x14ac:dyDescent="0.3">
      <c r="A64" s="19" t="s">
        <v>14</v>
      </c>
      <c r="D64" t="s">
        <v>61</v>
      </c>
      <c r="E64" s="70">
        <v>0.60000000000000009</v>
      </c>
      <c r="F64" t="s">
        <v>61</v>
      </c>
      <c r="G64" s="70">
        <v>0.32</v>
      </c>
      <c r="J64" t="s">
        <v>62</v>
      </c>
      <c r="K64" s="70">
        <v>0.18</v>
      </c>
    </row>
    <row r="65" spans="1:11" x14ac:dyDescent="0.3">
      <c r="A65" s="19" t="s">
        <v>14</v>
      </c>
      <c r="D65" t="s">
        <v>44</v>
      </c>
      <c r="E65" s="70">
        <v>0.2</v>
      </c>
      <c r="F65" t="s">
        <v>748</v>
      </c>
      <c r="G65" s="70">
        <v>0.1</v>
      </c>
      <c r="J65" t="s">
        <v>44</v>
      </c>
      <c r="K65" s="70">
        <v>0.6100000000000001</v>
      </c>
    </row>
    <row r="66" spans="1:11" x14ac:dyDescent="0.3">
      <c r="A66" s="19" t="s">
        <v>14</v>
      </c>
      <c r="D66" t="s">
        <v>42</v>
      </c>
      <c r="E66" s="70">
        <v>2.42</v>
      </c>
      <c r="F66" t="s">
        <v>44</v>
      </c>
      <c r="G66" s="70">
        <v>0.13</v>
      </c>
      <c r="J66" t="s">
        <v>30</v>
      </c>
      <c r="K66" s="70">
        <v>0.78</v>
      </c>
    </row>
    <row r="67" spans="1:11" x14ac:dyDescent="0.3">
      <c r="A67" s="19" t="s">
        <v>14</v>
      </c>
      <c r="D67" t="s">
        <v>39</v>
      </c>
      <c r="E67" s="70">
        <v>0.13</v>
      </c>
      <c r="F67" t="s">
        <v>30</v>
      </c>
      <c r="G67" s="70">
        <v>0.2</v>
      </c>
      <c r="J67" t="s">
        <v>42</v>
      </c>
      <c r="K67" s="70">
        <v>1.57</v>
      </c>
    </row>
    <row r="68" spans="1:11" x14ac:dyDescent="0.3">
      <c r="A68" s="19" t="s">
        <v>14</v>
      </c>
      <c r="D68" t="s">
        <v>48</v>
      </c>
      <c r="E68" s="70">
        <v>0.22</v>
      </c>
      <c r="F68" t="s">
        <v>42</v>
      </c>
      <c r="G68" s="70">
        <v>0.65</v>
      </c>
      <c r="J68" t="s">
        <v>39</v>
      </c>
      <c r="K68" s="70">
        <v>0.14000000000000001</v>
      </c>
    </row>
    <row r="69" spans="1:11" x14ac:dyDescent="0.3">
      <c r="A69" s="19" t="s">
        <v>14</v>
      </c>
      <c r="F69" t="s">
        <v>48</v>
      </c>
      <c r="G69" s="70">
        <v>0.92</v>
      </c>
      <c r="J69" t="s">
        <v>48</v>
      </c>
      <c r="K69" s="70">
        <v>1.0900000000000001</v>
      </c>
    </row>
    <row r="70" spans="1:11" x14ac:dyDescent="0.3">
      <c r="A70" s="19" t="s">
        <v>14</v>
      </c>
      <c r="F70" t="s">
        <v>35</v>
      </c>
      <c r="G70" s="70">
        <v>0.95</v>
      </c>
      <c r="J70" t="s">
        <v>35</v>
      </c>
      <c r="K70" s="70">
        <v>0.44</v>
      </c>
    </row>
    <row r="73" spans="1:11" x14ac:dyDescent="0.3">
      <c r="A73" s="19" t="s">
        <v>15</v>
      </c>
      <c r="B73" t="s">
        <v>40</v>
      </c>
      <c r="C73" s="70">
        <v>1.05</v>
      </c>
      <c r="D73" t="s">
        <v>40</v>
      </c>
      <c r="E73" s="70">
        <v>0.28000000000000003</v>
      </c>
      <c r="F73" t="s">
        <v>40</v>
      </c>
      <c r="G73" s="70">
        <v>0.12000000000000001</v>
      </c>
      <c r="H73" s="18" t="s">
        <v>40</v>
      </c>
      <c r="I73" s="70">
        <v>0.08</v>
      </c>
      <c r="J73" t="s">
        <v>40</v>
      </c>
      <c r="K73" s="70">
        <v>0.25</v>
      </c>
    </row>
    <row r="74" spans="1:11" x14ac:dyDescent="0.3">
      <c r="A74" s="19" t="s">
        <v>15</v>
      </c>
      <c r="B74" t="s">
        <v>54</v>
      </c>
      <c r="C74" s="70">
        <v>1.07</v>
      </c>
      <c r="D74" t="s">
        <v>54</v>
      </c>
      <c r="E74" s="70">
        <v>0.5</v>
      </c>
      <c r="F74" t="s">
        <v>54</v>
      </c>
      <c r="G74" s="70">
        <v>0.5</v>
      </c>
      <c r="H74" s="18" t="s">
        <v>54</v>
      </c>
      <c r="I74" s="70">
        <v>2.0099999999999998</v>
      </c>
      <c r="J74" t="s">
        <v>54</v>
      </c>
      <c r="K74" s="70">
        <v>0.63</v>
      </c>
    </row>
    <row r="75" spans="1:11" x14ac:dyDescent="0.3">
      <c r="A75" s="19" t="s">
        <v>15</v>
      </c>
      <c r="B75" t="s">
        <v>49</v>
      </c>
      <c r="C75" s="70">
        <v>0.43</v>
      </c>
      <c r="D75" t="s">
        <v>45</v>
      </c>
      <c r="E75" s="70">
        <v>0.08</v>
      </c>
      <c r="F75" t="s">
        <v>49</v>
      </c>
      <c r="G75" s="70">
        <v>2.5</v>
      </c>
      <c r="H75" s="18" t="s">
        <v>37</v>
      </c>
      <c r="I75" s="70">
        <v>0.15</v>
      </c>
      <c r="J75" t="s">
        <v>37</v>
      </c>
      <c r="K75" s="70">
        <v>7.0000000000000007E-2</v>
      </c>
    </row>
    <row r="76" spans="1:11" x14ac:dyDescent="0.3">
      <c r="A76" s="19" t="s">
        <v>15</v>
      </c>
      <c r="B76" t="s">
        <v>62</v>
      </c>
      <c r="C76" s="70">
        <v>0.03</v>
      </c>
      <c r="D76" t="s">
        <v>49</v>
      </c>
      <c r="E76" s="70">
        <v>1.88</v>
      </c>
      <c r="F76" t="s">
        <v>62</v>
      </c>
      <c r="G76" s="70">
        <v>0.38</v>
      </c>
      <c r="H76" s="18" t="s">
        <v>52</v>
      </c>
      <c r="I76" s="70">
        <v>0.08</v>
      </c>
      <c r="J76" t="s">
        <v>49</v>
      </c>
      <c r="K76" s="70">
        <v>1.72</v>
      </c>
    </row>
    <row r="77" spans="1:11" x14ac:dyDescent="0.3">
      <c r="A77" s="19" t="s">
        <v>15</v>
      </c>
      <c r="B77" t="s">
        <v>44</v>
      </c>
      <c r="C77" s="70">
        <v>1.1500000000000001</v>
      </c>
      <c r="D77" t="s">
        <v>61</v>
      </c>
      <c r="E77" s="70">
        <v>0.03</v>
      </c>
      <c r="F77" t="s">
        <v>44</v>
      </c>
      <c r="G77" s="70">
        <v>1.07</v>
      </c>
      <c r="H77" s="18" t="s">
        <v>49</v>
      </c>
      <c r="I77" s="70">
        <v>1.48</v>
      </c>
      <c r="J77" t="s">
        <v>61</v>
      </c>
      <c r="K77" s="70">
        <v>0.1</v>
      </c>
    </row>
    <row r="78" spans="1:11" x14ac:dyDescent="0.3">
      <c r="A78" s="19" t="s">
        <v>15</v>
      </c>
      <c r="B78" t="s">
        <v>30</v>
      </c>
      <c r="C78" s="70">
        <v>3.0899999999999994</v>
      </c>
      <c r="D78" t="s">
        <v>62</v>
      </c>
      <c r="E78" s="70">
        <v>0.45</v>
      </c>
      <c r="F78" t="s">
        <v>30</v>
      </c>
      <c r="G78" s="70">
        <v>0.48000000000000004</v>
      </c>
      <c r="H78" s="18" t="s">
        <v>61</v>
      </c>
      <c r="I78" s="70">
        <v>0.2</v>
      </c>
      <c r="J78" t="s">
        <v>62</v>
      </c>
      <c r="K78" s="70">
        <v>0.15</v>
      </c>
    </row>
    <row r="79" spans="1:11" x14ac:dyDescent="0.3">
      <c r="A79" s="19" t="s">
        <v>15</v>
      </c>
      <c r="B79" t="s">
        <v>42</v>
      </c>
      <c r="C79" s="70">
        <v>0.97</v>
      </c>
      <c r="D79" t="s">
        <v>44</v>
      </c>
      <c r="E79" s="70">
        <v>0.5</v>
      </c>
      <c r="F79" t="s">
        <v>42</v>
      </c>
      <c r="G79" s="70">
        <v>1.1299999999999999</v>
      </c>
      <c r="H79" s="18" t="s">
        <v>748</v>
      </c>
      <c r="I79" s="70">
        <v>0.2</v>
      </c>
      <c r="J79" t="s">
        <v>44</v>
      </c>
      <c r="K79" s="70">
        <v>0.54</v>
      </c>
    </row>
    <row r="80" spans="1:11" x14ac:dyDescent="0.3">
      <c r="A80" s="19" t="s">
        <v>15</v>
      </c>
      <c r="B80" t="s">
        <v>48</v>
      </c>
      <c r="C80" s="70">
        <v>0.22</v>
      </c>
      <c r="D80" t="s">
        <v>30</v>
      </c>
      <c r="E80" s="70">
        <v>2.14</v>
      </c>
      <c r="F80" t="s">
        <v>39</v>
      </c>
      <c r="G80" s="70">
        <v>0.15</v>
      </c>
      <c r="H80" s="18" t="s">
        <v>62</v>
      </c>
      <c r="I80" s="70">
        <v>0.29000000000000004</v>
      </c>
      <c r="J80" t="s">
        <v>30</v>
      </c>
      <c r="K80" s="70">
        <v>1.73</v>
      </c>
    </row>
    <row r="81" spans="1:11" x14ac:dyDescent="0.3">
      <c r="A81" s="19" t="s">
        <v>15</v>
      </c>
      <c r="D81" t="s">
        <v>42</v>
      </c>
      <c r="E81" s="70">
        <v>1.56</v>
      </c>
      <c r="F81" t="s">
        <v>48</v>
      </c>
      <c r="G81" s="70">
        <v>1.48</v>
      </c>
      <c r="H81" s="18" t="s">
        <v>44</v>
      </c>
      <c r="I81" s="70">
        <v>1.55</v>
      </c>
      <c r="J81" t="s">
        <v>42</v>
      </c>
      <c r="K81" s="70">
        <v>1.24</v>
      </c>
    </row>
    <row r="82" spans="1:11" x14ac:dyDescent="0.3">
      <c r="A82" s="19" t="s">
        <v>15</v>
      </c>
      <c r="D82" t="s">
        <v>39</v>
      </c>
      <c r="E82" s="70">
        <v>0.3</v>
      </c>
      <c r="F82" t="s">
        <v>35</v>
      </c>
      <c r="G82" s="70">
        <v>0.18</v>
      </c>
      <c r="H82" s="18" t="s">
        <v>30</v>
      </c>
      <c r="I82" s="70">
        <v>0.85</v>
      </c>
      <c r="J82" t="s">
        <v>48</v>
      </c>
      <c r="K82" s="70">
        <v>0.15</v>
      </c>
    </row>
    <row r="83" spans="1:11" x14ac:dyDescent="0.3">
      <c r="A83" s="19" t="s">
        <v>15</v>
      </c>
      <c r="D83" t="s">
        <v>48</v>
      </c>
      <c r="E83" s="70">
        <v>0.05</v>
      </c>
      <c r="H83" s="18" t="s">
        <v>42</v>
      </c>
      <c r="I83" s="70">
        <v>1.1099999999999999</v>
      </c>
      <c r="J83" t="s">
        <v>35</v>
      </c>
      <c r="K83" s="70">
        <v>1.43</v>
      </c>
    </row>
    <row r="84" spans="1:11" x14ac:dyDescent="0.3">
      <c r="A84" s="19" t="s">
        <v>15</v>
      </c>
      <c r="D84" t="s">
        <v>35</v>
      </c>
      <c r="E84" s="70">
        <v>0.2</v>
      </c>
    </row>
    <row r="87" spans="1:11" x14ac:dyDescent="0.3">
      <c r="A87" s="19" t="s">
        <v>16</v>
      </c>
      <c r="B87" t="s">
        <v>40</v>
      </c>
      <c r="C87" s="70">
        <v>0.73</v>
      </c>
      <c r="D87" t="s">
        <v>40</v>
      </c>
      <c r="E87" s="70">
        <v>0.52</v>
      </c>
      <c r="F87" t="s">
        <v>582</v>
      </c>
      <c r="G87" s="70">
        <v>0.42</v>
      </c>
      <c r="H87" s="18" t="s">
        <v>54</v>
      </c>
      <c r="I87" s="70">
        <v>0.5</v>
      </c>
      <c r="J87" t="s">
        <v>40</v>
      </c>
      <c r="K87" s="70">
        <v>0.5</v>
      </c>
    </row>
    <row r="88" spans="1:11" x14ac:dyDescent="0.3">
      <c r="A88" s="19" t="s">
        <v>16</v>
      </c>
      <c r="B88" t="s">
        <v>54</v>
      </c>
      <c r="C88" s="70">
        <v>1.98</v>
      </c>
      <c r="D88" t="s">
        <v>54</v>
      </c>
      <c r="E88" s="70">
        <v>0.5</v>
      </c>
      <c r="F88" t="s">
        <v>54</v>
      </c>
      <c r="G88" s="70">
        <v>1.68</v>
      </c>
      <c r="H88" s="18" t="s">
        <v>52</v>
      </c>
      <c r="I88" s="70">
        <v>0.05</v>
      </c>
      <c r="J88" t="s">
        <v>54</v>
      </c>
      <c r="K88" s="70">
        <v>1.57</v>
      </c>
    </row>
    <row r="89" spans="1:11" x14ac:dyDescent="0.3">
      <c r="A89" s="19" t="s">
        <v>16</v>
      </c>
      <c r="B89" t="s">
        <v>49</v>
      </c>
      <c r="C89" s="70">
        <v>1.25</v>
      </c>
      <c r="D89" t="s">
        <v>49</v>
      </c>
      <c r="E89" s="70">
        <v>3.18</v>
      </c>
      <c r="F89" t="s">
        <v>45</v>
      </c>
      <c r="G89" s="70">
        <v>0.65</v>
      </c>
      <c r="H89" s="18" t="s">
        <v>49</v>
      </c>
      <c r="I89" s="70">
        <v>2.4</v>
      </c>
      <c r="J89" t="s">
        <v>49</v>
      </c>
      <c r="K89" s="70">
        <v>1.9200000000000002</v>
      </c>
    </row>
    <row r="90" spans="1:11" x14ac:dyDescent="0.3">
      <c r="A90" s="19" t="s">
        <v>16</v>
      </c>
      <c r="B90" t="s">
        <v>61</v>
      </c>
      <c r="C90" s="70">
        <v>0.15000000000000002</v>
      </c>
      <c r="D90" t="s">
        <v>61</v>
      </c>
      <c r="E90" s="70">
        <v>0.05</v>
      </c>
      <c r="F90" t="s">
        <v>49</v>
      </c>
      <c r="G90" s="70">
        <v>1.23</v>
      </c>
      <c r="H90" s="18" t="s">
        <v>61</v>
      </c>
      <c r="I90" s="70">
        <v>0.08</v>
      </c>
      <c r="J90" t="s">
        <v>61</v>
      </c>
      <c r="K90" s="70">
        <v>0.36000000000000004</v>
      </c>
    </row>
    <row r="91" spans="1:11" x14ac:dyDescent="0.3">
      <c r="A91" s="19" t="s">
        <v>16</v>
      </c>
      <c r="B91" t="s">
        <v>44</v>
      </c>
      <c r="C91" s="70">
        <v>0.9</v>
      </c>
      <c r="D91" t="s">
        <v>44</v>
      </c>
      <c r="E91" s="70">
        <v>0.63</v>
      </c>
      <c r="F91" t="s">
        <v>62</v>
      </c>
      <c r="G91" s="70">
        <v>0.33</v>
      </c>
      <c r="H91" s="18" t="s">
        <v>44</v>
      </c>
      <c r="I91" s="70">
        <v>1.06</v>
      </c>
      <c r="J91" t="s">
        <v>62</v>
      </c>
      <c r="K91" s="70">
        <v>0.03</v>
      </c>
    </row>
    <row r="92" spans="1:11" x14ac:dyDescent="0.3">
      <c r="A92" s="19" t="s">
        <v>16</v>
      </c>
      <c r="B92" t="s">
        <v>42</v>
      </c>
      <c r="C92" s="70">
        <v>1.35</v>
      </c>
      <c r="D92" t="s">
        <v>30</v>
      </c>
      <c r="E92" s="70">
        <v>1.1000000000000001</v>
      </c>
      <c r="F92" t="s">
        <v>30</v>
      </c>
      <c r="G92" s="70">
        <v>0.57999999999999996</v>
      </c>
      <c r="H92" s="18" t="s">
        <v>30</v>
      </c>
      <c r="I92" s="70">
        <v>3.38</v>
      </c>
      <c r="J92" t="s">
        <v>44</v>
      </c>
      <c r="K92" s="70">
        <v>1.22</v>
      </c>
    </row>
    <row r="93" spans="1:11" x14ac:dyDescent="0.3">
      <c r="A93" s="19" t="s">
        <v>16</v>
      </c>
      <c r="B93" t="s">
        <v>39</v>
      </c>
      <c r="C93" s="70">
        <v>0.77</v>
      </c>
      <c r="D93" t="s">
        <v>42</v>
      </c>
      <c r="E93" s="70">
        <v>1.35</v>
      </c>
      <c r="F93" t="s">
        <v>42</v>
      </c>
      <c r="G93" s="70">
        <v>0.73000000000000009</v>
      </c>
      <c r="H93" s="18" t="s">
        <v>42</v>
      </c>
      <c r="I93" s="70">
        <v>0.28000000000000003</v>
      </c>
      <c r="J93" t="s">
        <v>30</v>
      </c>
      <c r="K93" s="70">
        <v>1.0900000000000001</v>
      </c>
    </row>
    <row r="94" spans="1:11" x14ac:dyDescent="0.3">
      <c r="A94" s="19" t="s">
        <v>16</v>
      </c>
      <c r="B94" t="s">
        <v>48</v>
      </c>
      <c r="C94" s="70">
        <v>0.8600000000000001</v>
      </c>
      <c r="D94" t="s">
        <v>39</v>
      </c>
      <c r="E94" s="70">
        <v>7.0000000000000007E-2</v>
      </c>
      <c r="F94" t="s">
        <v>48</v>
      </c>
      <c r="G94" s="70">
        <v>2.15</v>
      </c>
      <c r="H94" s="18" t="s">
        <v>48</v>
      </c>
      <c r="I94" s="70">
        <v>0.05</v>
      </c>
      <c r="J94" t="s">
        <v>42</v>
      </c>
      <c r="K94" s="70">
        <v>0.55000000000000004</v>
      </c>
    </row>
    <row r="95" spans="1:11" x14ac:dyDescent="0.3">
      <c r="A95" s="19" t="s">
        <v>16</v>
      </c>
      <c r="D95" t="s">
        <v>48</v>
      </c>
      <c r="E95" s="70">
        <v>0.1</v>
      </c>
      <c r="F95" t="s">
        <v>35</v>
      </c>
      <c r="G95" s="70">
        <v>0.22</v>
      </c>
      <c r="H95" s="18" t="s">
        <v>35</v>
      </c>
      <c r="I95" s="70">
        <v>0.18</v>
      </c>
      <c r="J95" t="s">
        <v>48</v>
      </c>
      <c r="K95" s="70">
        <v>0.47</v>
      </c>
    </row>
    <row r="96" spans="1:11" x14ac:dyDescent="0.3">
      <c r="A96" s="19" t="s">
        <v>16</v>
      </c>
      <c r="D96" t="s">
        <v>35</v>
      </c>
      <c r="E96" s="70">
        <v>0.5</v>
      </c>
      <c r="J96" t="s">
        <v>35</v>
      </c>
      <c r="K96" s="70">
        <v>0.3</v>
      </c>
    </row>
    <row r="99" spans="1:11" x14ac:dyDescent="0.3">
      <c r="A99" s="19" t="s">
        <v>18</v>
      </c>
      <c r="B99" t="s">
        <v>40</v>
      </c>
      <c r="C99" s="70">
        <v>0.86</v>
      </c>
      <c r="D99" t="s">
        <v>40</v>
      </c>
      <c r="E99" s="70">
        <v>0.84</v>
      </c>
      <c r="F99" t="s">
        <v>54</v>
      </c>
      <c r="G99" s="70">
        <v>8</v>
      </c>
      <c r="H99" s="18" t="s">
        <v>40</v>
      </c>
      <c r="I99" s="70">
        <v>0.28000000000000003</v>
      </c>
      <c r="J99" t="s">
        <v>54</v>
      </c>
      <c r="K99" s="70">
        <v>8</v>
      </c>
    </row>
    <row r="100" spans="1:11" x14ac:dyDescent="0.3">
      <c r="A100" s="19" t="s">
        <v>18</v>
      </c>
      <c r="B100" t="s">
        <v>54</v>
      </c>
      <c r="C100" s="70">
        <v>1.22</v>
      </c>
      <c r="D100" t="s">
        <v>54</v>
      </c>
      <c r="E100" s="70">
        <v>1.08</v>
      </c>
      <c r="H100" s="18" t="s">
        <v>49</v>
      </c>
      <c r="I100" s="70">
        <v>0.33</v>
      </c>
    </row>
    <row r="101" spans="1:11" x14ac:dyDescent="0.3">
      <c r="A101" s="19" t="s">
        <v>18</v>
      </c>
      <c r="B101" t="s">
        <v>37</v>
      </c>
      <c r="C101" s="70">
        <v>0.3</v>
      </c>
      <c r="D101" t="s">
        <v>49</v>
      </c>
      <c r="E101" s="70">
        <v>1.5</v>
      </c>
      <c r="H101" s="18" t="s">
        <v>61</v>
      </c>
      <c r="I101" s="70">
        <v>2.1</v>
      </c>
    </row>
    <row r="102" spans="1:11" x14ac:dyDescent="0.3">
      <c r="A102" s="19" t="s">
        <v>18</v>
      </c>
      <c r="B102" t="s">
        <v>49</v>
      </c>
      <c r="C102" s="70">
        <v>1.3399999999999999</v>
      </c>
      <c r="D102" t="s">
        <v>61</v>
      </c>
      <c r="E102" s="70">
        <v>0.5</v>
      </c>
      <c r="H102" s="18" t="s">
        <v>62</v>
      </c>
      <c r="I102" s="70">
        <v>0.33</v>
      </c>
    </row>
    <row r="103" spans="1:11" x14ac:dyDescent="0.3">
      <c r="A103" s="19" t="s">
        <v>18</v>
      </c>
      <c r="B103" t="s">
        <v>61</v>
      </c>
      <c r="C103" s="70">
        <v>0.57999999999999996</v>
      </c>
      <c r="D103" t="s">
        <v>62</v>
      </c>
      <c r="E103" s="70">
        <v>0.28000000000000003</v>
      </c>
      <c r="H103" s="18" t="s">
        <v>44</v>
      </c>
      <c r="I103" s="70">
        <v>0.56000000000000005</v>
      </c>
    </row>
    <row r="104" spans="1:11" x14ac:dyDescent="0.3">
      <c r="A104" s="19" t="s">
        <v>18</v>
      </c>
      <c r="B104" t="s">
        <v>62</v>
      </c>
      <c r="C104" s="70">
        <v>0.12</v>
      </c>
      <c r="D104" t="s">
        <v>44</v>
      </c>
      <c r="E104" s="70">
        <v>0.95000000000000018</v>
      </c>
      <c r="H104" s="18" t="s">
        <v>30</v>
      </c>
      <c r="I104" s="70">
        <v>7.0000000000000007E-2</v>
      </c>
    </row>
    <row r="105" spans="1:11" x14ac:dyDescent="0.3">
      <c r="A105" s="19" t="s">
        <v>18</v>
      </c>
      <c r="B105" t="s">
        <v>44</v>
      </c>
      <c r="C105" s="70">
        <v>0.53</v>
      </c>
      <c r="D105" t="s">
        <v>30</v>
      </c>
      <c r="E105" s="70">
        <v>0.36000000000000004</v>
      </c>
      <c r="H105" s="18" t="s">
        <v>42</v>
      </c>
      <c r="I105" s="70">
        <v>1.19</v>
      </c>
    </row>
    <row r="106" spans="1:11" x14ac:dyDescent="0.3">
      <c r="A106" s="19" t="s">
        <v>18</v>
      </c>
      <c r="B106" t="s">
        <v>30</v>
      </c>
      <c r="C106" s="70">
        <v>0.3</v>
      </c>
      <c r="D106" t="s">
        <v>42</v>
      </c>
      <c r="E106" s="70">
        <v>1.18</v>
      </c>
      <c r="H106" s="18" t="s">
        <v>48</v>
      </c>
      <c r="I106" s="70">
        <v>0.48</v>
      </c>
    </row>
    <row r="107" spans="1:11" x14ac:dyDescent="0.3">
      <c r="A107" s="19" t="s">
        <v>18</v>
      </c>
      <c r="B107" t="s">
        <v>42</v>
      </c>
      <c r="C107" s="70">
        <v>1.99</v>
      </c>
      <c r="D107" t="s">
        <v>39</v>
      </c>
      <c r="E107" s="70">
        <v>0.22</v>
      </c>
      <c r="H107" s="18" t="s">
        <v>35</v>
      </c>
      <c r="I107" s="70">
        <v>2.67</v>
      </c>
    </row>
    <row r="108" spans="1:11" x14ac:dyDescent="0.3">
      <c r="A108" s="19" t="s">
        <v>18</v>
      </c>
      <c r="B108" t="s">
        <v>39</v>
      </c>
      <c r="C108" s="70">
        <v>0.17</v>
      </c>
      <c r="D108" t="s">
        <v>48</v>
      </c>
      <c r="E108" s="70">
        <v>0.91999999999999993</v>
      </c>
    </row>
    <row r="109" spans="1:11" x14ac:dyDescent="0.3">
      <c r="A109" s="19" t="s">
        <v>18</v>
      </c>
      <c r="B109" t="s">
        <v>48</v>
      </c>
      <c r="C109" s="70">
        <v>0.33</v>
      </c>
      <c r="D109" t="s">
        <v>35</v>
      </c>
      <c r="E109" s="70">
        <v>0.18</v>
      </c>
    </row>
    <row r="110" spans="1:11" x14ac:dyDescent="0.3">
      <c r="A110" s="19" t="s">
        <v>18</v>
      </c>
      <c r="B110" t="s">
        <v>35</v>
      </c>
      <c r="C110" s="70">
        <v>0.28000000000000003</v>
      </c>
    </row>
    <row r="113" spans="2:13" x14ac:dyDescent="0.3">
      <c r="L113" s="1"/>
      <c r="M113" s="1"/>
    </row>
    <row r="114" spans="2:13" x14ac:dyDescent="0.3">
      <c r="B114" s="1"/>
      <c r="D114" s="1"/>
      <c r="F114" s="1"/>
      <c r="H114" s="17"/>
      <c r="J114" s="1"/>
    </row>
    <row r="185" spans="2:13" x14ac:dyDescent="0.3">
      <c r="L185" s="1"/>
      <c r="M185" s="1"/>
    </row>
    <row r="186" spans="2:13" x14ac:dyDescent="0.3">
      <c r="B186" s="1"/>
      <c r="D186" s="1"/>
      <c r="F186" s="1"/>
      <c r="H186" s="17"/>
      <c r="J186" s="1"/>
    </row>
    <row r="257" spans="2:13" x14ac:dyDescent="0.3">
      <c r="L257" s="1"/>
      <c r="M257" s="1"/>
    </row>
    <row r="258" spans="2:13" x14ac:dyDescent="0.3">
      <c r="B258" s="1"/>
      <c r="D258" s="1"/>
      <c r="F258" s="1"/>
      <c r="H258" s="17"/>
      <c r="J258" s="1"/>
    </row>
    <row r="329" spans="2:13" x14ac:dyDescent="0.3">
      <c r="L329" s="1"/>
      <c r="M329" s="1"/>
    </row>
    <row r="330" spans="2:13" x14ac:dyDescent="0.3">
      <c r="B330" s="1"/>
      <c r="D330" s="1"/>
      <c r="F330" s="1"/>
      <c r="H330" s="17"/>
      <c r="J330" s="1"/>
    </row>
    <row r="401" spans="2:13" x14ac:dyDescent="0.3">
      <c r="L401" s="1"/>
      <c r="M401" s="1"/>
    </row>
    <row r="402" spans="2:13" x14ac:dyDescent="0.3">
      <c r="B402" s="1"/>
      <c r="D402" s="1"/>
      <c r="F402" s="1"/>
      <c r="H402" s="17"/>
      <c r="J402" s="1"/>
    </row>
    <row r="473" spans="2:13" x14ac:dyDescent="0.3">
      <c r="L473" s="1"/>
      <c r="M473" s="1"/>
    </row>
    <row r="474" spans="2:13" x14ac:dyDescent="0.3">
      <c r="B474" s="1"/>
      <c r="D474" s="1"/>
      <c r="F474" s="1"/>
      <c r="H474" s="17"/>
      <c r="J474" s="1"/>
    </row>
    <row r="545" spans="2:13" x14ac:dyDescent="0.3">
      <c r="L545" s="1"/>
      <c r="M545" s="1"/>
    </row>
    <row r="546" spans="2:13" x14ac:dyDescent="0.3">
      <c r="B546" s="1"/>
      <c r="D546" s="1"/>
      <c r="F546" s="1"/>
      <c r="H546" s="17"/>
      <c r="J546" s="1"/>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64BDCB-E634-498D-BB7C-47C748883FBF}">
          <x14:formula1>
            <xm:f>'Client Name'!$A:$A</xm:f>
          </x14:formula1>
          <xm:sqref>B4:B40 D4:D40 F4:F40 H4:H40 J4:J40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B81B-6269-4A9D-8607-F7AE2629F611}">
  <sheetPr codeName="Sheet13"/>
  <dimension ref="A1:AF39"/>
  <sheetViews>
    <sheetView zoomScale="55" zoomScaleNormal="55" workbookViewId="0">
      <selection activeCell="L1" sqref="L1"/>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26.88671875" style="16" bestFit="1" customWidth="1"/>
    <col min="9" max="9" width="5" customWidth="1"/>
    <col min="10" max="10" width="26.88671875" style="16" bestFit="1" customWidth="1"/>
    <col min="11" max="11" width="5" customWidth="1"/>
    <col min="12" max="12" width="11.109375" bestFit="1" customWidth="1"/>
    <col min="15" max="15" width="45.33203125" customWidth="1"/>
    <col min="16" max="16" width="13.44140625" customWidth="1"/>
    <col min="25" max="25" width="26" customWidth="1"/>
    <col min="26" max="26" width="12.88671875" customWidth="1"/>
  </cols>
  <sheetData>
    <row r="1" spans="1:32" ht="31.95" customHeight="1" thickBot="1" x14ac:dyDescent="0.35">
      <c r="A1" s="49" t="s">
        <v>3051</v>
      </c>
      <c r="B1" s="43" t="s">
        <v>324</v>
      </c>
      <c r="C1" s="14"/>
      <c r="D1" s="2"/>
      <c r="E1" s="14"/>
      <c r="F1" s="2"/>
      <c r="G1" s="14"/>
      <c r="H1" s="2"/>
      <c r="I1" s="14"/>
      <c r="J1" s="2"/>
      <c r="K1" s="14"/>
      <c r="L1" s="1" t="s">
        <v>3144</v>
      </c>
      <c r="M1" s="1">
        <v>160</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81</v>
      </c>
      <c r="P2" s="16">
        <v>160</v>
      </c>
      <c r="Q2" s="16"/>
      <c r="R2">
        <v>40</v>
      </c>
      <c r="S2">
        <v>40</v>
      </c>
      <c r="T2">
        <v>40</v>
      </c>
      <c r="U2">
        <v>40</v>
      </c>
      <c r="Y2" t="s">
        <v>81</v>
      </c>
      <c r="Z2">
        <v>174.61</v>
      </c>
      <c r="AB2">
        <v>5.62</v>
      </c>
      <c r="AC2">
        <v>43.73</v>
      </c>
      <c r="AD2">
        <v>47.43</v>
      </c>
      <c r="AE2">
        <v>43.999999999999993</v>
      </c>
      <c r="AF2">
        <v>33.83</v>
      </c>
    </row>
    <row r="3" spans="1:32" x14ac:dyDescent="0.3">
      <c r="A3" s="3"/>
      <c r="B3" s="2" t="s">
        <v>378</v>
      </c>
      <c r="C3" s="2"/>
      <c r="D3" s="2" t="s">
        <v>576</v>
      </c>
      <c r="E3" s="2"/>
      <c r="F3" s="2" t="s">
        <v>747</v>
      </c>
      <c r="G3" s="2"/>
      <c r="H3" s="2" t="s">
        <v>897</v>
      </c>
      <c r="I3" s="2"/>
      <c r="J3" s="2" t="s">
        <v>33</v>
      </c>
      <c r="O3" t="s">
        <v>54</v>
      </c>
      <c r="P3" s="16">
        <v>0</v>
      </c>
      <c r="Q3" s="16"/>
      <c r="R3">
        <v>0</v>
      </c>
      <c r="S3">
        <v>0</v>
      </c>
      <c r="T3">
        <v>0</v>
      </c>
      <c r="U3">
        <v>0</v>
      </c>
      <c r="Y3" t="s">
        <v>54</v>
      </c>
      <c r="Z3">
        <v>12.010000000000002</v>
      </c>
      <c r="AB3">
        <v>2.7</v>
      </c>
      <c r="AC3">
        <v>0.68</v>
      </c>
      <c r="AD3">
        <v>0</v>
      </c>
      <c r="AE3">
        <v>0</v>
      </c>
      <c r="AF3">
        <v>8.6300000000000008</v>
      </c>
    </row>
    <row r="4" spans="1:32" x14ac:dyDescent="0.3">
      <c r="A4" s="2" t="s">
        <v>13</v>
      </c>
      <c r="B4" s="3" t="s">
        <v>81</v>
      </c>
      <c r="C4" s="3">
        <v>8</v>
      </c>
      <c r="D4" s="3" t="s">
        <v>81</v>
      </c>
      <c r="E4" s="3">
        <v>8</v>
      </c>
      <c r="F4" s="3" t="s">
        <v>81</v>
      </c>
      <c r="G4" s="3">
        <v>8</v>
      </c>
      <c r="H4" s="3" t="s">
        <v>81</v>
      </c>
      <c r="I4" s="3">
        <v>8</v>
      </c>
      <c r="J4" s="3" t="s">
        <v>81</v>
      </c>
      <c r="K4" s="3">
        <v>8</v>
      </c>
      <c r="P4" s="16"/>
      <c r="Q4" s="16"/>
    </row>
    <row r="5" spans="1:32" x14ac:dyDescent="0.3">
      <c r="A5" s="2"/>
      <c r="B5" s="5"/>
      <c r="C5" s="3"/>
      <c r="D5" s="5"/>
      <c r="E5" s="3"/>
      <c r="F5" s="3"/>
      <c r="G5" s="3"/>
      <c r="H5" s="5"/>
      <c r="I5" s="3"/>
      <c r="J5" s="3"/>
      <c r="P5" s="16"/>
      <c r="Q5" s="16"/>
    </row>
    <row r="6" spans="1:32" x14ac:dyDescent="0.3">
      <c r="A6" s="2"/>
      <c r="B6" s="5"/>
      <c r="C6" s="3"/>
      <c r="D6" s="3"/>
      <c r="E6" s="3"/>
      <c r="F6" s="3"/>
      <c r="G6" s="3"/>
      <c r="H6" s="3"/>
      <c r="I6" s="3"/>
      <c r="J6" s="3"/>
      <c r="P6" s="16"/>
      <c r="Q6" s="16"/>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14</v>
      </c>
      <c r="B9" s="3" t="s">
        <v>81</v>
      </c>
      <c r="C9" s="3">
        <v>8</v>
      </c>
      <c r="D9" s="3" t="s">
        <v>81</v>
      </c>
      <c r="E9" s="3">
        <v>8</v>
      </c>
      <c r="F9" s="3" t="s">
        <v>81</v>
      </c>
      <c r="G9" s="3">
        <v>8</v>
      </c>
      <c r="H9" s="3" t="s">
        <v>81</v>
      </c>
      <c r="I9" s="3">
        <v>8</v>
      </c>
      <c r="J9" s="3" t="s">
        <v>81</v>
      </c>
      <c r="K9" s="3">
        <v>8</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c r="O13" t="s">
        <v>3143</v>
      </c>
      <c r="P13">
        <f>SUM(P2:P12)</f>
        <v>160</v>
      </c>
      <c r="R13">
        <f>SUM(R2:R12)</f>
        <v>40</v>
      </c>
      <c r="S13">
        <f>SUM(S2:S12)</f>
        <v>40</v>
      </c>
      <c r="T13">
        <f>SUM(T2:T12)</f>
        <v>40</v>
      </c>
      <c r="U13">
        <f>SUM(U2:U12)</f>
        <v>40</v>
      </c>
      <c r="Y13" t="s">
        <v>3143</v>
      </c>
      <c r="Z13">
        <f>SUM(Z2:Z12)</f>
        <v>186.62</v>
      </c>
      <c r="AB13">
        <f>SUM(AB2:AB12)</f>
        <v>8.32</v>
      </c>
      <c r="AC13">
        <f>SUM(AC2:AC12)</f>
        <v>44.41</v>
      </c>
      <c r="AD13">
        <f>SUM(AD2:AD12)</f>
        <v>47.43</v>
      </c>
      <c r="AE13">
        <f>SUM(AE2:AE12)</f>
        <v>43.999999999999993</v>
      </c>
      <c r="AF13">
        <f>SUM(AF2:AF12)</f>
        <v>42.46</v>
      </c>
    </row>
    <row r="14" spans="1:32" x14ac:dyDescent="0.3">
      <c r="A14" s="2" t="s">
        <v>15</v>
      </c>
      <c r="B14" s="3" t="s">
        <v>81</v>
      </c>
      <c r="C14" s="3">
        <v>8</v>
      </c>
      <c r="D14" s="3" t="s">
        <v>81</v>
      </c>
      <c r="E14" s="3">
        <v>8</v>
      </c>
      <c r="F14" s="3" t="s">
        <v>81</v>
      </c>
      <c r="G14" s="3">
        <v>8</v>
      </c>
      <c r="H14" s="3" t="s">
        <v>81</v>
      </c>
      <c r="I14" s="3">
        <v>8</v>
      </c>
      <c r="J14" s="3" t="s">
        <v>81</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16</v>
      </c>
      <c r="B19" s="3" t="s">
        <v>81</v>
      </c>
      <c r="C19" s="3">
        <v>8</v>
      </c>
      <c r="D19" s="3" t="s">
        <v>81</v>
      </c>
      <c r="E19" s="3">
        <v>8</v>
      </c>
      <c r="F19" s="3" t="s">
        <v>81</v>
      </c>
      <c r="G19" s="3">
        <v>8</v>
      </c>
      <c r="H19" s="3" t="s">
        <v>81</v>
      </c>
      <c r="I19" s="3">
        <v>8</v>
      </c>
      <c r="J19" s="3" t="s">
        <v>81</v>
      </c>
      <c r="K19" s="3">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17</v>
      </c>
      <c r="B22" s="3"/>
      <c r="C22" s="3"/>
      <c r="D22" s="3"/>
      <c r="E22" s="3"/>
      <c r="F22" s="3"/>
      <c r="G22" s="3"/>
      <c r="H22" s="3"/>
      <c r="I22" s="3"/>
      <c r="J22" s="3"/>
      <c r="L22" s="1" t="s">
        <v>3144</v>
      </c>
      <c r="M22" s="1">
        <v>186.62</v>
      </c>
    </row>
    <row r="23" spans="1:13" x14ac:dyDescent="0.3">
      <c r="A23" s="2"/>
      <c r="B23" s="2" t="s">
        <v>378</v>
      </c>
      <c r="C23" s="3"/>
      <c r="D23" s="2" t="s">
        <v>576</v>
      </c>
      <c r="E23" s="3"/>
      <c r="F23" s="2" t="s">
        <v>747</v>
      </c>
      <c r="G23" s="3"/>
      <c r="H23" s="2" t="s">
        <v>897</v>
      </c>
      <c r="I23" s="3"/>
      <c r="J23" s="2" t="s">
        <v>33</v>
      </c>
    </row>
    <row r="24" spans="1:13" x14ac:dyDescent="0.3">
      <c r="A24" s="2" t="s">
        <v>13</v>
      </c>
      <c r="B24" s="3"/>
      <c r="C24" s="3"/>
      <c r="D24" s="3"/>
      <c r="E24" s="3"/>
      <c r="F24" s="3"/>
      <c r="G24" s="3"/>
      <c r="H24" s="3"/>
      <c r="I24" s="3"/>
      <c r="J24" s="3" t="s">
        <v>81</v>
      </c>
      <c r="K24">
        <v>5.62</v>
      </c>
    </row>
    <row r="25" spans="1:13" x14ac:dyDescent="0.3">
      <c r="A25" s="2" t="s">
        <v>13</v>
      </c>
      <c r="B25" s="3"/>
      <c r="C25" s="3"/>
      <c r="D25" s="3"/>
      <c r="E25" s="3"/>
      <c r="F25" s="3"/>
      <c r="G25" s="3"/>
      <c r="H25" s="3"/>
      <c r="I25" s="3"/>
      <c r="J25" s="3" t="s">
        <v>54</v>
      </c>
      <c r="K25">
        <v>2.7</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14</v>
      </c>
      <c r="B28" s="3" t="s">
        <v>81</v>
      </c>
      <c r="C28" s="3">
        <v>8.57</v>
      </c>
      <c r="D28" s="3" t="s">
        <v>81</v>
      </c>
      <c r="E28" s="3">
        <v>9.4499999999999993</v>
      </c>
      <c r="F28" s="3" t="s">
        <v>81</v>
      </c>
      <c r="G28" s="3">
        <v>8.16</v>
      </c>
      <c r="H28" s="3" t="s">
        <v>81</v>
      </c>
      <c r="I28" s="3">
        <v>8.6</v>
      </c>
      <c r="J28" s="3" t="s">
        <v>81</v>
      </c>
      <c r="K28">
        <v>8.9499999999999993</v>
      </c>
    </row>
    <row r="29" spans="1:13" x14ac:dyDescent="0.3">
      <c r="A29" s="2" t="s">
        <v>14</v>
      </c>
      <c r="B29" s="3"/>
      <c r="C29" s="3"/>
      <c r="D29" s="3" t="s">
        <v>54</v>
      </c>
      <c r="E29" s="3">
        <v>0.68</v>
      </c>
      <c r="F29" s="3"/>
      <c r="G29" s="3"/>
      <c r="H29" s="3"/>
      <c r="I29" s="3"/>
      <c r="J29" s="3"/>
    </row>
    <row r="30" spans="1:13" x14ac:dyDescent="0.3">
      <c r="A30" s="2"/>
      <c r="B30" s="3"/>
      <c r="C30" s="3"/>
      <c r="D30" s="3"/>
      <c r="E30" s="3"/>
      <c r="F30" s="3"/>
      <c r="G30" s="3"/>
      <c r="H30" s="3"/>
      <c r="I30" s="3"/>
      <c r="J30" s="3"/>
    </row>
    <row r="31" spans="1:13" x14ac:dyDescent="0.3">
      <c r="D31" s="3"/>
      <c r="F31" s="3"/>
      <c r="H31" s="3"/>
      <c r="J31" s="3"/>
    </row>
    <row r="32" spans="1:13" x14ac:dyDescent="0.3">
      <c r="A32" s="19" t="s">
        <v>15</v>
      </c>
      <c r="B32" s="16" t="s">
        <v>81</v>
      </c>
      <c r="C32">
        <v>8.9</v>
      </c>
      <c r="D32" s="16" t="s">
        <v>81</v>
      </c>
      <c r="E32">
        <v>8.73</v>
      </c>
      <c r="F32" s="3" t="s">
        <v>81</v>
      </c>
      <c r="G32">
        <v>10.85</v>
      </c>
      <c r="H32" s="3" t="s">
        <v>81</v>
      </c>
      <c r="I32">
        <v>8.7799999999999994</v>
      </c>
      <c r="J32" s="3" t="s">
        <v>81</v>
      </c>
      <c r="K32">
        <v>10.17</v>
      </c>
    </row>
    <row r="33" spans="1:11" x14ac:dyDescent="0.3">
      <c r="F33" s="3"/>
      <c r="H33" s="3"/>
      <c r="J33" s="3"/>
    </row>
    <row r="34" spans="1:11" x14ac:dyDescent="0.3">
      <c r="H34" s="3"/>
    </row>
    <row r="35" spans="1:11" x14ac:dyDescent="0.3">
      <c r="A35" s="19" t="s">
        <v>16</v>
      </c>
      <c r="B35" s="16" t="s">
        <v>81</v>
      </c>
      <c r="C35">
        <v>9.59</v>
      </c>
      <c r="D35" s="16" t="s">
        <v>81</v>
      </c>
      <c r="E35">
        <v>8.1300000000000008</v>
      </c>
      <c r="F35" s="16" t="s">
        <v>81</v>
      </c>
      <c r="G35">
        <v>8.6999999999999993</v>
      </c>
      <c r="H35" s="3" t="s">
        <v>81</v>
      </c>
      <c r="I35">
        <v>8.9</v>
      </c>
      <c r="J35" s="16" t="s">
        <v>81</v>
      </c>
      <c r="K35">
        <v>8.68</v>
      </c>
    </row>
    <row r="36" spans="1:11" x14ac:dyDescent="0.3">
      <c r="H36" s="3"/>
    </row>
    <row r="37" spans="1:11" x14ac:dyDescent="0.3">
      <c r="H37" s="3"/>
    </row>
    <row r="38" spans="1:11" x14ac:dyDescent="0.3">
      <c r="A38" s="19" t="s">
        <v>18</v>
      </c>
      <c r="B38" s="16" t="s">
        <v>81</v>
      </c>
      <c r="C38">
        <v>8.7200000000000006</v>
      </c>
      <c r="D38" s="16" t="s">
        <v>81</v>
      </c>
      <c r="E38">
        <v>8.68</v>
      </c>
      <c r="F38" s="16" t="s">
        <v>81</v>
      </c>
      <c r="G38">
        <v>7.68</v>
      </c>
      <c r="H38" s="16" t="s">
        <v>81</v>
      </c>
      <c r="I38">
        <v>8.75</v>
      </c>
      <c r="J38" s="16" t="s">
        <v>54</v>
      </c>
      <c r="K38">
        <v>8</v>
      </c>
    </row>
    <row r="39" spans="1:11" x14ac:dyDescent="0.3">
      <c r="A39" s="19" t="s">
        <v>18</v>
      </c>
      <c r="F39" s="16" t="s">
        <v>54</v>
      </c>
      <c r="G39">
        <v>0.63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96BFA40-BDDD-4C62-B509-D228851AB0FC}">
          <x14:formula1>
            <xm:f>'Client Name'!$A:$A</xm:f>
          </x14:formula1>
          <xm:sqref>D19:D31 B19:B29 H19:H37 F19:F33 Y4:Y8 J19:J33 B4 D4 F4 H4 J4 J9 J14 H9 H14 F9 F14 D9 D14 B9 B14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3CEE-2745-4859-936F-0E1E1FB35EBF}">
  <sheetPr codeName="Sheet3"/>
  <dimension ref="A1:AF57"/>
  <sheetViews>
    <sheetView zoomScale="85" zoomScaleNormal="85" workbookViewId="0">
      <selection activeCell="L1" sqref="L1"/>
    </sheetView>
  </sheetViews>
  <sheetFormatPr defaultRowHeight="14.4" x14ac:dyDescent="0.3"/>
  <cols>
    <col min="1" max="1" width="17.109375" style="19" customWidth="1"/>
    <col min="2" max="2" width="28.44140625" customWidth="1"/>
    <col min="3" max="3" width="9.33203125" bestFit="1" customWidth="1"/>
    <col min="4" max="4" width="26.88671875" bestFit="1" customWidth="1"/>
    <col min="5" max="5" width="8.88671875" bestFit="1" customWidth="1"/>
    <col min="6" max="6" width="26.88671875" bestFit="1" customWidth="1"/>
    <col min="7" max="7" width="8.88671875" bestFit="1" customWidth="1"/>
    <col min="8" max="8" width="37.88671875" style="18" bestFit="1" customWidth="1"/>
    <col min="9" max="9" width="8.88671875" bestFit="1" customWidth="1"/>
    <col min="10" max="10" width="37.88671875" bestFit="1" customWidth="1"/>
    <col min="11" max="11" width="9.33203125" bestFit="1" customWidth="1"/>
  </cols>
  <sheetData>
    <row r="1" spans="1:32" ht="37.200000000000003" customHeight="1" thickBot="1" x14ac:dyDescent="0.35">
      <c r="A1" s="47" t="s">
        <v>3051</v>
      </c>
      <c r="B1" s="48" t="s">
        <v>72</v>
      </c>
      <c r="C1" s="14"/>
      <c r="D1" s="14"/>
      <c r="E1" s="14"/>
      <c r="F1" s="14"/>
      <c r="G1" s="14"/>
      <c r="H1" s="4"/>
      <c r="I1" s="14"/>
      <c r="J1" s="14"/>
      <c r="K1" s="14"/>
      <c r="L1" s="1" t="s">
        <v>3144</v>
      </c>
      <c r="M1">
        <v>160</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2"/>
      <c r="H2" s="4"/>
      <c r="I2" s="2"/>
      <c r="J2" s="14"/>
      <c r="K2" s="2"/>
      <c r="O2" t="s">
        <v>358</v>
      </c>
      <c r="P2">
        <v>22</v>
      </c>
      <c r="R2">
        <v>12</v>
      </c>
      <c r="S2">
        <v>7</v>
      </c>
      <c r="T2">
        <v>0</v>
      </c>
      <c r="U2">
        <v>3</v>
      </c>
      <c r="Y2" t="s">
        <v>358</v>
      </c>
      <c r="Z2">
        <v>29.450000000000003</v>
      </c>
      <c r="AB2">
        <v>0</v>
      </c>
      <c r="AC2">
        <v>11.740000000000002</v>
      </c>
      <c r="AD2">
        <v>7.4700000000000006</v>
      </c>
      <c r="AE2">
        <v>1.57</v>
      </c>
      <c r="AF2">
        <v>8.6700000000000017</v>
      </c>
    </row>
    <row r="3" spans="1:32" x14ac:dyDescent="0.3">
      <c r="A3" s="2"/>
      <c r="B3" s="2" t="s">
        <v>378</v>
      </c>
      <c r="C3" s="68"/>
      <c r="D3" s="2" t="s">
        <v>576</v>
      </c>
      <c r="E3" s="68"/>
      <c r="F3" s="2" t="s">
        <v>747</v>
      </c>
      <c r="G3" s="68"/>
      <c r="H3" s="4" t="s">
        <v>897</v>
      </c>
      <c r="I3" s="68"/>
      <c r="J3" s="14" t="s">
        <v>33</v>
      </c>
      <c r="K3" s="68"/>
      <c r="O3" t="s">
        <v>254</v>
      </c>
      <c r="P3">
        <v>0</v>
      </c>
      <c r="R3">
        <v>0</v>
      </c>
      <c r="S3">
        <v>0</v>
      </c>
      <c r="T3">
        <v>0</v>
      </c>
      <c r="U3">
        <v>0</v>
      </c>
      <c r="Y3" t="s">
        <v>254</v>
      </c>
      <c r="Z3">
        <v>1.75</v>
      </c>
      <c r="AB3">
        <v>0</v>
      </c>
      <c r="AC3">
        <v>0</v>
      </c>
      <c r="AD3">
        <v>0.77</v>
      </c>
      <c r="AE3">
        <v>0.98</v>
      </c>
      <c r="AF3">
        <v>0</v>
      </c>
    </row>
    <row r="4" spans="1:32" x14ac:dyDescent="0.3">
      <c r="A4" s="2" t="s">
        <v>13</v>
      </c>
      <c r="B4" s="51" t="s">
        <v>358</v>
      </c>
      <c r="C4" s="3">
        <v>4</v>
      </c>
      <c r="D4" s="51" t="s">
        <v>358</v>
      </c>
      <c r="E4" s="3">
        <v>4</v>
      </c>
      <c r="F4" s="51" t="s">
        <v>358</v>
      </c>
      <c r="G4" s="3">
        <v>4</v>
      </c>
      <c r="I4" s="16"/>
      <c r="J4" s="18"/>
      <c r="K4" s="16"/>
      <c r="O4" t="s">
        <v>54</v>
      </c>
      <c r="P4">
        <v>112</v>
      </c>
      <c r="R4">
        <v>21.5</v>
      </c>
      <c r="S4">
        <v>26.5</v>
      </c>
      <c r="T4">
        <v>33.5</v>
      </c>
      <c r="U4">
        <v>30.5</v>
      </c>
      <c r="Y4" t="s">
        <v>54</v>
      </c>
      <c r="Z4">
        <v>102.84</v>
      </c>
      <c r="AB4">
        <v>8</v>
      </c>
      <c r="AC4">
        <v>20.290000000000003</v>
      </c>
      <c r="AD4">
        <v>22.29</v>
      </c>
      <c r="AE4">
        <v>29.67</v>
      </c>
      <c r="AF4">
        <v>22.59</v>
      </c>
    </row>
    <row r="5" spans="1:32" x14ac:dyDescent="0.3">
      <c r="A5" s="2" t="s">
        <v>13</v>
      </c>
      <c r="B5" s="51"/>
      <c r="C5" s="3"/>
      <c r="D5" s="15" t="s">
        <v>271</v>
      </c>
      <c r="E5" s="3">
        <v>1</v>
      </c>
      <c r="F5" s="51" t="s">
        <v>271</v>
      </c>
      <c r="G5" s="3">
        <v>0.5</v>
      </c>
      <c r="H5" s="51" t="s">
        <v>271</v>
      </c>
      <c r="I5" s="3">
        <v>3.5</v>
      </c>
      <c r="J5" s="51" t="s">
        <v>271</v>
      </c>
      <c r="K5" s="16">
        <v>0.5</v>
      </c>
      <c r="O5" t="s">
        <v>271</v>
      </c>
      <c r="P5">
        <v>22</v>
      </c>
      <c r="R5">
        <v>5.5</v>
      </c>
      <c r="S5">
        <v>5.5</v>
      </c>
      <c r="T5">
        <v>5.5</v>
      </c>
      <c r="U5">
        <v>5.5</v>
      </c>
      <c r="Y5" t="s">
        <v>271</v>
      </c>
      <c r="Z5">
        <v>24.91</v>
      </c>
      <c r="AB5">
        <v>0</v>
      </c>
      <c r="AC5">
        <v>6.7899999999999991</v>
      </c>
      <c r="AD5">
        <v>5.91</v>
      </c>
      <c r="AE5">
        <v>5.82</v>
      </c>
      <c r="AF5">
        <v>6.3900000000000006</v>
      </c>
    </row>
    <row r="6" spans="1:32" x14ac:dyDescent="0.3">
      <c r="A6" s="2" t="s">
        <v>13</v>
      </c>
      <c r="B6" s="51"/>
      <c r="C6" s="3"/>
      <c r="D6" s="15"/>
      <c r="E6" s="3"/>
      <c r="F6" s="18"/>
      <c r="G6" s="16"/>
      <c r="H6" s="51" t="s">
        <v>156</v>
      </c>
      <c r="I6" s="3">
        <v>1</v>
      </c>
      <c r="J6" s="51"/>
      <c r="K6" s="16"/>
      <c r="O6" t="s">
        <v>139</v>
      </c>
      <c r="P6">
        <v>0</v>
      </c>
      <c r="R6">
        <v>0</v>
      </c>
      <c r="S6">
        <v>0</v>
      </c>
      <c r="T6">
        <v>0</v>
      </c>
      <c r="U6">
        <v>0</v>
      </c>
      <c r="Y6" t="s">
        <v>139</v>
      </c>
      <c r="Z6">
        <v>0.32</v>
      </c>
      <c r="AB6">
        <v>0</v>
      </c>
      <c r="AC6">
        <v>0</v>
      </c>
      <c r="AD6">
        <v>0</v>
      </c>
      <c r="AE6">
        <v>0.32</v>
      </c>
      <c r="AF6">
        <v>0</v>
      </c>
    </row>
    <row r="7" spans="1:32" x14ac:dyDescent="0.3">
      <c r="A7" s="2" t="s">
        <v>13</v>
      </c>
      <c r="B7" s="15" t="s">
        <v>54</v>
      </c>
      <c r="C7" s="16">
        <v>4</v>
      </c>
      <c r="D7" s="15" t="s">
        <v>54</v>
      </c>
      <c r="E7" s="3">
        <v>3</v>
      </c>
      <c r="F7" s="15" t="s">
        <v>54</v>
      </c>
      <c r="G7" s="3">
        <v>3.5</v>
      </c>
      <c r="H7" s="15" t="s">
        <v>54</v>
      </c>
      <c r="I7" s="3">
        <v>3.5</v>
      </c>
      <c r="J7" s="15" t="s">
        <v>54</v>
      </c>
      <c r="K7" s="16">
        <v>7.5</v>
      </c>
      <c r="O7" t="s">
        <v>156</v>
      </c>
      <c r="P7">
        <v>4</v>
      </c>
      <c r="R7">
        <v>1</v>
      </c>
      <c r="S7">
        <v>1</v>
      </c>
      <c r="T7">
        <v>1</v>
      </c>
      <c r="U7">
        <v>1</v>
      </c>
      <c r="Y7" t="s">
        <v>156</v>
      </c>
      <c r="Z7">
        <v>4.7</v>
      </c>
      <c r="AB7">
        <v>0</v>
      </c>
      <c r="AC7">
        <v>1.5299999999999998</v>
      </c>
      <c r="AD7">
        <v>2.41</v>
      </c>
      <c r="AE7">
        <v>0</v>
      </c>
      <c r="AF7">
        <v>0.76</v>
      </c>
    </row>
    <row r="8" spans="1:32" x14ac:dyDescent="0.3">
      <c r="A8" s="2"/>
      <c r="B8" s="51"/>
      <c r="C8" s="3"/>
      <c r="D8" s="15"/>
      <c r="E8" s="3"/>
      <c r="F8" s="15"/>
      <c r="G8" s="3"/>
      <c r="H8" s="15"/>
      <c r="I8" s="3"/>
      <c r="J8" s="15"/>
      <c r="K8" s="16"/>
      <c r="O8" t="s">
        <v>30</v>
      </c>
      <c r="P8">
        <v>0</v>
      </c>
      <c r="R8">
        <v>0</v>
      </c>
      <c r="S8">
        <v>0</v>
      </c>
      <c r="T8">
        <v>0</v>
      </c>
      <c r="U8">
        <v>0</v>
      </c>
      <c r="Y8" t="s">
        <v>30</v>
      </c>
      <c r="Z8">
        <v>2.08</v>
      </c>
      <c r="AB8">
        <v>0</v>
      </c>
      <c r="AC8">
        <v>0</v>
      </c>
      <c r="AD8">
        <v>0.51</v>
      </c>
      <c r="AE8">
        <v>0</v>
      </c>
      <c r="AF8">
        <v>1.5699999999999998</v>
      </c>
    </row>
    <row r="9" spans="1:32" x14ac:dyDescent="0.3">
      <c r="A9" s="2"/>
      <c r="B9" s="15"/>
      <c r="C9" s="3"/>
      <c r="D9" s="15"/>
      <c r="E9" s="3"/>
      <c r="F9" s="15"/>
      <c r="G9" s="3"/>
      <c r="H9" s="15"/>
      <c r="I9" s="3"/>
      <c r="J9" s="15"/>
      <c r="K9" s="16"/>
      <c r="O9" t="s">
        <v>42</v>
      </c>
      <c r="P9">
        <v>0</v>
      </c>
      <c r="R9">
        <v>0</v>
      </c>
      <c r="S9">
        <v>0</v>
      </c>
      <c r="T9">
        <v>0</v>
      </c>
      <c r="U9">
        <v>0</v>
      </c>
      <c r="Y9" t="s">
        <v>42</v>
      </c>
      <c r="Z9">
        <v>3.08</v>
      </c>
      <c r="AB9">
        <v>0</v>
      </c>
      <c r="AC9">
        <v>0</v>
      </c>
      <c r="AD9">
        <v>0.77</v>
      </c>
      <c r="AE9">
        <v>2.04</v>
      </c>
      <c r="AF9">
        <v>0.27</v>
      </c>
    </row>
    <row r="10" spans="1:32" x14ac:dyDescent="0.3">
      <c r="A10" s="2" t="s">
        <v>14</v>
      </c>
      <c r="B10" s="51" t="s">
        <v>358</v>
      </c>
      <c r="C10" s="3">
        <v>2</v>
      </c>
      <c r="D10" s="18"/>
      <c r="E10" s="3"/>
      <c r="F10" s="51"/>
      <c r="G10" s="3"/>
      <c r="H10" s="51" t="s">
        <v>358</v>
      </c>
      <c r="I10" s="16">
        <v>2</v>
      </c>
      <c r="J10" s="51" t="s">
        <v>358</v>
      </c>
      <c r="K10" s="16">
        <v>3</v>
      </c>
    </row>
    <row r="11" spans="1:32" x14ac:dyDescent="0.3">
      <c r="A11" s="2" t="s">
        <v>14</v>
      </c>
      <c r="B11" s="51"/>
      <c r="C11" s="3"/>
      <c r="D11" s="15" t="s">
        <v>271</v>
      </c>
      <c r="E11" s="3">
        <v>3</v>
      </c>
      <c r="F11" s="15" t="s">
        <v>271</v>
      </c>
      <c r="G11" s="3">
        <v>1.5</v>
      </c>
      <c r="H11" s="15" t="s">
        <v>271</v>
      </c>
      <c r="I11" s="3">
        <v>1</v>
      </c>
      <c r="J11" s="51"/>
      <c r="K11" s="16"/>
    </row>
    <row r="12" spans="1:32" x14ac:dyDescent="0.3">
      <c r="A12" s="2" t="s">
        <v>14</v>
      </c>
      <c r="B12" s="51"/>
      <c r="C12" s="3"/>
      <c r="D12" s="15"/>
      <c r="E12" s="3"/>
      <c r="F12" s="15"/>
      <c r="G12" s="3"/>
      <c r="H12" s="15" t="s">
        <v>156</v>
      </c>
      <c r="I12" s="3">
        <v>1</v>
      </c>
      <c r="J12" s="15"/>
      <c r="K12" s="16"/>
    </row>
    <row r="13" spans="1:32" x14ac:dyDescent="0.3">
      <c r="A13" s="2" t="s">
        <v>14</v>
      </c>
      <c r="B13" s="15" t="s">
        <v>54</v>
      </c>
      <c r="C13" s="16">
        <v>6</v>
      </c>
      <c r="D13" s="15" t="s">
        <v>54</v>
      </c>
      <c r="E13" s="3">
        <v>5</v>
      </c>
      <c r="F13" s="15" t="s">
        <v>54</v>
      </c>
      <c r="G13" s="3">
        <v>6.5</v>
      </c>
      <c r="H13" s="15" t="s">
        <v>54</v>
      </c>
      <c r="I13" s="3">
        <v>4</v>
      </c>
      <c r="J13" s="15" t="s">
        <v>54</v>
      </c>
      <c r="K13" s="16">
        <v>5</v>
      </c>
    </row>
    <row r="14" spans="1:32" x14ac:dyDescent="0.3">
      <c r="A14" s="2"/>
      <c r="B14" s="51"/>
      <c r="C14" s="3"/>
      <c r="D14" s="15"/>
      <c r="E14" s="3"/>
      <c r="F14" s="15"/>
      <c r="G14" s="3"/>
      <c r="H14" s="15"/>
      <c r="I14" s="3"/>
      <c r="J14" s="15"/>
      <c r="K14" s="16"/>
    </row>
    <row r="15" spans="1:32" x14ac:dyDescent="0.3">
      <c r="A15" s="2"/>
      <c r="B15" s="15"/>
      <c r="C15" s="3"/>
      <c r="D15" s="15"/>
      <c r="E15" s="3"/>
      <c r="F15" s="15"/>
      <c r="G15" s="3"/>
      <c r="H15" s="15"/>
      <c r="I15" s="3"/>
      <c r="J15" s="15"/>
      <c r="K15" s="16"/>
    </row>
    <row r="16" spans="1:32" x14ac:dyDescent="0.3">
      <c r="A16" s="2" t="s">
        <v>15</v>
      </c>
      <c r="B16" s="51"/>
      <c r="C16" s="3"/>
      <c r="D16" s="15" t="s">
        <v>271</v>
      </c>
      <c r="E16" s="3">
        <v>1</v>
      </c>
      <c r="F16" s="51" t="s">
        <v>271</v>
      </c>
      <c r="G16" s="3">
        <v>0.5</v>
      </c>
      <c r="H16" s="51" t="s">
        <v>271</v>
      </c>
      <c r="I16" s="3">
        <v>3.5</v>
      </c>
      <c r="J16" s="51" t="s">
        <v>271</v>
      </c>
      <c r="K16" s="16">
        <v>0.5</v>
      </c>
    </row>
    <row r="17" spans="1:32" x14ac:dyDescent="0.3">
      <c r="A17" s="2" t="s">
        <v>15</v>
      </c>
      <c r="B17" s="51"/>
      <c r="C17" s="3"/>
      <c r="D17" s="15"/>
      <c r="E17" s="3"/>
      <c r="F17" s="51"/>
      <c r="G17" s="3"/>
      <c r="H17" s="51" t="s">
        <v>156</v>
      </c>
      <c r="I17" s="3">
        <v>1</v>
      </c>
      <c r="J17" s="51"/>
      <c r="K17" s="16"/>
    </row>
    <row r="18" spans="1:32" x14ac:dyDescent="0.3">
      <c r="A18" s="2" t="s">
        <v>15</v>
      </c>
      <c r="B18" s="15" t="s">
        <v>54</v>
      </c>
      <c r="C18" s="16">
        <v>8</v>
      </c>
      <c r="D18" s="15" t="s">
        <v>54</v>
      </c>
      <c r="E18" s="3">
        <v>7</v>
      </c>
      <c r="F18" s="15" t="s">
        <v>54</v>
      </c>
      <c r="G18" s="3">
        <v>7.5</v>
      </c>
      <c r="H18" s="15" t="s">
        <v>54</v>
      </c>
      <c r="I18" s="3">
        <v>3.5</v>
      </c>
      <c r="J18" s="15" t="s">
        <v>54</v>
      </c>
      <c r="K18" s="16">
        <v>7.5</v>
      </c>
    </row>
    <row r="19" spans="1:32" x14ac:dyDescent="0.3">
      <c r="A19" s="2"/>
      <c r="B19" s="51"/>
      <c r="C19" s="3"/>
      <c r="D19" s="15"/>
      <c r="E19" s="3"/>
      <c r="F19" s="15"/>
      <c r="G19" s="3"/>
      <c r="H19" s="15"/>
      <c r="I19" s="3"/>
      <c r="J19" s="15"/>
      <c r="K19" s="16"/>
      <c r="O19" t="s">
        <v>3143</v>
      </c>
      <c r="P19">
        <f>SUM(P2:P18)</f>
        <v>160</v>
      </c>
      <c r="R19">
        <f>SUM(R2:R18)</f>
        <v>40</v>
      </c>
      <c r="S19">
        <f>SUM(S2:S18)</f>
        <v>40</v>
      </c>
      <c r="T19">
        <f>SUM(T2:T18)</f>
        <v>40</v>
      </c>
      <c r="U19">
        <f>SUM(U2:U18)</f>
        <v>40</v>
      </c>
      <c r="Y19" t="s">
        <v>3143</v>
      </c>
      <c r="Z19">
        <f>SUM(Z2:Z18)</f>
        <v>169.13000000000002</v>
      </c>
      <c r="AB19">
        <f>SUM(AB2:AB18)</f>
        <v>8</v>
      </c>
      <c r="AC19">
        <f>SUM(AC2:AC18)</f>
        <v>40.35</v>
      </c>
      <c r="AD19">
        <f>SUM(AD2:AD18)</f>
        <v>40.129999999999995</v>
      </c>
      <c r="AE19">
        <f>SUM(AE2:AE18)</f>
        <v>40.4</v>
      </c>
      <c r="AF19">
        <f>SUM(AF2:AF18)</f>
        <v>40.250000000000007</v>
      </c>
    </row>
    <row r="20" spans="1:32" x14ac:dyDescent="0.3">
      <c r="A20" s="2"/>
      <c r="B20" s="15"/>
      <c r="C20" s="3"/>
      <c r="D20" s="15"/>
      <c r="E20" s="3"/>
      <c r="F20" s="15"/>
      <c r="G20" s="3"/>
      <c r="H20" s="15"/>
      <c r="I20" s="3"/>
      <c r="J20" s="15"/>
      <c r="K20" s="16"/>
    </row>
    <row r="21" spans="1:32" x14ac:dyDescent="0.3">
      <c r="A21" s="2" t="s">
        <v>16</v>
      </c>
      <c r="B21" s="51" t="s">
        <v>358</v>
      </c>
      <c r="C21" s="3">
        <v>3</v>
      </c>
      <c r="D21" s="18"/>
      <c r="E21" s="3"/>
      <c r="F21" s="15"/>
      <c r="G21" s="3"/>
      <c r="H21" s="15"/>
      <c r="I21" s="3"/>
      <c r="J21" s="51"/>
      <c r="K21" s="16"/>
    </row>
    <row r="22" spans="1:32" x14ac:dyDescent="0.3">
      <c r="A22" s="2" t="s">
        <v>16</v>
      </c>
      <c r="B22" s="51"/>
      <c r="C22" s="3"/>
      <c r="D22" s="15" t="s">
        <v>271</v>
      </c>
      <c r="E22" s="3">
        <v>3</v>
      </c>
      <c r="F22" s="15" t="s">
        <v>271</v>
      </c>
      <c r="G22" s="3">
        <v>1.5</v>
      </c>
      <c r="H22" s="15" t="s">
        <v>271</v>
      </c>
      <c r="I22" s="3">
        <v>1</v>
      </c>
      <c r="J22" s="51"/>
      <c r="K22" s="16"/>
    </row>
    <row r="23" spans="1:32" x14ac:dyDescent="0.3">
      <c r="A23" s="2" t="s">
        <v>16</v>
      </c>
      <c r="B23" s="51"/>
      <c r="C23" s="3"/>
      <c r="D23" s="15"/>
      <c r="E23" s="3"/>
      <c r="F23" s="15"/>
      <c r="G23" s="3"/>
      <c r="H23" s="15" t="s">
        <v>156</v>
      </c>
      <c r="I23" s="3">
        <v>1</v>
      </c>
      <c r="J23" s="15"/>
      <c r="K23" s="16"/>
    </row>
    <row r="24" spans="1:32" x14ac:dyDescent="0.3">
      <c r="A24" s="2" t="s">
        <v>16</v>
      </c>
      <c r="B24" s="15" t="s">
        <v>54</v>
      </c>
      <c r="C24" s="16">
        <v>5</v>
      </c>
      <c r="D24" s="15" t="s">
        <v>54</v>
      </c>
      <c r="E24" s="3">
        <v>5</v>
      </c>
      <c r="F24" s="15" t="s">
        <v>54</v>
      </c>
      <c r="G24" s="3">
        <v>6.5</v>
      </c>
      <c r="H24" s="15" t="s">
        <v>54</v>
      </c>
      <c r="I24" s="3">
        <v>6</v>
      </c>
      <c r="J24" s="15" t="s">
        <v>54</v>
      </c>
      <c r="K24" s="16">
        <v>8</v>
      </c>
    </row>
    <row r="25" spans="1:32" x14ac:dyDescent="0.3">
      <c r="A25" s="2"/>
      <c r="B25" s="51"/>
      <c r="C25" s="3"/>
      <c r="D25" s="15"/>
      <c r="E25" s="3"/>
      <c r="F25" s="15"/>
      <c r="G25" s="3"/>
      <c r="H25" s="15"/>
      <c r="I25" s="3"/>
      <c r="J25" s="15"/>
      <c r="K25" s="16"/>
    </row>
    <row r="27" spans="1:32" x14ac:dyDescent="0.3">
      <c r="A27" s="2" t="s">
        <v>17</v>
      </c>
      <c r="L27" s="1" t="s">
        <v>3144</v>
      </c>
      <c r="M27" s="1">
        <v>169.13000000000002</v>
      </c>
    </row>
    <row r="28" spans="1:32" x14ac:dyDescent="0.3">
      <c r="B28" s="1" t="s">
        <v>378</v>
      </c>
      <c r="D28" s="1" t="s">
        <v>576</v>
      </c>
      <c r="F28" s="1" t="s">
        <v>747</v>
      </c>
      <c r="H28" s="17" t="s">
        <v>897</v>
      </c>
      <c r="J28" s="1" t="s">
        <v>33</v>
      </c>
    </row>
    <row r="29" spans="1:32" x14ac:dyDescent="0.3">
      <c r="A29" s="19" t="s">
        <v>13</v>
      </c>
      <c r="J29" t="s">
        <v>54</v>
      </c>
      <c r="K29">
        <v>8</v>
      </c>
    </row>
    <row r="32" spans="1:32" x14ac:dyDescent="0.3">
      <c r="A32" s="19" t="s">
        <v>14</v>
      </c>
      <c r="B32" t="s">
        <v>358</v>
      </c>
      <c r="C32">
        <v>1.0900000000000001</v>
      </c>
      <c r="D32" t="s">
        <v>358</v>
      </c>
      <c r="E32">
        <v>3.2</v>
      </c>
      <c r="F32" t="s">
        <v>358</v>
      </c>
      <c r="G32">
        <v>3.9</v>
      </c>
      <c r="H32" s="18" t="s">
        <v>358</v>
      </c>
      <c r="I32">
        <v>1.32</v>
      </c>
      <c r="J32" t="s">
        <v>358</v>
      </c>
      <c r="K32">
        <v>2.23</v>
      </c>
    </row>
    <row r="33" spans="1:11" x14ac:dyDescent="0.3">
      <c r="A33" s="19" t="s">
        <v>14</v>
      </c>
      <c r="B33" t="s">
        <v>54</v>
      </c>
      <c r="C33">
        <v>4.84</v>
      </c>
      <c r="D33" t="s">
        <v>54</v>
      </c>
      <c r="E33">
        <v>3.73</v>
      </c>
      <c r="F33" t="s">
        <v>54</v>
      </c>
      <c r="G33">
        <v>2</v>
      </c>
      <c r="H33" s="18" t="s">
        <v>54</v>
      </c>
      <c r="I33">
        <v>6.13</v>
      </c>
      <c r="J33" t="s">
        <v>54</v>
      </c>
      <c r="K33">
        <v>3.59</v>
      </c>
    </row>
    <row r="34" spans="1:11" x14ac:dyDescent="0.3">
      <c r="A34" s="19" t="s">
        <v>14</v>
      </c>
      <c r="B34" t="s">
        <v>271</v>
      </c>
      <c r="C34">
        <v>2.12</v>
      </c>
      <c r="D34" t="s">
        <v>271</v>
      </c>
      <c r="E34">
        <v>0.62</v>
      </c>
      <c r="F34" t="s">
        <v>271</v>
      </c>
      <c r="G34">
        <v>2.2000000000000002</v>
      </c>
      <c r="H34" s="18" t="s">
        <v>271</v>
      </c>
      <c r="I34">
        <v>0.6</v>
      </c>
      <c r="J34" t="s">
        <v>271</v>
      </c>
      <c r="K34">
        <v>1.25</v>
      </c>
    </row>
    <row r="35" spans="1:11" x14ac:dyDescent="0.3">
      <c r="A35" s="19" t="s">
        <v>14</v>
      </c>
      <c r="D35" t="s">
        <v>156</v>
      </c>
      <c r="E35">
        <v>0.57999999999999996</v>
      </c>
      <c r="J35" t="s">
        <v>156</v>
      </c>
      <c r="K35">
        <v>0.95</v>
      </c>
    </row>
    <row r="38" spans="1:11" x14ac:dyDescent="0.3">
      <c r="A38" s="19" t="s">
        <v>15</v>
      </c>
      <c r="B38" t="s">
        <v>358</v>
      </c>
      <c r="C38">
        <v>1.1499999999999999</v>
      </c>
      <c r="D38" t="s">
        <v>358</v>
      </c>
      <c r="E38">
        <v>1.92</v>
      </c>
      <c r="F38" t="s">
        <v>358</v>
      </c>
      <c r="G38">
        <v>3.05</v>
      </c>
      <c r="H38" s="18" t="s">
        <v>358</v>
      </c>
      <c r="I38">
        <v>0.08</v>
      </c>
      <c r="J38" t="s">
        <v>358</v>
      </c>
      <c r="K38">
        <v>1.27</v>
      </c>
    </row>
    <row r="39" spans="1:11" x14ac:dyDescent="0.3">
      <c r="A39" s="19" t="s">
        <v>15</v>
      </c>
      <c r="B39" t="s">
        <v>254</v>
      </c>
      <c r="C39">
        <v>0.77</v>
      </c>
      <c r="D39" t="s">
        <v>54</v>
      </c>
      <c r="E39">
        <v>3.6799999999999997</v>
      </c>
      <c r="F39" t="s">
        <v>54</v>
      </c>
      <c r="G39">
        <v>4.58</v>
      </c>
      <c r="H39" s="18" t="s">
        <v>54</v>
      </c>
      <c r="I39">
        <v>3.0300000000000002</v>
      </c>
      <c r="J39" t="s">
        <v>54</v>
      </c>
      <c r="K39">
        <v>5.7799999999999994</v>
      </c>
    </row>
    <row r="40" spans="1:11" x14ac:dyDescent="0.3">
      <c r="A40" s="19" t="s">
        <v>15</v>
      </c>
      <c r="B40" t="s">
        <v>54</v>
      </c>
      <c r="C40">
        <v>5.2200000000000006</v>
      </c>
      <c r="D40" t="s">
        <v>156</v>
      </c>
      <c r="E40">
        <v>1.1299999999999999</v>
      </c>
      <c r="F40" t="s">
        <v>271</v>
      </c>
      <c r="G40">
        <v>0.42</v>
      </c>
      <c r="H40" s="18" t="s">
        <v>271</v>
      </c>
      <c r="I40">
        <v>3.6</v>
      </c>
      <c r="J40" t="s">
        <v>271</v>
      </c>
      <c r="K40">
        <v>0.97</v>
      </c>
    </row>
    <row r="41" spans="1:11" x14ac:dyDescent="0.3">
      <c r="A41" s="19" t="s">
        <v>15</v>
      </c>
      <c r="B41" t="s">
        <v>271</v>
      </c>
      <c r="C41">
        <v>0.92</v>
      </c>
      <c r="D41" t="s">
        <v>30</v>
      </c>
      <c r="E41">
        <v>0.51</v>
      </c>
      <c r="H41" s="18" t="s">
        <v>156</v>
      </c>
      <c r="I41">
        <v>1.28</v>
      </c>
    </row>
    <row r="42" spans="1:11" x14ac:dyDescent="0.3">
      <c r="A42" s="19" t="s">
        <v>15</v>
      </c>
      <c r="D42" t="s">
        <v>42</v>
      </c>
      <c r="E42">
        <v>0.77</v>
      </c>
    </row>
    <row r="45" spans="1:11" x14ac:dyDescent="0.3">
      <c r="A45" s="19" t="s">
        <v>16</v>
      </c>
      <c r="B45" t="s">
        <v>254</v>
      </c>
      <c r="C45">
        <v>0.98</v>
      </c>
      <c r="D45" t="s">
        <v>54</v>
      </c>
      <c r="E45">
        <v>6.8</v>
      </c>
      <c r="F45" t="s">
        <v>54</v>
      </c>
      <c r="G45">
        <v>6.3</v>
      </c>
      <c r="H45" s="18" t="s">
        <v>54</v>
      </c>
      <c r="I45">
        <v>8</v>
      </c>
      <c r="J45" t="s">
        <v>358</v>
      </c>
      <c r="K45">
        <v>1.57</v>
      </c>
    </row>
    <row r="46" spans="1:11" x14ac:dyDescent="0.3">
      <c r="A46" s="19" t="s">
        <v>16</v>
      </c>
      <c r="B46" t="s">
        <v>54</v>
      </c>
      <c r="C46">
        <v>3.2199999999999998</v>
      </c>
      <c r="D46" t="s">
        <v>271</v>
      </c>
      <c r="E46">
        <v>0.92</v>
      </c>
      <c r="F46" t="s">
        <v>271</v>
      </c>
      <c r="G46">
        <v>1.1200000000000001</v>
      </c>
      <c r="J46" t="s">
        <v>54</v>
      </c>
      <c r="K46">
        <v>5.35</v>
      </c>
    </row>
    <row r="47" spans="1:11" x14ac:dyDescent="0.3">
      <c r="A47" s="19" t="s">
        <v>16</v>
      </c>
      <c r="B47" t="s">
        <v>271</v>
      </c>
      <c r="C47">
        <v>2.7</v>
      </c>
      <c r="D47" t="s">
        <v>139</v>
      </c>
      <c r="E47">
        <v>0.32</v>
      </c>
      <c r="F47" t="s">
        <v>42</v>
      </c>
      <c r="G47">
        <v>0.88</v>
      </c>
      <c r="J47" t="s">
        <v>271</v>
      </c>
      <c r="K47">
        <v>1.08</v>
      </c>
    </row>
    <row r="48" spans="1:11" x14ac:dyDescent="0.3">
      <c r="A48" s="19" t="s">
        <v>16</v>
      </c>
      <c r="B48" t="s">
        <v>42</v>
      </c>
      <c r="C48">
        <v>1.1599999999999999</v>
      </c>
    </row>
    <row r="51" spans="1:11" x14ac:dyDescent="0.3">
      <c r="A51" s="19" t="s">
        <v>18</v>
      </c>
      <c r="B51" t="s">
        <v>358</v>
      </c>
      <c r="C51">
        <v>3.12</v>
      </c>
      <c r="D51" t="s">
        <v>358</v>
      </c>
      <c r="E51">
        <v>1.85</v>
      </c>
      <c r="F51" t="s">
        <v>358</v>
      </c>
      <c r="G51">
        <v>1.37</v>
      </c>
      <c r="H51" s="18" t="s">
        <v>358</v>
      </c>
      <c r="I51">
        <v>2.33</v>
      </c>
      <c r="J51" t="s">
        <v>54</v>
      </c>
      <c r="K51">
        <v>8</v>
      </c>
    </row>
    <row r="52" spans="1:11" x14ac:dyDescent="0.3">
      <c r="A52" s="19" t="s">
        <v>18</v>
      </c>
      <c r="B52" t="s">
        <v>54</v>
      </c>
      <c r="C52">
        <v>4.6599999999999993</v>
      </c>
      <c r="D52" t="s">
        <v>54</v>
      </c>
      <c r="E52">
        <v>3.04</v>
      </c>
      <c r="F52" t="s">
        <v>54</v>
      </c>
      <c r="G52">
        <v>3.74</v>
      </c>
      <c r="H52" s="18" t="s">
        <v>54</v>
      </c>
      <c r="I52">
        <v>3.15</v>
      </c>
    </row>
    <row r="53" spans="1:11" x14ac:dyDescent="0.3">
      <c r="A53" s="19" t="s">
        <v>18</v>
      </c>
      <c r="B53" t="s">
        <v>42</v>
      </c>
      <c r="C53">
        <v>0.27</v>
      </c>
      <c r="D53" t="s">
        <v>271</v>
      </c>
      <c r="E53">
        <v>1.6</v>
      </c>
      <c r="F53" t="s">
        <v>271</v>
      </c>
      <c r="G53">
        <v>2.52</v>
      </c>
      <c r="H53" s="18" t="s">
        <v>271</v>
      </c>
      <c r="I53">
        <v>2.27</v>
      </c>
    </row>
    <row r="54" spans="1:11" x14ac:dyDescent="0.3">
      <c r="A54" s="19" t="s">
        <v>18</v>
      </c>
      <c r="D54" t="s">
        <v>30</v>
      </c>
      <c r="E54">
        <v>1.5699999999999998</v>
      </c>
      <c r="F54" t="s">
        <v>156</v>
      </c>
      <c r="G54">
        <v>0.48</v>
      </c>
      <c r="H54" s="18" t="s">
        <v>156</v>
      </c>
      <c r="I54">
        <v>0.28000000000000003</v>
      </c>
    </row>
    <row r="57" spans="1:11" x14ac:dyDescent="0.3">
      <c r="A57"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CEF11F5-2241-4A5C-A85C-6694A8347A2B}">
          <x14:formula1>
            <xm:f>'Client Name'!$A:$A</xm:f>
          </x14:formula1>
          <xm:sqref>F4:F5 D4:D9 D11:D20 B4:B25 J5:J25 H5:H25 F7:F25 D22:D25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F2946-74AA-4A1A-A837-653EC2325432}">
  <sheetPr codeName="Sheet5"/>
  <dimension ref="A1:A8"/>
  <sheetViews>
    <sheetView topLeftCell="A25" workbookViewId="0">
      <selection activeCell="B38" sqref="B38"/>
    </sheetView>
  </sheetViews>
  <sheetFormatPr defaultRowHeight="14.4" x14ac:dyDescent="0.3"/>
  <cols>
    <col min="1" max="1" width="60.88671875" customWidth="1"/>
    <col min="2" max="2" width="39.33203125" customWidth="1"/>
  </cols>
  <sheetData>
    <row r="1" spans="1:1" x14ac:dyDescent="0.3">
      <c r="A1" t="s">
        <v>81</v>
      </c>
    </row>
    <row r="2" spans="1:1" x14ac:dyDescent="0.3">
      <c r="A2" t="s">
        <v>3058</v>
      </c>
    </row>
    <row r="3" spans="1:1" x14ac:dyDescent="0.3">
      <c r="A3" t="s">
        <v>54</v>
      </c>
    </row>
    <row r="4" spans="1:1" x14ac:dyDescent="0.3">
      <c r="A4" t="s">
        <v>139</v>
      </c>
    </row>
    <row r="5" spans="1:1" x14ac:dyDescent="0.3">
      <c r="A5" t="s">
        <v>179</v>
      </c>
    </row>
    <row r="6" spans="1:1" x14ac:dyDescent="0.3">
      <c r="A6" t="s">
        <v>242</v>
      </c>
    </row>
    <row r="7" spans="1:1" x14ac:dyDescent="0.3">
      <c r="A7" t="s">
        <v>241</v>
      </c>
    </row>
    <row r="8" spans="1:1" x14ac:dyDescent="0.3">
      <c r="A8" t="s">
        <v>217</v>
      </c>
    </row>
  </sheetData>
  <sortState xmlns:xlrd2="http://schemas.microsoft.com/office/spreadsheetml/2017/richdata2" ref="A1:A8">
    <sortCondition ref="A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D2B0-3822-4FAD-AAB7-6BAA83B875B0}">
  <sheetPr codeName="Sheet29"/>
  <dimension ref="A1:AF37"/>
  <sheetViews>
    <sheetView zoomScale="55" zoomScaleNormal="55" workbookViewId="0">
      <selection activeCell="L1" sqref="L1"/>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3052</v>
      </c>
      <c r="C1" s="14"/>
      <c r="D1" s="14"/>
      <c r="E1" s="14"/>
      <c r="F1" s="14"/>
      <c r="G1" s="14"/>
      <c r="H1" s="4"/>
      <c r="I1" s="14"/>
      <c r="J1" s="14"/>
      <c r="K1" s="14"/>
      <c r="L1" s="1" t="s">
        <v>3144</v>
      </c>
      <c r="M1">
        <v>160</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81</v>
      </c>
      <c r="P2">
        <v>80</v>
      </c>
      <c r="R2">
        <v>20</v>
      </c>
      <c r="S2">
        <v>20</v>
      </c>
      <c r="T2">
        <v>20</v>
      </c>
      <c r="U2">
        <v>20</v>
      </c>
      <c r="Y2" t="s">
        <v>81</v>
      </c>
      <c r="Z2">
        <v>0</v>
      </c>
      <c r="AB2">
        <v>0</v>
      </c>
      <c r="AC2">
        <v>0</v>
      </c>
      <c r="AD2">
        <v>0</v>
      </c>
      <c r="AE2">
        <v>0</v>
      </c>
      <c r="AF2">
        <v>0</v>
      </c>
    </row>
    <row r="3" spans="1:32" x14ac:dyDescent="0.3">
      <c r="A3" s="2"/>
      <c r="B3" s="2" t="s">
        <v>378</v>
      </c>
      <c r="C3" s="2"/>
      <c r="D3" s="2" t="s">
        <v>576</v>
      </c>
      <c r="E3" s="2"/>
      <c r="F3" s="2" t="s">
        <v>747</v>
      </c>
      <c r="G3" s="2"/>
      <c r="H3" s="4" t="s">
        <v>897</v>
      </c>
      <c r="I3" s="2"/>
      <c r="J3" s="14" t="s">
        <v>33</v>
      </c>
      <c r="O3" t="s">
        <v>966</v>
      </c>
      <c r="P3">
        <v>4</v>
      </c>
      <c r="R3">
        <v>1</v>
      </c>
      <c r="S3">
        <v>1</v>
      </c>
      <c r="T3">
        <v>1</v>
      </c>
      <c r="U3">
        <v>1</v>
      </c>
      <c r="Y3" t="s">
        <v>966</v>
      </c>
      <c r="Z3">
        <v>0</v>
      </c>
      <c r="AB3">
        <v>0</v>
      </c>
      <c r="AC3">
        <v>0</v>
      </c>
      <c r="AD3">
        <v>0</v>
      </c>
      <c r="AE3">
        <v>0</v>
      </c>
      <c r="AF3">
        <v>0</v>
      </c>
    </row>
    <row r="4" spans="1:32" x14ac:dyDescent="0.3">
      <c r="A4" s="2" t="s">
        <v>13</v>
      </c>
      <c r="B4" s="5" t="s">
        <v>81</v>
      </c>
      <c r="C4" s="3">
        <v>4</v>
      </c>
      <c r="D4" s="51" t="s">
        <v>81</v>
      </c>
      <c r="E4" s="3">
        <v>4</v>
      </c>
      <c r="F4" s="5" t="s">
        <v>81</v>
      </c>
      <c r="G4" s="3">
        <v>4</v>
      </c>
      <c r="H4" s="5" t="s">
        <v>81</v>
      </c>
      <c r="I4" s="3">
        <v>4</v>
      </c>
      <c r="J4" s="5" t="s">
        <v>81</v>
      </c>
      <c r="K4" s="3">
        <v>4</v>
      </c>
      <c r="O4" t="s">
        <v>54</v>
      </c>
      <c r="P4">
        <v>18</v>
      </c>
      <c r="R4">
        <v>4.5</v>
      </c>
      <c r="S4">
        <v>4.5</v>
      </c>
      <c r="T4">
        <v>4.5</v>
      </c>
      <c r="U4">
        <v>4.5</v>
      </c>
      <c r="Y4" t="s">
        <v>54</v>
      </c>
      <c r="Z4">
        <v>0</v>
      </c>
      <c r="AB4">
        <v>0</v>
      </c>
      <c r="AC4">
        <v>0</v>
      </c>
      <c r="AD4">
        <v>0</v>
      </c>
      <c r="AE4">
        <v>0</v>
      </c>
      <c r="AF4">
        <v>0</v>
      </c>
    </row>
    <row r="5" spans="1:32" x14ac:dyDescent="0.3">
      <c r="A5" s="2" t="s">
        <v>13</v>
      </c>
      <c r="B5" s="5" t="s">
        <v>229</v>
      </c>
      <c r="C5" s="3">
        <v>1</v>
      </c>
      <c r="D5" s="15" t="s">
        <v>106</v>
      </c>
      <c r="E5" s="3">
        <v>1</v>
      </c>
      <c r="F5" s="5" t="s">
        <v>102</v>
      </c>
      <c r="G5" s="3">
        <v>1</v>
      </c>
      <c r="H5" s="5" t="s">
        <v>1697</v>
      </c>
      <c r="I5" s="3">
        <v>1</v>
      </c>
      <c r="J5" s="5" t="s">
        <v>112</v>
      </c>
      <c r="K5" s="3">
        <v>0.5</v>
      </c>
      <c r="O5" t="s">
        <v>106</v>
      </c>
      <c r="P5">
        <v>6</v>
      </c>
      <c r="R5">
        <v>1.5</v>
      </c>
      <c r="S5">
        <v>1.5</v>
      </c>
      <c r="T5">
        <v>1.5</v>
      </c>
      <c r="U5">
        <v>1.5</v>
      </c>
      <c r="Y5" t="s">
        <v>106</v>
      </c>
      <c r="Z5">
        <v>0</v>
      </c>
      <c r="AB5">
        <v>0</v>
      </c>
      <c r="AC5">
        <v>0</v>
      </c>
      <c r="AD5">
        <v>0</v>
      </c>
      <c r="AE5">
        <v>0</v>
      </c>
      <c r="AF5">
        <v>0</v>
      </c>
    </row>
    <row r="6" spans="1:32" x14ac:dyDescent="0.3">
      <c r="A6" s="2" t="s">
        <v>13</v>
      </c>
      <c r="B6" s="5" t="s">
        <v>230</v>
      </c>
      <c r="C6" s="3">
        <v>1</v>
      </c>
      <c r="D6" s="51" t="s">
        <v>3053</v>
      </c>
      <c r="E6" s="3">
        <v>1</v>
      </c>
      <c r="F6" s="15" t="s">
        <v>3054</v>
      </c>
      <c r="G6" s="3">
        <v>1</v>
      </c>
      <c r="H6" s="15" t="s">
        <v>966</v>
      </c>
      <c r="I6" s="3">
        <v>1</v>
      </c>
      <c r="J6" s="29" t="s">
        <v>1865</v>
      </c>
      <c r="K6" s="3">
        <v>2.5</v>
      </c>
      <c r="O6" t="s">
        <v>3053</v>
      </c>
      <c r="P6">
        <v>4</v>
      </c>
      <c r="R6">
        <v>1</v>
      </c>
      <c r="S6">
        <v>1</v>
      </c>
      <c r="T6">
        <v>1</v>
      </c>
      <c r="U6">
        <v>1</v>
      </c>
      <c r="Y6" t="s">
        <v>3053</v>
      </c>
      <c r="Z6">
        <v>0</v>
      </c>
      <c r="AB6">
        <v>0</v>
      </c>
      <c r="AC6">
        <v>0</v>
      </c>
      <c r="AD6">
        <v>0</v>
      </c>
      <c r="AE6">
        <v>0</v>
      </c>
      <c r="AF6">
        <v>0</v>
      </c>
    </row>
    <row r="7" spans="1:32" x14ac:dyDescent="0.3">
      <c r="A7" s="2" t="s">
        <v>13</v>
      </c>
      <c r="B7" s="5" t="s">
        <v>1246</v>
      </c>
      <c r="C7" s="3">
        <v>0.5</v>
      </c>
      <c r="D7" s="51" t="s">
        <v>104</v>
      </c>
      <c r="E7" s="3">
        <v>1</v>
      </c>
      <c r="F7" s="5" t="s">
        <v>3055</v>
      </c>
      <c r="G7" s="3">
        <v>0.5</v>
      </c>
      <c r="H7" s="15" t="s">
        <v>3056</v>
      </c>
      <c r="I7" s="3">
        <v>0.5</v>
      </c>
      <c r="J7" s="5" t="s">
        <v>54</v>
      </c>
      <c r="K7" s="3">
        <v>1</v>
      </c>
      <c r="O7" t="s">
        <v>229</v>
      </c>
      <c r="P7">
        <v>4</v>
      </c>
      <c r="R7">
        <v>1</v>
      </c>
      <c r="S7">
        <v>1</v>
      </c>
      <c r="T7">
        <v>1</v>
      </c>
      <c r="U7">
        <v>1</v>
      </c>
      <c r="Y7" t="s">
        <v>229</v>
      </c>
      <c r="Z7">
        <v>0</v>
      </c>
      <c r="AB7">
        <v>0</v>
      </c>
      <c r="AC7">
        <v>0</v>
      </c>
      <c r="AD7">
        <v>0</v>
      </c>
      <c r="AE7">
        <v>0</v>
      </c>
      <c r="AF7">
        <v>0</v>
      </c>
    </row>
    <row r="8" spans="1:32" x14ac:dyDescent="0.3">
      <c r="A8" s="2" t="s">
        <v>13</v>
      </c>
      <c r="B8" s="5" t="s">
        <v>106</v>
      </c>
      <c r="C8" s="3">
        <v>0.5</v>
      </c>
      <c r="D8" s="15" t="s">
        <v>1246</v>
      </c>
      <c r="E8" s="3">
        <v>0.5</v>
      </c>
      <c r="F8" s="3" t="s">
        <v>3057</v>
      </c>
      <c r="G8" s="3">
        <v>0.5</v>
      </c>
      <c r="H8" s="5" t="s">
        <v>953</v>
      </c>
      <c r="I8" s="3">
        <v>0.5</v>
      </c>
      <c r="J8" s="29"/>
      <c r="O8" t="s">
        <v>1246</v>
      </c>
      <c r="P8">
        <v>4</v>
      </c>
      <c r="R8">
        <v>1</v>
      </c>
      <c r="S8">
        <v>1</v>
      </c>
      <c r="T8">
        <v>1</v>
      </c>
      <c r="U8">
        <v>1</v>
      </c>
      <c r="Y8" t="s">
        <v>1246</v>
      </c>
      <c r="Z8">
        <v>0</v>
      </c>
      <c r="AB8">
        <v>0</v>
      </c>
      <c r="AC8">
        <v>0</v>
      </c>
      <c r="AD8">
        <v>0</v>
      </c>
      <c r="AE8">
        <v>0</v>
      </c>
      <c r="AF8">
        <v>0</v>
      </c>
    </row>
    <row r="9" spans="1:32" x14ac:dyDescent="0.3">
      <c r="A9" s="2" t="s">
        <v>13</v>
      </c>
      <c r="B9" s="5" t="s">
        <v>54</v>
      </c>
      <c r="C9" s="3">
        <v>1</v>
      </c>
      <c r="D9" s="5" t="s">
        <v>54</v>
      </c>
      <c r="E9" s="3">
        <v>0.5</v>
      </c>
      <c r="F9" s="5" t="s">
        <v>54</v>
      </c>
      <c r="G9" s="3">
        <v>1</v>
      </c>
      <c r="H9" s="5" t="s">
        <v>54</v>
      </c>
      <c r="I9" s="3">
        <v>1</v>
      </c>
      <c r="J9" s="29"/>
      <c r="O9" t="s">
        <v>102</v>
      </c>
      <c r="P9">
        <v>4</v>
      </c>
      <c r="R9">
        <v>1</v>
      </c>
      <c r="S9">
        <v>1</v>
      </c>
      <c r="T9">
        <v>1</v>
      </c>
      <c r="U9">
        <v>1</v>
      </c>
      <c r="Y9" t="s">
        <v>102</v>
      </c>
      <c r="Z9">
        <v>0</v>
      </c>
      <c r="AB9">
        <v>0</v>
      </c>
      <c r="AC9">
        <v>0</v>
      </c>
      <c r="AD9">
        <v>0</v>
      </c>
      <c r="AE9">
        <v>0</v>
      </c>
      <c r="AF9">
        <v>0</v>
      </c>
    </row>
    <row r="10" spans="1:32" x14ac:dyDescent="0.3">
      <c r="A10" s="2"/>
      <c r="B10" s="3"/>
      <c r="C10" s="3"/>
      <c r="D10" s="3"/>
      <c r="E10" s="3"/>
      <c r="F10" s="3"/>
      <c r="G10" s="3"/>
      <c r="H10" s="15"/>
      <c r="I10" s="3"/>
      <c r="J10" s="29"/>
      <c r="O10" t="s">
        <v>104</v>
      </c>
      <c r="P10">
        <v>4</v>
      </c>
      <c r="R10">
        <v>1</v>
      </c>
      <c r="S10">
        <v>1</v>
      </c>
      <c r="T10">
        <v>1</v>
      </c>
      <c r="U10">
        <v>1</v>
      </c>
      <c r="Y10" t="s">
        <v>104</v>
      </c>
      <c r="Z10">
        <v>0</v>
      </c>
      <c r="AB10">
        <v>0</v>
      </c>
      <c r="AC10">
        <v>0</v>
      </c>
      <c r="AD10">
        <v>0</v>
      </c>
      <c r="AE10">
        <v>0</v>
      </c>
      <c r="AF10">
        <v>0</v>
      </c>
    </row>
    <row r="11" spans="1:32" x14ac:dyDescent="0.3">
      <c r="A11" s="2"/>
      <c r="B11" s="3"/>
      <c r="C11" s="3"/>
      <c r="D11" s="3"/>
      <c r="E11" s="3"/>
      <c r="F11" s="3"/>
      <c r="G11" s="3"/>
      <c r="H11" s="15"/>
      <c r="I11" s="3"/>
      <c r="J11" s="29"/>
      <c r="O11" t="s">
        <v>230</v>
      </c>
      <c r="P11">
        <v>4</v>
      </c>
      <c r="R11">
        <v>1</v>
      </c>
      <c r="S11">
        <v>1</v>
      </c>
      <c r="T11">
        <v>1</v>
      </c>
      <c r="U11">
        <v>1</v>
      </c>
      <c r="Y11" t="s">
        <v>230</v>
      </c>
      <c r="Z11">
        <v>0</v>
      </c>
      <c r="AB11">
        <v>0</v>
      </c>
      <c r="AC11">
        <v>0</v>
      </c>
      <c r="AD11">
        <v>0</v>
      </c>
      <c r="AE11">
        <v>0</v>
      </c>
      <c r="AF11">
        <v>0</v>
      </c>
    </row>
    <row r="12" spans="1:32" x14ac:dyDescent="0.3">
      <c r="A12" s="2" t="s">
        <v>14</v>
      </c>
      <c r="B12" s="5" t="s">
        <v>81</v>
      </c>
      <c r="C12" s="3">
        <v>4</v>
      </c>
      <c r="D12" s="51" t="s">
        <v>81</v>
      </c>
      <c r="E12" s="3">
        <v>4</v>
      </c>
      <c r="F12" s="5" t="s">
        <v>81</v>
      </c>
      <c r="G12" s="3">
        <v>4</v>
      </c>
      <c r="H12" s="5" t="s">
        <v>81</v>
      </c>
      <c r="I12" s="3">
        <v>4</v>
      </c>
      <c r="J12" s="5" t="s">
        <v>81</v>
      </c>
      <c r="K12" s="3">
        <v>4</v>
      </c>
      <c r="O12" t="s">
        <v>953</v>
      </c>
      <c r="P12">
        <v>2</v>
      </c>
      <c r="R12">
        <v>0.5</v>
      </c>
      <c r="S12">
        <v>0.5</v>
      </c>
      <c r="T12">
        <v>0.5</v>
      </c>
      <c r="U12">
        <v>0.5</v>
      </c>
      <c r="Y12" t="s">
        <v>953</v>
      </c>
      <c r="Z12">
        <v>0</v>
      </c>
      <c r="AB12">
        <v>0</v>
      </c>
      <c r="AC12">
        <v>0</v>
      </c>
      <c r="AD12">
        <v>0</v>
      </c>
      <c r="AE12">
        <v>0</v>
      </c>
      <c r="AF12">
        <v>0</v>
      </c>
    </row>
    <row r="13" spans="1:32" x14ac:dyDescent="0.3">
      <c r="A13" s="2" t="s">
        <v>14</v>
      </c>
      <c r="B13" s="5" t="s">
        <v>229</v>
      </c>
      <c r="C13" s="3">
        <v>1</v>
      </c>
      <c r="D13" s="15" t="s">
        <v>106</v>
      </c>
      <c r="E13" s="3">
        <v>1</v>
      </c>
      <c r="F13" s="5" t="s">
        <v>102</v>
      </c>
      <c r="G13" s="3">
        <v>1</v>
      </c>
      <c r="H13" s="5" t="s">
        <v>1697</v>
      </c>
      <c r="I13" s="3">
        <v>1</v>
      </c>
      <c r="J13" s="5" t="s">
        <v>112</v>
      </c>
      <c r="K13" s="3">
        <v>0.5</v>
      </c>
      <c r="O13" t="s">
        <v>3056</v>
      </c>
      <c r="P13">
        <v>2</v>
      </c>
      <c r="R13">
        <v>0.5</v>
      </c>
      <c r="S13">
        <v>0.5</v>
      </c>
      <c r="T13">
        <v>0.5</v>
      </c>
      <c r="U13">
        <v>0.5</v>
      </c>
      <c r="Y13" t="s">
        <v>3056</v>
      </c>
      <c r="Z13">
        <v>0</v>
      </c>
      <c r="AB13">
        <v>0</v>
      </c>
      <c r="AC13">
        <v>0</v>
      </c>
      <c r="AD13">
        <v>0</v>
      </c>
      <c r="AE13">
        <v>0</v>
      </c>
      <c r="AF13">
        <v>0</v>
      </c>
    </row>
    <row r="14" spans="1:32" x14ac:dyDescent="0.3">
      <c r="A14" s="2" t="s">
        <v>14</v>
      </c>
      <c r="B14" s="5" t="s">
        <v>230</v>
      </c>
      <c r="C14" s="3">
        <v>1</v>
      </c>
      <c r="D14" s="51" t="s">
        <v>3053</v>
      </c>
      <c r="E14" s="3">
        <v>1</v>
      </c>
      <c r="F14" s="15" t="s">
        <v>3054</v>
      </c>
      <c r="G14" s="3">
        <v>1</v>
      </c>
      <c r="H14" s="15" t="s">
        <v>966</v>
      </c>
      <c r="I14" s="3">
        <v>1</v>
      </c>
      <c r="J14" s="29" t="s">
        <v>1865</v>
      </c>
      <c r="K14" s="3">
        <v>2.5</v>
      </c>
      <c r="O14" t="s">
        <v>1865</v>
      </c>
      <c r="P14">
        <v>10</v>
      </c>
      <c r="R14">
        <v>2.5</v>
      </c>
      <c r="S14">
        <v>2.5</v>
      </c>
      <c r="T14">
        <v>2.5</v>
      </c>
      <c r="U14">
        <v>2.5</v>
      </c>
      <c r="Y14" t="s">
        <v>1865</v>
      </c>
      <c r="Z14">
        <v>0</v>
      </c>
      <c r="AB14">
        <v>0</v>
      </c>
      <c r="AC14">
        <v>0</v>
      </c>
      <c r="AD14">
        <v>0</v>
      </c>
      <c r="AE14">
        <v>0</v>
      </c>
      <c r="AF14">
        <v>0</v>
      </c>
    </row>
    <row r="15" spans="1:32" x14ac:dyDescent="0.3">
      <c r="A15" s="2" t="s">
        <v>14</v>
      </c>
      <c r="B15" s="5" t="s">
        <v>1246</v>
      </c>
      <c r="C15" s="3">
        <v>0.5</v>
      </c>
      <c r="D15" s="51" t="s">
        <v>104</v>
      </c>
      <c r="E15" s="3">
        <v>1</v>
      </c>
      <c r="F15" s="5" t="s">
        <v>3055</v>
      </c>
      <c r="G15" s="3">
        <v>0.5</v>
      </c>
      <c r="H15" s="15" t="s">
        <v>3056</v>
      </c>
      <c r="I15" s="3">
        <v>0.5</v>
      </c>
      <c r="J15" s="5" t="s">
        <v>54</v>
      </c>
      <c r="K15" s="3">
        <v>1</v>
      </c>
      <c r="O15" t="s">
        <v>112</v>
      </c>
      <c r="P15">
        <v>2</v>
      </c>
      <c r="R15">
        <v>0.5</v>
      </c>
      <c r="S15">
        <v>0.5</v>
      </c>
      <c r="T15">
        <v>0.5</v>
      </c>
      <c r="U15">
        <v>0.5</v>
      </c>
      <c r="Y15" t="s">
        <v>112</v>
      </c>
      <c r="Z15">
        <v>0</v>
      </c>
      <c r="AB15">
        <v>0</v>
      </c>
      <c r="AC15">
        <v>0</v>
      </c>
      <c r="AD15">
        <v>0</v>
      </c>
      <c r="AE15">
        <v>0</v>
      </c>
      <c r="AF15">
        <v>0</v>
      </c>
    </row>
    <row r="16" spans="1:32" x14ac:dyDescent="0.3">
      <c r="A16" s="2" t="s">
        <v>14</v>
      </c>
      <c r="B16" s="5" t="s">
        <v>106</v>
      </c>
      <c r="C16" s="3">
        <v>0.5</v>
      </c>
      <c r="D16" s="15" t="s">
        <v>1246</v>
      </c>
      <c r="E16" s="3">
        <v>0.5</v>
      </c>
      <c r="F16" s="3" t="s">
        <v>3057</v>
      </c>
      <c r="G16" s="3">
        <v>0.5</v>
      </c>
      <c r="H16" s="5" t="s">
        <v>953</v>
      </c>
      <c r="I16" s="3">
        <v>0.5</v>
      </c>
      <c r="J16" s="29"/>
      <c r="O16" t="s">
        <v>3054</v>
      </c>
      <c r="P16">
        <v>4</v>
      </c>
      <c r="R16">
        <v>1</v>
      </c>
      <c r="S16">
        <v>1</v>
      </c>
      <c r="T16">
        <v>1</v>
      </c>
      <c r="U16">
        <v>1</v>
      </c>
      <c r="Y16" t="s">
        <v>3054</v>
      </c>
      <c r="Z16">
        <v>0</v>
      </c>
      <c r="AB16">
        <v>0</v>
      </c>
      <c r="AC16">
        <v>0</v>
      </c>
      <c r="AD16">
        <v>0</v>
      </c>
      <c r="AE16">
        <v>0</v>
      </c>
      <c r="AF16">
        <v>0</v>
      </c>
    </row>
    <row r="17" spans="1:32" x14ac:dyDescent="0.3">
      <c r="A17" s="2" t="s">
        <v>14</v>
      </c>
      <c r="B17" s="5" t="s">
        <v>54</v>
      </c>
      <c r="C17" s="3">
        <v>1</v>
      </c>
      <c r="D17" s="5" t="s">
        <v>54</v>
      </c>
      <c r="E17" s="3">
        <v>0.5</v>
      </c>
      <c r="F17" s="5" t="s">
        <v>54</v>
      </c>
      <c r="G17" s="3">
        <v>1</v>
      </c>
      <c r="H17" s="5" t="s">
        <v>54</v>
      </c>
      <c r="I17" s="3">
        <v>1</v>
      </c>
      <c r="J17" s="29"/>
      <c r="O17" t="s">
        <v>3055</v>
      </c>
      <c r="P17">
        <v>2</v>
      </c>
      <c r="R17">
        <v>0.5</v>
      </c>
      <c r="S17">
        <v>0.5</v>
      </c>
      <c r="T17">
        <v>0.5</v>
      </c>
      <c r="U17">
        <v>0.5</v>
      </c>
      <c r="Y17" t="s">
        <v>3055</v>
      </c>
      <c r="Z17">
        <v>0</v>
      </c>
      <c r="AB17">
        <v>0</v>
      </c>
      <c r="AC17">
        <v>0</v>
      </c>
      <c r="AD17">
        <v>0</v>
      </c>
      <c r="AE17">
        <v>0</v>
      </c>
      <c r="AF17">
        <v>0</v>
      </c>
    </row>
    <row r="18" spans="1:32" x14ac:dyDescent="0.3">
      <c r="A18" s="2"/>
      <c r="B18" s="5"/>
      <c r="C18" s="3"/>
      <c r="D18" s="15"/>
      <c r="E18" s="3"/>
      <c r="F18" s="3"/>
      <c r="G18" s="3"/>
      <c r="H18" s="5"/>
      <c r="I18" s="3"/>
      <c r="J18" s="29"/>
      <c r="O18" t="s">
        <v>3057</v>
      </c>
      <c r="P18">
        <v>2</v>
      </c>
      <c r="R18">
        <v>0.5</v>
      </c>
      <c r="S18">
        <v>0.5</v>
      </c>
      <c r="T18">
        <v>0.5</v>
      </c>
      <c r="U18">
        <v>0.5</v>
      </c>
      <c r="Y18" t="s">
        <v>3057</v>
      </c>
      <c r="Z18">
        <v>0</v>
      </c>
      <c r="AB18">
        <v>0</v>
      </c>
      <c r="AC18">
        <v>0</v>
      </c>
      <c r="AD18">
        <v>0</v>
      </c>
      <c r="AE18">
        <v>0</v>
      </c>
      <c r="AF18">
        <v>0</v>
      </c>
    </row>
    <row r="19" spans="1:32" x14ac:dyDescent="0.3">
      <c r="A19" s="2"/>
      <c r="B19" s="5"/>
      <c r="C19" s="3"/>
      <c r="D19" s="15"/>
      <c r="E19" s="3"/>
      <c r="F19" s="3"/>
      <c r="G19" s="3"/>
      <c r="H19" s="5"/>
      <c r="I19" s="3"/>
      <c r="J19" s="29"/>
      <c r="O19" t="s">
        <v>1697</v>
      </c>
      <c r="P19">
        <v>4</v>
      </c>
      <c r="R19">
        <v>1</v>
      </c>
      <c r="S19">
        <v>1</v>
      </c>
      <c r="T19">
        <v>1</v>
      </c>
      <c r="U19">
        <v>1</v>
      </c>
      <c r="Y19" t="s">
        <v>1697</v>
      </c>
      <c r="Z19">
        <v>0</v>
      </c>
      <c r="AB19">
        <v>0</v>
      </c>
      <c r="AC19">
        <v>0</v>
      </c>
      <c r="AD19">
        <v>0</v>
      </c>
      <c r="AE19">
        <v>0</v>
      </c>
      <c r="AF19">
        <v>0</v>
      </c>
    </row>
    <row r="20" spans="1:32" x14ac:dyDescent="0.3">
      <c r="A20" s="2" t="s">
        <v>15</v>
      </c>
      <c r="B20" s="5" t="s">
        <v>81</v>
      </c>
      <c r="C20" s="3">
        <v>4</v>
      </c>
      <c r="D20" s="51" t="s">
        <v>81</v>
      </c>
      <c r="E20" s="3">
        <v>4</v>
      </c>
      <c r="F20" s="5" t="s">
        <v>81</v>
      </c>
      <c r="G20" s="3">
        <v>4</v>
      </c>
      <c r="H20" s="5" t="s">
        <v>81</v>
      </c>
      <c r="I20" s="3">
        <v>4</v>
      </c>
      <c r="J20" s="5" t="s">
        <v>81</v>
      </c>
      <c r="K20" s="3">
        <v>4</v>
      </c>
    </row>
    <row r="21" spans="1:32" x14ac:dyDescent="0.3">
      <c r="A21" s="2" t="s">
        <v>15</v>
      </c>
      <c r="B21" s="5" t="s">
        <v>229</v>
      </c>
      <c r="C21" s="3">
        <v>1</v>
      </c>
      <c r="D21" s="15" t="s">
        <v>106</v>
      </c>
      <c r="E21" s="3">
        <v>1</v>
      </c>
      <c r="F21" s="5" t="s">
        <v>102</v>
      </c>
      <c r="G21" s="3">
        <v>1</v>
      </c>
      <c r="H21" s="5" t="s">
        <v>1697</v>
      </c>
      <c r="I21" s="3">
        <v>1</v>
      </c>
      <c r="J21" s="5" t="s">
        <v>112</v>
      </c>
      <c r="K21" s="3">
        <v>0.5</v>
      </c>
    </row>
    <row r="22" spans="1:32" x14ac:dyDescent="0.3">
      <c r="A22" s="2" t="s">
        <v>15</v>
      </c>
      <c r="B22" s="5" t="s">
        <v>230</v>
      </c>
      <c r="C22" s="3">
        <v>1</v>
      </c>
      <c r="D22" s="51" t="s">
        <v>3053</v>
      </c>
      <c r="E22" s="3">
        <v>1</v>
      </c>
      <c r="F22" s="15" t="s">
        <v>3054</v>
      </c>
      <c r="G22" s="3">
        <v>1</v>
      </c>
      <c r="H22" s="15" t="s">
        <v>966</v>
      </c>
      <c r="I22" s="3">
        <v>1</v>
      </c>
      <c r="J22" s="29" t="s">
        <v>1865</v>
      </c>
      <c r="K22" s="3">
        <v>2.5</v>
      </c>
    </row>
    <row r="23" spans="1:32" x14ac:dyDescent="0.3">
      <c r="A23" s="2" t="s">
        <v>15</v>
      </c>
      <c r="B23" s="5" t="s">
        <v>1246</v>
      </c>
      <c r="C23" s="3">
        <v>0.5</v>
      </c>
      <c r="D23" s="51" t="s">
        <v>104</v>
      </c>
      <c r="E23" s="3">
        <v>1</v>
      </c>
      <c r="F23" s="5" t="s">
        <v>3055</v>
      </c>
      <c r="G23" s="3">
        <v>0.5</v>
      </c>
      <c r="H23" s="15" t="s">
        <v>3056</v>
      </c>
      <c r="I23" s="3">
        <v>0.5</v>
      </c>
      <c r="J23" s="5" t="s">
        <v>54</v>
      </c>
      <c r="K23" s="3">
        <v>1</v>
      </c>
    </row>
    <row r="24" spans="1:32" x14ac:dyDescent="0.3">
      <c r="A24" s="2" t="s">
        <v>15</v>
      </c>
      <c r="B24" s="5" t="s">
        <v>106</v>
      </c>
      <c r="C24" s="3">
        <v>0.5</v>
      </c>
      <c r="D24" s="15" t="s">
        <v>1246</v>
      </c>
      <c r="E24" s="3">
        <v>0.5</v>
      </c>
      <c r="F24" s="3" t="s">
        <v>3057</v>
      </c>
      <c r="G24" s="3">
        <v>0.5</v>
      </c>
      <c r="H24" s="5" t="s">
        <v>953</v>
      </c>
      <c r="I24" s="3">
        <v>0.5</v>
      </c>
      <c r="J24" s="29"/>
    </row>
    <row r="25" spans="1:32" x14ac:dyDescent="0.3">
      <c r="A25" s="2" t="s">
        <v>15</v>
      </c>
      <c r="B25" s="5" t="s">
        <v>54</v>
      </c>
      <c r="C25" s="3">
        <v>1</v>
      </c>
      <c r="D25" s="5" t="s">
        <v>54</v>
      </c>
      <c r="E25" s="3">
        <v>0.5</v>
      </c>
      <c r="F25" s="5" t="s">
        <v>54</v>
      </c>
      <c r="G25" s="3">
        <v>1</v>
      </c>
      <c r="H25" s="5" t="s">
        <v>54</v>
      </c>
      <c r="I25" s="3">
        <v>1</v>
      </c>
      <c r="J25" s="29"/>
    </row>
    <row r="26" spans="1:32" x14ac:dyDescent="0.3">
      <c r="A26" s="2"/>
      <c r="B26" s="5"/>
      <c r="C26" s="3"/>
      <c r="D26" s="3"/>
      <c r="E26" s="3"/>
      <c r="F26" s="3"/>
      <c r="G26" s="3"/>
      <c r="H26" s="5"/>
      <c r="I26" s="3"/>
      <c r="J26" s="29"/>
    </row>
    <row r="27" spans="1:32" x14ac:dyDescent="0.3">
      <c r="A27" s="2"/>
      <c r="B27" s="3"/>
      <c r="C27" s="3"/>
      <c r="D27" s="3"/>
      <c r="E27" s="3"/>
      <c r="F27" s="3"/>
      <c r="G27" s="3"/>
      <c r="H27" s="15"/>
      <c r="I27" s="3"/>
      <c r="J27" s="29"/>
    </row>
    <row r="28" spans="1:32" x14ac:dyDescent="0.3">
      <c r="A28" s="2" t="s">
        <v>16</v>
      </c>
      <c r="B28" s="5" t="s">
        <v>81</v>
      </c>
      <c r="C28" s="3">
        <v>4</v>
      </c>
      <c r="D28" s="51" t="s">
        <v>81</v>
      </c>
      <c r="E28" s="3">
        <v>4</v>
      </c>
      <c r="F28" s="5" t="s">
        <v>81</v>
      </c>
      <c r="G28" s="3">
        <v>4</v>
      </c>
      <c r="H28" s="5" t="s">
        <v>81</v>
      </c>
      <c r="I28" s="3">
        <v>4</v>
      </c>
      <c r="J28" s="5" t="s">
        <v>81</v>
      </c>
      <c r="K28" s="3">
        <v>4</v>
      </c>
    </row>
    <row r="29" spans="1:32" x14ac:dyDescent="0.3">
      <c r="A29" s="2" t="s">
        <v>16</v>
      </c>
      <c r="B29" s="5" t="s">
        <v>229</v>
      </c>
      <c r="C29" s="3">
        <v>1</v>
      </c>
      <c r="D29" s="15" t="s">
        <v>106</v>
      </c>
      <c r="E29" s="3">
        <v>1</v>
      </c>
      <c r="F29" s="5" t="s">
        <v>102</v>
      </c>
      <c r="G29" s="3">
        <v>1</v>
      </c>
      <c r="H29" s="5" t="s">
        <v>1697</v>
      </c>
      <c r="I29" s="3">
        <v>1</v>
      </c>
      <c r="J29" s="5" t="s">
        <v>112</v>
      </c>
      <c r="K29" s="3">
        <v>0.5</v>
      </c>
      <c r="O29" t="s">
        <v>3143</v>
      </c>
      <c r="P29">
        <f>SUM(P2:P28)</f>
        <v>160</v>
      </c>
      <c r="R29">
        <f>SUM(R2:R28)</f>
        <v>40</v>
      </c>
      <c r="S29">
        <f>SUM(S2:S28)</f>
        <v>40</v>
      </c>
      <c r="T29">
        <f>SUM(T2:T28)</f>
        <v>40</v>
      </c>
      <c r="U29">
        <f>SUM(U2:U28)</f>
        <v>40</v>
      </c>
      <c r="Y29" t="s">
        <v>3143</v>
      </c>
      <c r="Z29">
        <f>SUM(Z2:Z28)</f>
        <v>0</v>
      </c>
      <c r="AB29">
        <f>SUM(AB2:AB28)</f>
        <v>0</v>
      </c>
      <c r="AC29">
        <f>SUM(AC2:AC28)</f>
        <v>0</v>
      </c>
      <c r="AD29">
        <f>SUM(AD2:AD28)</f>
        <v>0</v>
      </c>
      <c r="AE29">
        <f>SUM(AE2:AE28)</f>
        <v>0</v>
      </c>
      <c r="AF29">
        <f>SUM(AF2:AF28)</f>
        <v>0</v>
      </c>
    </row>
    <row r="30" spans="1:32" x14ac:dyDescent="0.3">
      <c r="A30" s="2" t="s">
        <v>16</v>
      </c>
      <c r="B30" s="5" t="s">
        <v>230</v>
      </c>
      <c r="C30" s="3">
        <v>1</v>
      </c>
      <c r="D30" s="51" t="s">
        <v>3053</v>
      </c>
      <c r="E30" s="3">
        <v>1</v>
      </c>
      <c r="F30" s="15" t="s">
        <v>3054</v>
      </c>
      <c r="G30" s="3">
        <v>1</v>
      </c>
      <c r="H30" s="15" t="s">
        <v>966</v>
      </c>
      <c r="I30" s="3">
        <v>1</v>
      </c>
      <c r="J30" s="29" t="s">
        <v>1865</v>
      </c>
      <c r="K30" s="3">
        <v>2.5</v>
      </c>
    </row>
    <row r="31" spans="1:32" x14ac:dyDescent="0.3">
      <c r="A31" s="2" t="s">
        <v>16</v>
      </c>
      <c r="B31" s="5" t="s">
        <v>1246</v>
      </c>
      <c r="C31" s="3">
        <v>0.5</v>
      </c>
      <c r="D31" s="51" t="s">
        <v>104</v>
      </c>
      <c r="E31" s="3">
        <v>1</v>
      </c>
      <c r="F31" s="5" t="s">
        <v>3055</v>
      </c>
      <c r="G31" s="3">
        <v>0.5</v>
      </c>
      <c r="H31" s="15" t="s">
        <v>3056</v>
      </c>
      <c r="I31" s="3">
        <v>0.5</v>
      </c>
      <c r="J31" s="5" t="s">
        <v>54</v>
      </c>
      <c r="K31" s="3">
        <v>1</v>
      </c>
    </row>
    <row r="32" spans="1:32" x14ac:dyDescent="0.3">
      <c r="A32" s="2" t="s">
        <v>16</v>
      </c>
      <c r="B32" s="5" t="s">
        <v>106</v>
      </c>
      <c r="C32" s="3">
        <v>0.5</v>
      </c>
      <c r="D32" s="15" t="s">
        <v>1246</v>
      </c>
      <c r="E32" s="3">
        <v>0.5</v>
      </c>
      <c r="F32" s="3" t="s">
        <v>3057</v>
      </c>
      <c r="G32" s="3">
        <v>0.5</v>
      </c>
      <c r="H32" s="5" t="s">
        <v>953</v>
      </c>
      <c r="I32" s="3">
        <v>0.5</v>
      </c>
      <c r="J32" s="29"/>
    </row>
    <row r="33" spans="1:13" x14ac:dyDescent="0.3">
      <c r="A33" s="2" t="s">
        <v>16</v>
      </c>
      <c r="B33" s="5" t="s">
        <v>54</v>
      </c>
      <c r="C33" s="3">
        <v>1</v>
      </c>
      <c r="D33" s="5" t="s">
        <v>54</v>
      </c>
      <c r="E33" s="3">
        <v>0.5</v>
      </c>
      <c r="F33" s="5" t="s">
        <v>54</v>
      </c>
      <c r="G33" s="3">
        <v>1</v>
      </c>
      <c r="H33" s="5" t="s">
        <v>54</v>
      </c>
      <c r="I33" s="3">
        <v>1</v>
      </c>
      <c r="J33" s="29"/>
    </row>
    <row r="34" spans="1:13" x14ac:dyDescent="0.3">
      <c r="A34" s="2"/>
      <c r="B34" s="5"/>
      <c r="C34" s="3"/>
      <c r="D34" s="3"/>
      <c r="E34" s="3"/>
      <c r="F34" s="3"/>
      <c r="G34" s="3"/>
      <c r="H34" s="5"/>
      <c r="I34" s="3"/>
      <c r="J34" s="29"/>
    </row>
    <row r="36" spans="1:13" x14ac:dyDescent="0.3">
      <c r="A36" s="2" t="s">
        <v>17</v>
      </c>
      <c r="L36" s="1" t="s">
        <v>3144</v>
      </c>
      <c r="M36" s="1">
        <v>0</v>
      </c>
    </row>
    <row r="37" spans="1:13" x14ac:dyDescent="0.3">
      <c r="B37" s="1" t="s">
        <v>378</v>
      </c>
      <c r="D37" s="1" t="s">
        <v>576</v>
      </c>
      <c r="F37" s="1" t="s">
        <v>747</v>
      </c>
      <c r="H37" s="17" t="s">
        <v>897</v>
      </c>
      <c r="J37" s="1" t="s">
        <v>33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64EF125-97EB-4183-B1B5-85AAFE535E5D}">
          <x14:formula1>
            <xm:f>'Client Name'!$A:$A</xm:f>
          </x14:formula1>
          <xm:sqref>J4:J34 B4:B34 F4:F34 D4:D34 H4:H34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2BDF1-6413-4A04-A990-F8228CCF00F6}">
  <sheetPr codeName="Sheet28"/>
  <dimension ref="A1:AF439"/>
  <sheetViews>
    <sheetView zoomScale="55" zoomScaleNormal="55" workbookViewId="0">
      <selection activeCell="L1" sqref="L1"/>
    </sheetView>
  </sheetViews>
  <sheetFormatPr defaultRowHeight="14.4" x14ac:dyDescent="0.3"/>
  <cols>
    <col min="1" max="1" width="9.109375" style="19"/>
    <col min="2" max="2" width="41" customWidth="1"/>
    <col min="3" max="3" width="7.6640625" style="70" bestFit="1" customWidth="1"/>
    <col min="4" max="4" width="56.44140625" bestFit="1" customWidth="1"/>
    <col min="5" max="5" width="7.6640625" style="70" bestFit="1" customWidth="1"/>
    <col min="6" max="6" width="26.88671875" bestFit="1" customWidth="1"/>
    <col min="7" max="7" width="7.6640625" style="70" bestFit="1" customWidth="1"/>
    <col min="8" max="8" width="26.88671875" style="18" bestFit="1" customWidth="1"/>
    <col min="9" max="9" width="7.6640625" style="70" bestFit="1" customWidth="1"/>
    <col min="10" max="10" width="26.88671875" bestFit="1" customWidth="1"/>
    <col min="11" max="11" width="7.6640625" style="70" bestFit="1" customWidth="1"/>
    <col min="12" max="12" width="15.109375" customWidth="1"/>
    <col min="15" max="15" width="35.109375" customWidth="1"/>
  </cols>
  <sheetData>
    <row r="1" spans="1:32" ht="37.200000000000003" customHeight="1" thickBot="1" x14ac:dyDescent="0.35">
      <c r="A1" s="47" t="s">
        <v>3051</v>
      </c>
      <c r="B1" s="48" t="s">
        <v>101</v>
      </c>
      <c r="C1" s="66"/>
      <c r="D1" s="14"/>
      <c r="E1" s="66"/>
      <c r="F1" s="14"/>
      <c r="G1" s="66"/>
      <c r="H1" s="4"/>
      <c r="I1" s="66"/>
      <c r="J1" s="14"/>
      <c r="K1" s="66"/>
      <c r="L1" s="1" t="s">
        <v>3144</v>
      </c>
      <c r="M1">
        <v>176.99999999999997</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67"/>
      <c r="D2" s="4"/>
      <c r="E2" s="67"/>
      <c r="F2" s="4"/>
      <c r="G2" s="67"/>
      <c r="H2" s="4"/>
      <c r="I2" s="67"/>
      <c r="J2" s="14"/>
      <c r="K2" s="67"/>
      <c r="O2" t="s">
        <v>966</v>
      </c>
      <c r="P2">
        <v>0.32</v>
      </c>
      <c r="R2">
        <v>0.08</v>
      </c>
      <c r="S2">
        <v>0.08</v>
      </c>
      <c r="T2">
        <v>0.08</v>
      </c>
      <c r="U2">
        <v>0.08</v>
      </c>
      <c r="Y2" t="s">
        <v>966</v>
      </c>
      <c r="Z2">
        <v>0</v>
      </c>
      <c r="AB2">
        <v>0</v>
      </c>
      <c r="AC2">
        <v>0</v>
      </c>
      <c r="AD2">
        <v>0</v>
      </c>
      <c r="AE2">
        <v>0</v>
      </c>
      <c r="AF2">
        <v>0</v>
      </c>
    </row>
    <row r="3" spans="1:32" x14ac:dyDescent="0.3">
      <c r="A3" s="2"/>
      <c r="B3" s="2" t="s">
        <v>378</v>
      </c>
      <c r="C3" s="68"/>
      <c r="D3" s="2" t="s">
        <v>576</v>
      </c>
      <c r="E3" s="68"/>
      <c r="F3" s="2" t="s">
        <v>747</v>
      </c>
      <c r="G3" s="68"/>
      <c r="H3" s="4" t="s">
        <v>897</v>
      </c>
      <c r="I3" s="68"/>
      <c r="J3" s="14" t="s">
        <v>33</v>
      </c>
      <c r="O3" t="s">
        <v>54</v>
      </c>
      <c r="P3">
        <v>18</v>
      </c>
      <c r="R3">
        <v>4.5</v>
      </c>
      <c r="S3">
        <v>4.5</v>
      </c>
      <c r="T3">
        <v>4.5</v>
      </c>
      <c r="U3">
        <v>4.5</v>
      </c>
      <c r="Y3" t="s">
        <v>54</v>
      </c>
      <c r="Z3">
        <v>48.34</v>
      </c>
      <c r="AB3">
        <v>1.67</v>
      </c>
      <c r="AC3">
        <v>10.17</v>
      </c>
      <c r="AD3">
        <v>2.5</v>
      </c>
      <c r="AE3">
        <v>7.5</v>
      </c>
      <c r="AF3">
        <v>26.5</v>
      </c>
    </row>
    <row r="4" spans="1:32" x14ac:dyDescent="0.3">
      <c r="A4" s="2" t="s">
        <v>13</v>
      </c>
      <c r="B4" s="5" t="s">
        <v>214</v>
      </c>
      <c r="C4" s="69">
        <v>0.25</v>
      </c>
      <c r="D4" s="51" t="s">
        <v>195</v>
      </c>
      <c r="E4" s="69">
        <v>0.25</v>
      </c>
      <c r="F4" s="5" t="s">
        <v>229</v>
      </c>
      <c r="G4" s="69">
        <v>0.5</v>
      </c>
      <c r="H4" s="5" t="s">
        <v>108</v>
      </c>
      <c r="I4" s="69">
        <v>3.5</v>
      </c>
      <c r="J4" s="5" t="s">
        <v>108</v>
      </c>
      <c r="K4" s="70">
        <v>0.5</v>
      </c>
      <c r="O4" t="s">
        <v>295</v>
      </c>
      <c r="P4">
        <v>8</v>
      </c>
      <c r="R4">
        <v>2</v>
      </c>
      <c r="S4">
        <v>2</v>
      </c>
      <c r="T4">
        <v>2</v>
      </c>
      <c r="U4">
        <v>2</v>
      </c>
      <c r="Y4" t="s">
        <v>295</v>
      </c>
      <c r="Z4">
        <v>15.59</v>
      </c>
      <c r="AB4">
        <v>0</v>
      </c>
      <c r="AC4">
        <v>0</v>
      </c>
      <c r="AD4">
        <v>14.17</v>
      </c>
      <c r="AE4">
        <v>0</v>
      </c>
      <c r="AF4">
        <v>1.42</v>
      </c>
    </row>
    <row r="5" spans="1:32" x14ac:dyDescent="0.3">
      <c r="A5" s="2" t="s">
        <v>13</v>
      </c>
      <c r="B5" s="5" t="s">
        <v>195</v>
      </c>
      <c r="C5" s="69">
        <v>0.5</v>
      </c>
      <c r="D5" s="15" t="s">
        <v>108</v>
      </c>
      <c r="E5" s="69">
        <v>1</v>
      </c>
      <c r="F5" s="5" t="s">
        <v>102</v>
      </c>
      <c r="G5" s="69">
        <v>0.75</v>
      </c>
      <c r="H5" s="5" t="s">
        <v>195</v>
      </c>
      <c r="I5" s="69">
        <v>2.25</v>
      </c>
      <c r="J5" s="5" t="s">
        <v>105</v>
      </c>
      <c r="K5" s="70">
        <v>4</v>
      </c>
      <c r="O5" t="s">
        <v>106</v>
      </c>
      <c r="P5">
        <v>6</v>
      </c>
      <c r="R5">
        <v>1.5</v>
      </c>
      <c r="S5">
        <v>1.5</v>
      </c>
      <c r="T5">
        <v>1.5</v>
      </c>
      <c r="U5">
        <v>1.5</v>
      </c>
      <c r="Y5" t="s">
        <v>106</v>
      </c>
      <c r="Z5">
        <v>9.51</v>
      </c>
      <c r="AB5">
        <v>2.17</v>
      </c>
      <c r="AC5">
        <v>2.67</v>
      </c>
      <c r="AD5">
        <v>0.25</v>
      </c>
      <c r="AE5">
        <v>4.42</v>
      </c>
      <c r="AF5">
        <v>0</v>
      </c>
    </row>
    <row r="6" spans="1:32" x14ac:dyDescent="0.3">
      <c r="A6" s="2" t="s">
        <v>13</v>
      </c>
      <c r="B6" s="5" t="s">
        <v>108</v>
      </c>
      <c r="C6" s="69">
        <v>1</v>
      </c>
      <c r="D6" s="51" t="s">
        <v>3054</v>
      </c>
      <c r="E6" s="69">
        <v>0.08</v>
      </c>
      <c r="F6" s="15" t="s">
        <v>1246</v>
      </c>
      <c r="G6" s="69">
        <v>0.75</v>
      </c>
      <c r="H6" s="15" t="s">
        <v>295</v>
      </c>
      <c r="I6" s="69">
        <v>2</v>
      </c>
      <c r="J6" s="29" t="s">
        <v>214</v>
      </c>
      <c r="K6" s="70">
        <v>2.75</v>
      </c>
      <c r="O6" t="s">
        <v>3053</v>
      </c>
      <c r="P6">
        <v>6</v>
      </c>
      <c r="R6">
        <v>1.5</v>
      </c>
      <c r="S6">
        <v>1.5</v>
      </c>
      <c r="T6">
        <v>1.5</v>
      </c>
      <c r="U6">
        <v>1.5</v>
      </c>
      <c r="Y6" t="s">
        <v>227</v>
      </c>
      <c r="Z6">
        <v>3.58</v>
      </c>
      <c r="AB6">
        <v>0</v>
      </c>
      <c r="AC6">
        <v>3.58</v>
      </c>
      <c r="AD6">
        <v>0</v>
      </c>
      <c r="AE6">
        <v>0</v>
      </c>
      <c r="AF6">
        <v>0</v>
      </c>
    </row>
    <row r="7" spans="1:32" x14ac:dyDescent="0.3">
      <c r="A7" s="2" t="s">
        <v>13</v>
      </c>
      <c r="B7" s="5" t="s">
        <v>102</v>
      </c>
      <c r="C7" s="69">
        <v>1</v>
      </c>
      <c r="D7" s="51" t="s">
        <v>3055</v>
      </c>
      <c r="E7" s="69">
        <v>0.08</v>
      </c>
      <c r="F7" s="5" t="s">
        <v>104</v>
      </c>
      <c r="G7" s="69">
        <v>0.75</v>
      </c>
      <c r="H7" s="5" t="s">
        <v>54</v>
      </c>
      <c r="I7" s="69">
        <v>0.75</v>
      </c>
      <c r="J7" s="5" t="s">
        <v>54</v>
      </c>
      <c r="K7" s="70">
        <v>1.5</v>
      </c>
      <c r="O7" t="s">
        <v>229</v>
      </c>
      <c r="P7">
        <v>8</v>
      </c>
      <c r="R7">
        <v>2</v>
      </c>
      <c r="S7">
        <v>2</v>
      </c>
      <c r="T7">
        <v>2</v>
      </c>
      <c r="U7">
        <v>2</v>
      </c>
      <c r="Y7" t="s">
        <v>229</v>
      </c>
      <c r="Z7">
        <v>4.67</v>
      </c>
      <c r="AB7">
        <v>0</v>
      </c>
      <c r="AC7">
        <v>1.92</v>
      </c>
      <c r="AD7">
        <v>0.33</v>
      </c>
      <c r="AE7">
        <v>1.17</v>
      </c>
      <c r="AF7">
        <v>1.25</v>
      </c>
    </row>
    <row r="8" spans="1:32" x14ac:dyDescent="0.3">
      <c r="A8" s="2" t="s">
        <v>13</v>
      </c>
      <c r="B8" s="5" t="s">
        <v>1246</v>
      </c>
      <c r="C8" s="69">
        <v>1</v>
      </c>
      <c r="D8" s="15" t="s">
        <v>3057</v>
      </c>
      <c r="E8" s="69">
        <v>0.08</v>
      </c>
      <c r="F8" s="3" t="s">
        <v>230</v>
      </c>
      <c r="G8" s="69">
        <v>0.25</v>
      </c>
      <c r="H8" s="5"/>
      <c r="I8" s="69"/>
      <c r="J8" s="29"/>
      <c r="O8" t="s">
        <v>1246</v>
      </c>
      <c r="P8">
        <v>9</v>
      </c>
      <c r="R8">
        <v>2.25</v>
      </c>
      <c r="S8">
        <v>2.25</v>
      </c>
      <c r="T8">
        <v>2.25</v>
      </c>
      <c r="U8">
        <v>2.25</v>
      </c>
      <c r="Y8" t="s">
        <v>1246</v>
      </c>
      <c r="Z8">
        <v>2.83</v>
      </c>
      <c r="AB8">
        <v>0</v>
      </c>
      <c r="AC8">
        <v>0</v>
      </c>
      <c r="AD8">
        <v>2</v>
      </c>
      <c r="AE8">
        <v>0</v>
      </c>
      <c r="AF8">
        <v>0.83</v>
      </c>
    </row>
    <row r="9" spans="1:32" x14ac:dyDescent="0.3">
      <c r="A9" s="2" t="s">
        <v>13</v>
      </c>
      <c r="B9" s="5" t="s">
        <v>104</v>
      </c>
      <c r="C9" s="69">
        <v>1</v>
      </c>
      <c r="D9" s="15" t="s">
        <v>1697</v>
      </c>
      <c r="E9" s="69">
        <v>0.08</v>
      </c>
      <c r="F9" s="3" t="s">
        <v>195</v>
      </c>
      <c r="G9" s="69">
        <v>1</v>
      </c>
      <c r="H9" s="5"/>
      <c r="I9" s="69"/>
      <c r="J9" s="29"/>
      <c r="O9" t="s">
        <v>102</v>
      </c>
      <c r="P9">
        <v>10</v>
      </c>
      <c r="R9">
        <v>2.5</v>
      </c>
      <c r="S9">
        <v>2.5</v>
      </c>
      <c r="T9">
        <v>2.5</v>
      </c>
      <c r="U9">
        <v>2.5</v>
      </c>
      <c r="Y9" t="s">
        <v>102</v>
      </c>
      <c r="Z9">
        <v>5.5</v>
      </c>
      <c r="AB9">
        <v>0.33</v>
      </c>
      <c r="AC9">
        <v>1.9100000000000001</v>
      </c>
      <c r="AD9">
        <v>1.08</v>
      </c>
      <c r="AE9">
        <v>1.51</v>
      </c>
      <c r="AF9">
        <v>0.67</v>
      </c>
    </row>
    <row r="10" spans="1:32" x14ac:dyDescent="0.3">
      <c r="A10" s="2" t="s">
        <v>13</v>
      </c>
      <c r="B10" s="5" t="s">
        <v>230</v>
      </c>
      <c r="C10" s="69">
        <v>0.5</v>
      </c>
      <c r="D10" s="15" t="s">
        <v>966</v>
      </c>
      <c r="E10" s="69">
        <v>0.08</v>
      </c>
      <c r="F10" s="3" t="s">
        <v>108</v>
      </c>
      <c r="G10" s="69">
        <v>4</v>
      </c>
      <c r="H10" s="5"/>
      <c r="I10" s="69"/>
      <c r="J10" s="29"/>
      <c r="O10" t="s">
        <v>104</v>
      </c>
      <c r="P10">
        <v>10</v>
      </c>
      <c r="R10">
        <v>2.5</v>
      </c>
      <c r="S10">
        <v>2.5</v>
      </c>
      <c r="T10">
        <v>2.5</v>
      </c>
      <c r="U10">
        <v>2.5</v>
      </c>
      <c r="Y10" t="s">
        <v>104</v>
      </c>
      <c r="Z10">
        <v>5.41</v>
      </c>
      <c r="AB10">
        <v>0.33</v>
      </c>
      <c r="AC10">
        <v>1.92</v>
      </c>
      <c r="AD10">
        <v>2.33</v>
      </c>
      <c r="AE10">
        <v>0</v>
      </c>
      <c r="AF10">
        <v>0.83</v>
      </c>
    </row>
    <row r="11" spans="1:32" x14ac:dyDescent="0.3">
      <c r="A11" s="2" t="s">
        <v>13</v>
      </c>
      <c r="B11" s="5" t="s">
        <v>106</v>
      </c>
      <c r="C11" s="69">
        <v>1</v>
      </c>
      <c r="D11" s="15" t="s">
        <v>3056</v>
      </c>
      <c r="E11" s="69">
        <v>0.08</v>
      </c>
      <c r="F11" s="3" t="s">
        <v>54</v>
      </c>
      <c r="G11" s="69">
        <v>0.75</v>
      </c>
      <c r="H11" s="5"/>
      <c r="I11" s="69"/>
      <c r="J11" s="29"/>
      <c r="O11" t="s">
        <v>230</v>
      </c>
      <c r="P11">
        <v>3</v>
      </c>
      <c r="R11">
        <v>0.75</v>
      </c>
      <c r="S11">
        <v>0.75</v>
      </c>
      <c r="T11">
        <v>0.75</v>
      </c>
      <c r="U11">
        <v>0.75</v>
      </c>
      <c r="Y11" t="s">
        <v>230</v>
      </c>
      <c r="Z11">
        <v>0.75</v>
      </c>
      <c r="AB11">
        <v>0</v>
      </c>
      <c r="AC11">
        <v>0.5</v>
      </c>
      <c r="AD11">
        <v>0</v>
      </c>
      <c r="AE11">
        <v>0</v>
      </c>
      <c r="AF11">
        <v>0.25</v>
      </c>
    </row>
    <row r="12" spans="1:32" x14ac:dyDescent="0.3">
      <c r="A12" s="2" t="s">
        <v>13</v>
      </c>
      <c r="B12" s="5" t="s">
        <v>3053</v>
      </c>
      <c r="C12" s="69">
        <v>1</v>
      </c>
      <c r="D12" s="15" t="s">
        <v>953</v>
      </c>
      <c r="E12" s="69">
        <v>0.17</v>
      </c>
      <c r="F12" s="3"/>
      <c r="G12" s="69"/>
      <c r="H12" s="5"/>
      <c r="I12" s="69"/>
      <c r="J12" s="29"/>
      <c r="O12" t="s">
        <v>108</v>
      </c>
      <c r="P12">
        <v>40</v>
      </c>
      <c r="R12">
        <v>10</v>
      </c>
      <c r="S12">
        <v>10</v>
      </c>
      <c r="T12">
        <v>10</v>
      </c>
      <c r="U12">
        <v>10</v>
      </c>
      <c r="Y12" t="s">
        <v>108</v>
      </c>
      <c r="Z12">
        <v>36.6</v>
      </c>
      <c r="AB12">
        <v>3</v>
      </c>
      <c r="AC12">
        <v>8.59</v>
      </c>
      <c r="AD12">
        <v>9.17</v>
      </c>
      <c r="AE12">
        <v>10.17</v>
      </c>
      <c r="AF12">
        <v>5.67</v>
      </c>
    </row>
    <row r="13" spans="1:32" x14ac:dyDescent="0.3">
      <c r="A13" s="2" t="s">
        <v>13</v>
      </c>
      <c r="B13" s="5" t="s">
        <v>229</v>
      </c>
      <c r="C13" s="69">
        <v>1</v>
      </c>
      <c r="D13" s="15" t="s">
        <v>112</v>
      </c>
      <c r="E13" s="69">
        <v>0.5</v>
      </c>
      <c r="F13" s="3"/>
      <c r="G13" s="69"/>
      <c r="H13" s="5"/>
      <c r="I13" s="69"/>
      <c r="J13" s="29"/>
      <c r="O13" t="s">
        <v>195</v>
      </c>
      <c r="P13">
        <v>16</v>
      </c>
      <c r="R13">
        <v>4</v>
      </c>
      <c r="S13">
        <v>4</v>
      </c>
      <c r="T13">
        <v>4</v>
      </c>
      <c r="U13">
        <v>4</v>
      </c>
      <c r="Y13" t="s">
        <v>195</v>
      </c>
      <c r="Z13">
        <v>12.56</v>
      </c>
      <c r="AB13">
        <v>0</v>
      </c>
      <c r="AC13">
        <v>3.58</v>
      </c>
      <c r="AD13">
        <v>4.67</v>
      </c>
      <c r="AE13">
        <v>4.2300000000000004</v>
      </c>
      <c r="AF13">
        <v>0.08</v>
      </c>
    </row>
    <row r="14" spans="1:32" x14ac:dyDescent="0.3">
      <c r="A14" s="2" t="s">
        <v>13</v>
      </c>
      <c r="B14" s="5" t="s">
        <v>54</v>
      </c>
      <c r="C14" s="69">
        <v>0.75</v>
      </c>
      <c r="D14" s="15" t="s">
        <v>1865</v>
      </c>
      <c r="E14" s="69">
        <v>0.85</v>
      </c>
      <c r="F14" s="3"/>
      <c r="G14" s="69"/>
      <c r="H14" s="5"/>
      <c r="I14" s="69"/>
      <c r="J14" s="29"/>
      <c r="O14" t="s">
        <v>953</v>
      </c>
      <c r="P14">
        <v>0.68</v>
      </c>
      <c r="R14">
        <v>0.17</v>
      </c>
      <c r="S14">
        <v>0.17</v>
      </c>
      <c r="T14">
        <v>0.17</v>
      </c>
      <c r="U14">
        <v>0.17</v>
      </c>
      <c r="Y14" t="s">
        <v>953</v>
      </c>
      <c r="Z14">
        <v>1.08</v>
      </c>
      <c r="AB14">
        <v>0</v>
      </c>
      <c r="AC14">
        <v>0</v>
      </c>
      <c r="AD14">
        <v>0.08</v>
      </c>
      <c r="AE14">
        <v>1</v>
      </c>
      <c r="AF14">
        <v>0</v>
      </c>
    </row>
    <row r="15" spans="1:32" x14ac:dyDescent="0.3">
      <c r="A15" s="2" t="s">
        <v>13</v>
      </c>
      <c r="B15" s="5"/>
      <c r="C15" s="69"/>
      <c r="D15" s="15" t="s">
        <v>725</v>
      </c>
      <c r="E15" s="69">
        <v>1.75</v>
      </c>
      <c r="F15" s="3"/>
      <c r="G15" s="69"/>
      <c r="H15" s="5"/>
      <c r="I15" s="69"/>
      <c r="J15" s="29"/>
      <c r="O15" t="s">
        <v>3056</v>
      </c>
      <c r="P15">
        <v>0.32</v>
      </c>
      <c r="R15">
        <v>0.08</v>
      </c>
      <c r="S15">
        <v>0.08</v>
      </c>
      <c r="T15">
        <v>0.08</v>
      </c>
      <c r="U15">
        <v>0.08</v>
      </c>
      <c r="Y15" t="s">
        <v>3056</v>
      </c>
      <c r="Z15">
        <v>0</v>
      </c>
      <c r="AB15">
        <v>0</v>
      </c>
      <c r="AC15">
        <v>0</v>
      </c>
      <c r="AD15">
        <v>0</v>
      </c>
      <c r="AE15">
        <v>0</v>
      </c>
      <c r="AF15">
        <v>0</v>
      </c>
    </row>
    <row r="16" spans="1:32" x14ac:dyDescent="0.3">
      <c r="A16" s="2" t="s">
        <v>13</v>
      </c>
      <c r="B16" s="5"/>
      <c r="C16" s="69"/>
      <c r="D16" s="15" t="s">
        <v>102</v>
      </c>
      <c r="E16" s="69">
        <v>0.75</v>
      </c>
      <c r="F16" s="3"/>
      <c r="G16" s="69"/>
      <c r="H16" s="5"/>
      <c r="I16" s="69"/>
      <c r="J16" s="29"/>
      <c r="O16" t="s">
        <v>725</v>
      </c>
      <c r="P16">
        <v>7</v>
      </c>
      <c r="R16">
        <v>1.75</v>
      </c>
      <c r="S16">
        <v>1.75</v>
      </c>
      <c r="T16">
        <v>1.75</v>
      </c>
      <c r="U16">
        <v>1.75</v>
      </c>
      <c r="Y16" t="s">
        <v>725</v>
      </c>
      <c r="Z16">
        <v>6.42</v>
      </c>
      <c r="AB16">
        <v>0</v>
      </c>
      <c r="AC16">
        <v>1.6600000000000001</v>
      </c>
      <c r="AD16">
        <v>0.92</v>
      </c>
      <c r="AE16">
        <v>2.92</v>
      </c>
      <c r="AF16">
        <v>0.92</v>
      </c>
    </row>
    <row r="17" spans="1:32" x14ac:dyDescent="0.3">
      <c r="A17" s="2" t="s">
        <v>13</v>
      </c>
      <c r="B17" s="5"/>
      <c r="C17" s="69"/>
      <c r="D17" s="15" t="s">
        <v>1246</v>
      </c>
      <c r="E17" s="69">
        <v>0.5</v>
      </c>
      <c r="F17" s="3"/>
      <c r="G17" s="69"/>
      <c r="H17" s="5"/>
      <c r="I17" s="69"/>
      <c r="J17" s="29"/>
      <c r="O17" t="s">
        <v>1865</v>
      </c>
      <c r="P17">
        <v>3.4</v>
      </c>
      <c r="R17">
        <v>0.85</v>
      </c>
      <c r="S17">
        <v>0.85</v>
      </c>
      <c r="T17">
        <v>0.85</v>
      </c>
      <c r="U17">
        <v>0.85</v>
      </c>
      <c r="Y17" t="s">
        <v>1865</v>
      </c>
      <c r="Z17">
        <v>4</v>
      </c>
      <c r="AB17">
        <v>0</v>
      </c>
      <c r="AC17">
        <v>0</v>
      </c>
      <c r="AD17">
        <v>0.17</v>
      </c>
      <c r="AE17">
        <v>3.83</v>
      </c>
      <c r="AF17">
        <v>0</v>
      </c>
    </row>
    <row r="18" spans="1:32" x14ac:dyDescent="0.3">
      <c r="A18" s="2" t="s">
        <v>13</v>
      </c>
      <c r="B18" s="5"/>
      <c r="C18" s="69"/>
      <c r="D18" s="15" t="s">
        <v>104</v>
      </c>
      <c r="E18" s="69">
        <v>0.75</v>
      </c>
      <c r="F18" s="3"/>
      <c r="G18" s="69"/>
      <c r="H18" s="5"/>
      <c r="I18" s="69"/>
      <c r="J18" s="29"/>
      <c r="O18" t="s">
        <v>112</v>
      </c>
      <c r="P18">
        <v>2</v>
      </c>
      <c r="R18">
        <v>0.5</v>
      </c>
      <c r="S18">
        <v>0.5</v>
      </c>
      <c r="T18">
        <v>0.5</v>
      </c>
      <c r="U18">
        <v>0.5</v>
      </c>
      <c r="Y18" t="s">
        <v>112</v>
      </c>
      <c r="Z18">
        <v>0.17</v>
      </c>
      <c r="AB18">
        <v>0.17</v>
      </c>
      <c r="AC18">
        <v>0</v>
      </c>
      <c r="AD18">
        <v>0</v>
      </c>
      <c r="AE18">
        <v>0</v>
      </c>
      <c r="AF18">
        <v>0</v>
      </c>
    </row>
    <row r="19" spans="1:32" x14ac:dyDescent="0.3">
      <c r="A19" s="2" t="s">
        <v>13</v>
      </c>
      <c r="B19" s="5"/>
      <c r="C19" s="69"/>
      <c r="D19" s="15" t="s">
        <v>106</v>
      </c>
      <c r="E19" s="69">
        <v>0.5</v>
      </c>
      <c r="F19" s="3"/>
      <c r="G19" s="69"/>
      <c r="H19" s="5"/>
      <c r="I19" s="69"/>
      <c r="J19" s="29"/>
      <c r="O19" t="s">
        <v>3054</v>
      </c>
      <c r="P19">
        <v>0.32</v>
      </c>
      <c r="R19">
        <v>0.08</v>
      </c>
      <c r="S19">
        <v>0.08</v>
      </c>
      <c r="T19">
        <v>0.08</v>
      </c>
      <c r="U19">
        <v>0.08</v>
      </c>
      <c r="Y19" t="s">
        <v>3054</v>
      </c>
      <c r="Z19">
        <v>0</v>
      </c>
      <c r="AB19">
        <v>0</v>
      </c>
      <c r="AC19">
        <v>0</v>
      </c>
      <c r="AD19">
        <v>0</v>
      </c>
      <c r="AE19">
        <v>0</v>
      </c>
      <c r="AF19">
        <v>0</v>
      </c>
    </row>
    <row r="20" spans="1:32" x14ac:dyDescent="0.3">
      <c r="A20" s="2" t="s">
        <v>13</v>
      </c>
      <c r="B20" s="5"/>
      <c r="C20" s="69"/>
      <c r="D20" s="15" t="s">
        <v>3053</v>
      </c>
      <c r="E20" s="69">
        <v>0.5</v>
      </c>
      <c r="F20" s="3"/>
      <c r="G20" s="69"/>
      <c r="H20" s="5"/>
      <c r="I20" s="69"/>
      <c r="J20" s="29"/>
      <c r="O20" t="s">
        <v>3055</v>
      </c>
      <c r="P20">
        <v>0.32</v>
      </c>
      <c r="R20">
        <v>0.08</v>
      </c>
      <c r="S20">
        <v>0.08</v>
      </c>
      <c r="T20">
        <v>0.08</v>
      </c>
      <c r="U20">
        <v>0.08</v>
      </c>
      <c r="Y20" t="s">
        <v>3055</v>
      </c>
      <c r="Z20">
        <v>0</v>
      </c>
      <c r="AB20">
        <v>0</v>
      </c>
      <c r="AC20">
        <v>0</v>
      </c>
      <c r="AD20">
        <v>0</v>
      </c>
      <c r="AE20">
        <v>0</v>
      </c>
      <c r="AF20">
        <v>0</v>
      </c>
    </row>
    <row r="21" spans="1:32" x14ac:dyDescent="0.3">
      <c r="A21" s="2" t="s">
        <v>13</v>
      </c>
      <c r="B21" s="5"/>
      <c r="C21" s="69"/>
      <c r="D21" s="15" t="s">
        <v>229</v>
      </c>
      <c r="E21" s="69">
        <v>0.5</v>
      </c>
      <c r="F21" s="3"/>
      <c r="G21" s="69"/>
      <c r="H21" s="5"/>
      <c r="I21" s="69"/>
      <c r="J21" s="29"/>
      <c r="O21" t="s">
        <v>3057</v>
      </c>
      <c r="P21">
        <v>0.32</v>
      </c>
      <c r="R21">
        <v>0.08</v>
      </c>
      <c r="S21">
        <v>0.08</v>
      </c>
      <c r="T21">
        <v>0.08</v>
      </c>
      <c r="U21">
        <v>0.08</v>
      </c>
      <c r="Y21" t="s">
        <v>3057</v>
      </c>
      <c r="Z21">
        <v>0</v>
      </c>
      <c r="AB21">
        <v>0</v>
      </c>
      <c r="AC21">
        <v>0</v>
      </c>
      <c r="AD21">
        <v>0</v>
      </c>
      <c r="AE21">
        <v>0</v>
      </c>
      <c r="AF21">
        <v>0</v>
      </c>
    </row>
    <row r="22" spans="1:32" x14ac:dyDescent="0.3">
      <c r="A22" s="2" t="s">
        <v>13</v>
      </c>
      <c r="B22" s="5"/>
      <c r="C22" s="69"/>
      <c r="D22" s="15" t="s">
        <v>54</v>
      </c>
      <c r="E22" s="69">
        <v>0.75</v>
      </c>
      <c r="F22" s="3"/>
      <c r="G22" s="69"/>
      <c r="H22" s="5"/>
      <c r="I22" s="69"/>
      <c r="J22" s="29"/>
      <c r="O22" t="s">
        <v>1697</v>
      </c>
      <c r="P22">
        <v>0.32</v>
      </c>
      <c r="R22">
        <v>0.08</v>
      </c>
      <c r="S22">
        <v>0.08</v>
      </c>
      <c r="T22">
        <v>0.08</v>
      </c>
      <c r="U22">
        <v>0.08</v>
      </c>
      <c r="Y22" t="s">
        <v>1697</v>
      </c>
      <c r="Z22">
        <v>0</v>
      </c>
      <c r="AB22">
        <v>0</v>
      </c>
      <c r="AC22">
        <v>0</v>
      </c>
      <c r="AD22">
        <v>0</v>
      </c>
      <c r="AE22">
        <v>0</v>
      </c>
      <c r="AF22">
        <v>0</v>
      </c>
    </row>
    <row r="23" spans="1:32" x14ac:dyDescent="0.3">
      <c r="A23" s="2"/>
      <c r="B23" s="5"/>
      <c r="C23" s="69"/>
      <c r="D23" s="15"/>
      <c r="E23" s="69"/>
      <c r="F23" s="3"/>
      <c r="G23" s="69"/>
      <c r="H23" s="5"/>
      <c r="I23" s="69"/>
      <c r="J23" s="29"/>
      <c r="O23" t="s">
        <v>214</v>
      </c>
      <c r="P23">
        <v>12</v>
      </c>
      <c r="R23">
        <v>3</v>
      </c>
      <c r="S23">
        <v>3</v>
      </c>
      <c r="T23">
        <v>3</v>
      </c>
      <c r="U23">
        <v>3</v>
      </c>
      <c r="Y23" t="s">
        <v>214</v>
      </c>
      <c r="Z23">
        <v>4</v>
      </c>
      <c r="AB23">
        <v>0</v>
      </c>
      <c r="AC23">
        <v>1.83</v>
      </c>
      <c r="AD23">
        <v>0.08</v>
      </c>
      <c r="AE23">
        <v>2.09</v>
      </c>
      <c r="AF23">
        <v>0</v>
      </c>
    </row>
    <row r="24" spans="1:32" x14ac:dyDescent="0.3">
      <c r="A24" s="2"/>
      <c r="B24" s="3"/>
      <c r="C24" s="69"/>
      <c r="D24" s="3"/>
      <c r="E24" s="69"/>
      <c r="F24" s="3"/>
      <c r="G24" s="69"/>
      <c r="H24" s="15"/>
      <c r="I24" s="69"/>
      <c r="J24" s="29"/>
      <c r="O24" t="s">
        <v>105</v>
      </c>
      <c r="P24">
        <v>16</v>
      </c>
      <c r="R24">
        <v>4</v>
      </c>
      <c r="S24">
        <v>4</v>
      </c>
      <c r="T24">
        <v>4</v>
      </c>
      <c r="U24">
        <v>4</v>
      </c>
      <c r="Y24" t="s">
        <v>105</v>
      </c>
      <c r="Z24">
        <v>7</v>
      </c>
      <c r="AB24">
        <v>0.33</v>
      </c>
      <c r="AC24">
        <v>1.67</v>
      </c>
      <c r="AD24">
        <v>2.25</v>
      </c>
      <c r="AE24">
        <v>1.17</v>
      </c>
      <c r="AF24">
        <v>1.58</v>
      </c>
    </row>
    <row r="25" spans="1:32" x14ac:dyDescent="0.3">
      <c r="A25" s="2" t="s">
        <v>14</v>
      </c>
      <c r="B25" s="5" t="s">
        <v>214</v>
      </c>
      <c r="C25" s="69">
        <v>0.25</v>
      </c>
      <c r="D25" s="51" t="s">
        <v>195</v>
      </c>
      <c r="E25" s="69">
        <v>0.25</v>
      </c>
      <c r="F25" s="5" t="s">
        <v>229</v>
      </c>
      <c r="G25" s="69">
        <v>0.5</v>
      </c>
      <c r="H25" s="5" t="s">
        <v>108</v>
      </c>
      <c r="I25" s="69">
        <v>3.5</v>
      </c>
      <c r="J25" s="5" t="s">
        <v>108</v>
      </c>
      <c r="K25" s="70">
        <v>0.5</v>
      </c>
    </row>
    <row r="26" spans="1:32" x14ac:dyDescent="0.3">
      <c r="A26" s="2" t="s">
        <v>14</v>
      </c>
      <c r="B26" s="5" t="s">
        <v>195</v>
      </c>
      <c r="C26" s="69">
        <v>0.5</v>
      </c>
      <c r="D26" s="15" t="s">
        <v>108</v>
      </c>
      <c r="E26" s="69">
        <v>1</v>
      </c>
      <c r="F26" s="5" t="s">
        <v>102</v>
      </c>
      <c r="G26" s="69">
        <v>0.75</v>
      </c>
      <c r="H26" s="5" t="s">
        <v>195</v>
      </c>
      <c r="I26" s="69">
        <v>2.25</v>
      </c>
      <c r="J26" s="5" t="s">
        <v>105</v>
      </c>
      <c r="K26" s="70">
        <v>4</v>
      </c>
    </row>
    <row r="27" spans="1:32" x14ac:dyDescent="0.3">
      <c r="A27" s="2" t="s">
        <v>14</v>
      </c>
      <c r="B27" s="5" t="s">
        <v>108</v>
      </c>
      <c r="C27" s="69">
        <v>1</v>
      </c>
      <c r="D27" s="51" t="s">
        <v>3054</v>
      </c>
      <c r="E27" s="69">
        <v>0.08</v>
      </c>
      <c r="F27" s="15" t="s">
        <v>1246</v>
      </c>
      <c r="G27" s="69">
        <v>0.75</v>
      </c>
      <c r="H27" s="15" t="s">
        <v>295</v>
      </c>
      <c r="I27" s="69">
        <v>2</v>
      </c>
      <c r="J27" s="29" t="s">
        <v>214</v>
      </c>
      <c r="K27" s="70">
        <v>2.75</v>
      </c>
    </row>
    <row r="28" spans="1:32" x14ac:dyDescent="0.3">
      <c r="A28" s="2" t="s">
        <v>14</v>
      </c>
      <c r="B28" s="5" t="s">
        <v>102</v>
      </c>
      <c r="C28" s="69">
        <v>1</v>
      </c>
      <c r="D28" s="51" t="s">
        <v>3055</v>
      </c>
      <c r="E28" s="69">
        <v>0.08</v>
      </c>
      <c r="F28" s="5" t="s">
        <v>104</v>
      </c>
      <c r="G28" s="69">
        <v>0.75</v>
      </c>
      <c r="H28" s="5" t="s">
        <v>54</v>
      </c>
      <c r="I28" s="69">
        <v>0.75</v>
      </c>
      <c r="J28" s="5" t="s">
        <v>54</v>
      </c>
      <c r="K28" s="70">
        <v>1.5</v>
      </c>
    </row>
    <row r="29" spans="1:32" x14ac:dyDescent="0.3">
      <c r="A29" s="2" t="s">
        <v>14</v>
      </c>
      <c r="B29" s="5" t="s">
        <v>1246</v>
      </c>
      <c r="C29" s="69">
        <v>1</v>
      </c>
      <c r="D29" s="15" t="s">
        <v>3057</v>
      </c>
      <c r="E29" s="69">
        <v>0.08</v>
      </c>
      <c r="F29" s="3" t="s">
        <v>230</v>
      </c>
      <c r="G29" s="69">
        <v>0.25</v>
      </c>
      <c r="H29" s="5"/>
      <c r="I29" s="69"/>
      <c r="J29" s="29"/>
    </row>
    <row r="30" spans="1:32" x14ac:dyDescent="0.3">
      <c r="A30" s="2" t="s">
        <v>14</v>
      </c>
      <c r="B30" s="5" t="s">
        <v>104</v>
      </c>
      <c r="C30" s="69">
        <v>1</v>
      </c>
      <c r="D30" s="15" t="s">
        <v>1697</v>
      </c>
      <c r="E30" s="69">
        <v>0.08</v>
      </c>
      <c r="F30" s="3" t="s">
        <v>195</v>
      </c>
      <c r="G30" s="69">
        <v>1</v>
      </c>
      <c r="H30" s="5"/>
      <c r="I30" s="69"/>
      <c r="J30" s="29"/>
    </row>
    <row r="31" spans="1:32" x14ac:dyDescent="0.3">
      <c r="A31" s="2" t="s">
        <v>14</v>
      </c>
      <c r="B31" s="5" t="s">
        <v>230</v>
      </c>
      <c r="C31" s="69">
        <v>0.5</v>
      </c>
      <c r="D31" s="15" t="s">
        <v>966</v>
      </c>
      <c r="E31" s="69">
        <v>0.08</v>
      </c>
      <c r="F31" s="3" t="s">
        <v>108</v>
      </c>
      <c r="G31" s="69">
        <v>4</v>
      </c>
      <c r="H31" s="5"/>
      <c r="I31" s="69"/>
      <c r="J31" s="29"/>
    </row>
    <row r="32" spans="1:32" x14ac:dyDescent="0.3">
      <c r="A32" s="2" t="s">
        <v>14</v>
      </c>
      <c r="B32" s="5" t="s">
        <v>106</v>
      </c>
      <c r="C32" s="69">
        <v>1</v>
      </c>
      <c r="D32" s="15" t="s">
        <v>3056</v>
      </c>
      <c r="E32" s="69">
        <v>0.08</v>
      </c>
      <c r="F32" s="3" t="s">
        <v>54</v>
      </c>
      <c r="G32" s="69">
        <v>0.75</v>
      </c>
      <c r="H32" s="5"/>
      <c r="I32" s="69"/>
      <c r="J32" s="29"/>
    </row>
    <row r="33" spans="1:32" x14ac:dyDescent="0.3">
      <c r="A33" s="2" t="s">
        <v>14</v>
      </c>
      <c r="B33" s="5" t="s">
        <v>3053</v>
      </c>
      <c r="C33" s="69">
        <v>1</v>
      </c>
      <c r="D33" s="15" t="s">
        <v>953</v>
      </c>
      <c r="E33" s="69">
        <v>0.17</v>
      </c>
      <c r="F33" s="3"/>
      <c r="G33" s="69"/>
      <c r="H33" s="5"/>
      <c r="I33" s="69"/>
      <c r="J33" s="29"/>
    </row>
    <row r="34" spans="1:32" x14ac:dyDescent="0.3">
      <c r="A34" s="2" t="s">
        <v>14</v>
      </c>
      <c r="B34" s="5" t="s">
        <v>229</v>
      </c>
      <c r="C34" s="69">
        <v>1</v>
      </c>
      <c r="D34" s="15" t="s">
        <v>112</v>
      </c>
      <c r="E34" s="69">
        <v>0.5</v>
      </c>
      <c r="F34" s="3"/>
      <c r="G34" s="69"/>
      <c r="H34" s="5"/>
      <c r="I34" s="69"/>
      <c r="J34" s="29"/>
      <c r="O34" t="s">
        <v>3143</v>
      </c>
      <c r="P34">
        <f>SUM(P2:P33)</f>
        <v>176.99999999999997</v>
      </c>
      <c r="R34">
        <f>SUM(R2:R33)</f>
        <v>44.249999999999993</v>
      </c>
      <c r="S34">
        <f>SUM(S2:S33)</f>
        <v>44.249999999999993</v>
      </c>
      <c r="T34">
        <f>SUM(T2:T33)</f>
        <v>44.249999999999993</v>
      </c>
      <c r="U34">
        <f>SUM(U2:U33)</f>
        <v>44.249999999999993</v>
      </c>
      <c r="Y34" t="s">
        <v>3143</v>
      </c>
      <c r="Z34">
        <f>SUM(Z2:Z33)</f>
        <v>168.01</v>
      </c>
      <c r="AB34">
        <f>SUM(AB2:AB33)</f>
        <v>8</v>
      </c>
      <c r="AC34">
        <f>SUM(AC2:AC33)</f>
        <v>40</v>
      </c>
      <c r="AD34">
        <f>SUM(AD2:AD33)</f>
        <v>40</v>
      </c>
      <c r="AE34">
        <f>SUM(AE2:AE33)</f>
        <v>40.010000000000005</v>
      </c>
      <c r="AF34">
        <f>SUM(AF2:AF33)</f>
        <v>40</v>
      </c>
    </row>
    <row r="35" spans="1:32" x14ac:dyDescent="0.3">
      <c r="A35" s="2" t="s">
        <v>14</v>
      </c>
      <c r="B35" s="5" t="s">
        <v>54</v>
      </c>
      <c r="C35" s="69">
        <v>0.75</v>
      </c>
      <c r="D35" s="15" t="s">
        <v>1865</v>
      </c>
      <c r="E35" s="69">
        <v>0.85</v>
      </c>
      <c r="F35" s="3"/>
      <c r="G35" s="69"/>
      <c r="H35" s="5"/>
      <c r="I35" s="69"/>
      <c r="J35" s="29"/>
    </row>
    <row r="36" spans="1:32" x14ac:dyDescent="0.3">
      <c r="A36" s="2" t="s">
        <v>14</v>
      </c>
      <c r="B36" s="5"/>
      <c r="C36" s="69"/>
      <c r="D36" s="15" t="s">
        <v>725</v>
      </c>
      <c r="E36" s="69">
        <v>1.75</v>
      </c>
      <c r="F36" s="3"/>
      <c r="G36" s="69"/>
      <c r="H36" s="5"/>
      <c r="I36" s="69"/>
      <c r="J36" s="29"/>
    </row>
    <row r="37" spans="1:32" x14ac:dyDescent="0.3">
      <c r="A37" s="2" t="s">
        <v>14</v>
      </c>
      <c r="B37" s="5"/>
      <c r="C37" s="69"/>
      <c r="D37" s="15" t="s">
        <v>102</v>
      </c>
      <c r="E37" s="69">
        <v>0.75</v>
      </c>
      <c r="F37" s="3"/>
      <c r="G37" s="69"/>
      <c r="H37" s="5"/>
      <c r="I37" s="69"/>
      <c r="J37" s="29"/>
    </row>
    <row r="38" spans="1:32" x14ac:dyDescent="0.3">
      <c r="A38" s="2" t="s">
        <v>14</v>
      </c>
      <c r="B38" s="5"/>
      <c r="C38" s="69"/>
      <c r="D38" s="15" t="s">
        <v>1246</v>
      </c>
      <c r="E38" s="69">
        <v>0.5</v>
      </c>
      <c r="F38" s="3"/>
      <c r="G38" s="69"/>
      <c r="H38" s="5"/>
      <c r="I38" s="69"/>
      <c r="J38" s="29"/>
    </row>
    <row r="39" spans="1:32" x14ac:dyDescent="0.3">
      <c r="A39" s="2" t="s">
        <v>14</v>
      </c>
      <c r="B39" s="5"/>
      <c r="C39" s="69"/>
      <c r="D39" s="15" t="s">
        <v>104</v>
      </c>
      <c r="E39" s="69">
        <v>0.75</v>
      </c>
      <c r="F39" s="3"/>
      <c r="G39" s="69"/>
      <c r="H39" s="5"/>
      <c r="I39" s="69"/>
      <c r="J39" s="29"/>
    </row>
    <row r="40" spans="1:32" x14ac:dyDescent="0.3">
      <c r="A40" s="2" t="s">
        <v>14</v>
      </c>
      <c r="B40" s="5"/>
      <c r="C40" s="69"/>
      <c r="D40" s="15" t="s">
        <v>106</v>
      </c>
      <c r="E40" s="69">
        <v>0.5</v>
      </c>
      <c r="F40" s="3"/>
      <c r="G40" s="69"/>
      <c r="H40" s="5"/>
      <c r="I40" s="69"/>
      <c r="J40" s="29"/>
    </row>
    <row r="41" spans="1:32" x14ac:dyDescent="0.3">
      <c r="A41" s="2" t="s">
        <v>14</v>
      </c>
      <c r="B41" s="5"/>
      <c r="C41" s="69"/>
      <c r="D41" s="15" t="s">
        <v>3053</v>
      </c>
      <c r="E41" s="69">
        <v>0.5</v>
      </c>
      <c r="F41" s="3"/>
      <c r="G41" s="69"/>
      <c r="H41" s="5"/>
      <c r="I41" s="69"/>
      <c r="J41" s="29"/>
    </row>
    <row r="42" spans="1:32" x14ac:dyDescent="0.3">
      <c r="A42" s="2" t="s">
        <v>14</v>
      </c>
      <c r="B42" s="5"/>
      <c r="C42" s="69"/>
      <c r="D42" s="15" t="s">
        <v>229</v>
      </c>
      <c r="E42" s="69">
        <v>0.5</v>
      </c>
      <c r="F42" s="3"/>
      <c r="G42" s="69"/>
      <c r="H42" s="5"/>
      <c r="I42" s="69"/>
      <c r="J42" s="29"/>
    </row>
    <row r="43" spans="1:32" x14ac:dyDescent="0.3">
      <c r="A43" s="2" t="s">
        <v>14</v>
      </c>
      <c r="B43" s="5"/>
      <c r="C43" s="69"/>
      <c r="D43" s="15" t="s">
        <v>54</v>
      </c>
      <c r="E43" s="69">
        <v>0.75</v>
      </c>
      <c r="F43" s="3"/>
      <c r="G43" s="69"/>
      <c r="H43" s="5"/>
      <c r="I43" s="69"/>
      <c r="J43" s="29"/>
    </row>
    <row r="44" spans="1:32" x14ac:dyDescent="0.3">
      <c r="A44" s="2"/>
      <c r="B44" s="5"/>
      <c r="C44" s="69"/>
      <c r="D44" s="51"/>
      <c r="E44" s="69"/>
      <c r="F44" s="5"/>
      <c r="G44" s="69"/>
      <c r="H44" s="15"/>
      <c r="I44" s="69"/>
      <c r="J44" s="5"/>
    </row>
    <row r="45" spans="1:32" x14ac:dyDescent="0.3">
      <c r="A45" s="2"/>
      <c r="B45" s="5"/>
      <c r="C45" s="69"/>
      <c r="D45" s="15"/>
      <c r="E45" s="69"/>
      <c r="F45" s="3"/>
      <c r="G45" s="69"/>
      <c r="H45" s="5"/>
      <c r="I45" s="69"/>
      <c r="J45" s="29"/>
    </row>
    <row r="46" spans="1:32" x14ac:dyDescent="0.3">
      <c r="A46" s="2" t="s">
        <v>15</v>
      </c>
      <c r="B46" s="5" t="s">
        <v>214</v>
      </c>
      <c r="C46" s="69">
        <v>0.25</v>
      </c>
      <c r="D46" s="51" t="s">
        <v>195</v>
      </c>
      <c r="E46" s="69">
        <v>0.25</v>
      </c>
      <c r="F46" s="5" t="s">
        <v>229</v>
      </c>
      <c r="G46" s="69">
        <v>0.5</v>
      </c>
      <c r="H46" s="5" t="s">
        <v>108</v>
      </c>
      <c r="I46" s="69">
        <v>3.5</v>
      </c>
      <c r="J46" s="5" t="s">
        <v>108</v>
      </c>
      <c r="K46" s="70">
        <v>0.5</v>
      </c>
    </row>
    <row r="47" spans="1:32" x14ac:dyDescent="0.3">
      <c r="A47" s="2" t="s">
        <v>15</v>
      </c>
      <c r="B47" s="5" t="s">
        <v>195</v>
      </c>
      <c r="C47" s="69">
        <v>0.5</v>
      </c>
      <c r="D47" s="15" t="s">
        <v>108</v>
      </c>
      <c r="E47" s="69">
        <v>1</v>
      </c>
      <c r="F47" s="5" t="s">
        <v>102</v>
      </c>
      <c r="G47" s="69">
        <v>0.75</v>
      </c>
      <c r="H47" s="5" t="s">
        <v>195</v>
      </c>
      <c r="I47" s="69">
        <v>2.25</v>
      </c>
      <c r="J47" s="5" t="s">
        <v>105</v>
      </c>
      <c r="K47" s="70">
        <v>4</v>
      </c>
    </row>
    <row r="48" spans="1:32" x14ac:dyDescent="0.3">
      <c r="A48" s="2" t="s">
        <v>15</v>
      </c>
      <c r="B48" s="5" t="s">
        <v>108</v>
      </c>
      <c r="C48" s="69">
        <v>1</v>
      </c>
      <c r="D48" s="51" t="s">
        <v>3054</v>
      </c>
      <c r="E48" s="69">
        <v>0.08</v>
      </c>
      <c r="F48" s="15" t="s">
        <v>1246</v>
      </c>
      <c r="G48" s="69">
        <v>0.75</v>
      </c>
      <c r="H48" s="15" t="s">
        <v>295</v>
      </c>
      <c r="I48" s="69">
        <v>2</v>
      </c>
      <c r="J48" s="29" t="s">
        <v>214</v>
      </c>
      <c r="K48" s="70">
        <v>2.75</v>
      </c>
    </row>
    <row r="49" spans="1:11" x14ac:dyDescent="0.3">
      <c r="A49" s="2" t="s">
        <v>15</v>
      </c>
      <c r="B49" s="5" t="s">
        <v>102</v>
      </c>
      <c r="C49" s="69">
        <v>1</v>
      </c>
      <c r="D49" s="51" t="s">
        <v>3055</v>
      </c>
      <c r="E49" s="69">
        <v>0.08</v>
      </c>
      <c r="F49" s="5" t="s">
        <v>104</v>
      </c>
      <c r="G49" s="69">
        <v>0.75</v>
      </c>
      <c r="H49" s="5" t="s">
        <v>54</v>
      </c>
      <c r="I49" s="69">
        <v>0.75</v>
      </c>
      <c r="J49" s="5" t="s">
        <v>54</v>
      </c>
      <c r="K49" s="70">
        <v>1.5</v>
      </c>
    </row>
    <row r="50" spans="1:11" x14ac:dyDescent="0.3">
      <c r="A50" s="2" t="s">
        <v>15</v>
      </c>
      <c r="B50" s="5" t="s">
        <v>1246</v>
      </c>
      <c r="C50" s="69">
        <v>1</v>
      </c>
      <c r="D50" s="15" t="s">
        <v>3057</v>
      </c>
      <c r="E50" s="69">
        <v>0.08</v>
      </c>
      <c r="F50" s="3" t="s">
        <v>230</v>
      </c>
      <c r="G50" s="69">
        <v>0.25</v>
      </c>
      <c r="H50" s="5"/>
      <c r="I50" s="69"/>
      <c r="J50" s="29"/>
    </row>
    <row r="51" spans="1:11" x14ac:dyDescent="0.3">
      <c r="A51" s="2" t="s">
        <v>15</v>
      </c>
      <c r="B51" s="5" t="s">
        <v>104</v>
      </c>
      <c r="C51" s="69">
        <v>1</v>
      </c>
      <c r="D51" s="15" t="s">
        <v>1697</v>
      </c>
      <c r="E51" s="69">
        <v>0.08</v>
      </c>
      <c r="F51" s="3" t="s">
        <v>195</v>
      </c>
      <c r="G51" s="69">
        <v>1</v>
      </c>
      <c r="H51" s="5"/>
      <c r="I51" s="69"/>
      <c r="J51" s="29"/>
    </row>
    <row r="52" spans="1:11" x14ac:dyDescent="0.3">
      <c r="A52" s="2" t="s">
        <v>15</v>
      </c>
      <c r="B52" s="5" t="s">
        <v>230</v>
      </c>
      <c r="C52" s="69">
        <v>0.5</v>
      </c>
      <c r="D52" s="15" t="s">
        <v>966</v>
      </c>
      <c r="E52" s="69">
        <v>0.08</v>
      </c>
      <c r="F52" s="3" t="s">
        <v>108</v>
      </c>
      <c r="G52" s="69">
        <v>4</v>
      </c>
      <c r="H52" s="5"/>
      <c r="I52" s="69"/>
      <c r="J52" s="29"/>
    </row>
    <row r="53" spans="1:11" x14ac:dyDescent="0.3">
      <c r="A53" s="2" t="s">
        <v>15</v>
      </c>
      <c r="B53" s="5" t="s">
        <v>106</v>
      </c>
      <c r="C53" s="69">
        <v>1</v>
      </c>
      <c r="D53" s="15" t="s">
        <v>3056</v>
      </c>
      <c r="E53" s="69">
        <v>0.08</v>
      </c>
      <c r="F53" s="3" t="s">
        <v>54</v>
      </c>
      <c r="G53" s="69">
        <v>0.75</v>
      </c>
      <c r="H53" s="5"/>
      <c r="I53" s="69"/>
      <c r="J53" s="29"/>
    </row>
    <row r="54" spans="1:11" x14ac:dyDescent="0.3">
      <c r="A54" s="2" t="s">
        <v>15</v>
      </c>
      <c r="B54" s="5" t="s">
        <v>3053</v>
      </c>
      <c r="C54" s="69">
        <v>1</v>
      </c>
      <c r="D54" s="15" t="s">
        <v>953</v>
      </c>
      <c r="E54" s="69">
        <v>0.17</v>
      </c>
      <c r="F54" s="3"/>
      <c r="G54" s="69"/>
      <c r="H54" s="5"/>
      <c r="I54" s="69"/>
      <c r="J54" s="29"/>
    </row>
    <row r="55" spans="1:11" x14ac:dyDescent="0.3">
      <c r="A55" s="2" t="s">
        <v>15</v>
      </c>
      <c r="B55" s="5" t="s">
        <v>229</v>
      </c>
      <c r="C55" s="69">
        <v>1</v>
      </c>
      <c r="D55" s="15" t="s">
        <v>112</v>
      </c>
      <c r="E55" s="69">
        <v>0.5</v>
      </c>
      <c r="F55" s="3"/>
      <c r="G55" s="69"/>
      <c r="H55" s="5"/>
      <c r="I55" s="69"/>
      <c r="J55" s="29"/>
    </row>
    <row r="56" spans="1:11" x14ac:dyDescent="0.3">
      <c r="A56" s="2" t="s">
        <v>15</v>
      </c>
      <c r="B56" s="5" t="s">
        <v>54</v>
      </c>
      <c r="C56" s="69">
        <v>0.75</v>
      </c>
      <c r="D56" s="15" t="s">
        <v>1865</v>
      </c>
      <c r="E56" s="69">
        <v>0.85</v>
      </c>
      <c r="F56" s="3"/>
      <c r="G56" s="69"/>
      <c r="H56" s="5"/>
      <c r="I56" s="69"/>
      <c r="J56" s="29"/>
    </row>
    <row r="57" spans="1:11" x14ac:dyDescent="0.3">
      <c r="A57" s="2" t="s">
        <v>15</v>
      </c>
      <c r="B57" s="5"/>
      <c r="C57" s="69"/>
      <c r="D57" s="15" t="s">
        <v>725</v>
      </c>
      <c r="E57" s="69">
        <v>1.75</v>
      </c>
      <c r="F57" s="3"/>
      <c r="G57" s="69"/>
      <c r="H57" s="5"/>
      <c r="I57" s="69"/>
      <c r="J57" s="29"/>
    </row>
    <row r="58" spans="1:11" x14ac:dyDescent="0.3">
      <c r="A58" s="2" t="s">
        <v>15</v>
      </c>
      <c r="B58" s="5"/>
      <c r="C58" s="69"/>
      <c r="D58" s="15" t="s">
        <v>102</v>
      </c>
      <c r="E58" s="69">
        <v>0.75</v>
      </c>
      <c r="F58" s="3"/>
      <c r="G58" s="69"/>
      <c r="H58" s="5"/>
      <c r="I58" s="69"/>
      <c r="J58" s="29"/>
    </row>
    <row r="59" spans="1:11" x14ac:dyDescent="0.3">
      <c r="A59" s="2" t="s">
        <v>15</v>
      </c>
      <c r="B59" s="5"/>
      <c r="C59" s="69"/>
      <c r="D59" s="15" t="s">
        <v>1246</v>
      </c>
      <c r="E59" s="69">
        <v>0.5</v>
      </c>
      <c r="F59" s="3"/>
      <c r="G59" s="69"/>
      <c r="H59" s="5"/>
      <c r="I59" s="69"/>
      <c r="J59" s="29"/>
    </row>
    <row r="60" spans="1:11" x14ac:dyDescent="0.3">
      <c r="A60" s="2" t="s">
        <v>15</v>
      </c>
      <c r="B60" s="5"/>
      <c r="C60" s="69"/>
      <c r="D60" s="15" t="s">
        <v>104</v>
      </c>
      <c r="E60" s="69">
        <v>0.75</v>
      </c>
      <c r="F60" s="3"/>
      <c r="G60" s="69"/>
      <c r="H60" s="5"/>
      <c r="I60" s="69"/>
      <c r="J60" s="29"/>
    </row>
    <row r="61" spans="1:11" x14ac:dyDescent="0.3">
      <c r="A61" s="2" t="s">
        <v>15</v>
      </c>
      <c r="B61" s="5"/>
      <c r="C61" s="69"/>
      <c r="D61" s="15" t="s">
        <v>106</v>
      </c>
      <c r="E61" s="69">
        <v>0.5</v>
      </c>
      <c r="F61" s="3"/>
      <c r="G61" s="69"/>
      <c r="H61" s="5"/>
      <c r="I61" s="69"/>
      <c r="J61" s="29"/>
    </row>
    <row r="62" spans="1:11" x14ac:dyDescent="0.3">
      <c r="A62" s="2" t="s">
        <v>15</v>
      </c>
      <c r="B62" s="5"/>
      <c r="C62" s="69"/>
      <c r="D62" s="15" t="s">
        <v>3053</v>
      </c>
      <c r="E62" s="69">
        <v>0.5</v>
      </c>
      <c r="F62" s="3"/>
      <c r="G62" s="69"/>
      <c r="H62" s="5"/>
      <c r="I62" s="69"/>
      <c r="J62" s="29"/>
    </row>
    <row r="63" spans="1:11" x14ac:dyDescent="0.3">
      <c r="A63" s="2" t="s">
        <v>15</v>
      </c>
      <c r="B63" s="5"/>
      <c r="C63" s="69"/>
      <c r="D63" s="15" t="s">
        <v>229</v>
      </c>
      <c r="E63" s="69">
        <v>0.5</v>
      </c>
      <c r="F63" s="3"/>
      <c r="G63" s="69"/>
      <c r="H63" s="5"/>
      <c r="I63" s="69"/>
      <c r="J63" s="29"/>
    </row>
    <row r="64" spans="1:11" x14ac:dyDescent="0.3">
      <c r="A64" s="2" t="s">
        <v>15</v>
      </c>
      <c r="B64" s="5"/>
      <c r="C64" s="69"/>
      <c r="D64" s="15" t="s">
        <v>54</v>
      </c>
      <c r="E64" s="69">
        <v>0.75</v>
      </c>
      <c r="F64" s="3"/>
      <c r="G64" s="69"/>
      <c r="H64" s="5"/>
      <c r="I64" s="69"/>
      <c r="J64" s="29"/>
    </row>
    <row r="67" spans="1:11" x14ac:dyDescent="0.3">
      <c r="A67" s="2" t="s">
        <v>16</v>
      </c>
      <c r="B67" s="5" t="s">
        <v>214</v>
      </c>
      <c r="C67" s="69">
        <v>0.25</v>
      </c>
      <c r="D67" s="51" t="s">
        <v>195</v>
      </c>
      <c r="E67" s="69">
        <v>0.25</v>
      </c>
      <c r="F67" s="5" t="s">
        <v>229</v>
      </c>
      <c r="G67" s="69">
        <v>0.5</v>
      </c>
      <c r="H67" s="5" t="s">
        <v>108</v>
      </c>
      <c r="I67" s="69">
        <v>3.5</v>
      </c>
      <c r="J67" s="5" t="s">
        <v>108</v>
      </c>
      <c r="K67" s="70">
        <v>0.5</v>
      </c>
    </row>
    <row r="68" spans="1:11" x14ac:dyDescent="0.3">
      <c r="A68" s="2" t="s">
        <v>16</v>
      </c>
      <c r="B68" s="5" t="s">
        <v>195</v>
      </c>
      <c r="C68" s="69">
        <v>0.5</v>
      </c>
      <c r="D68" s="15" t="s">
        <v>108</v>
      </c>
      <c r="E68" s="69">
        <v>1</v>
      </c>
      <c r="F68" s="5" t="s">
        <v>102</v>
      </c>
      <c r="G68" s="69">
        <v>0.75</v>
      </c>
      <c r="H68" s="5" t="s">
        <v>195</v>
      </c>
      <c r="I68" s="69">
        <v>2.25</v>
      </c>
      <c r="J68" s="5" t="s">
        <v>105</v>
      </c>
      <c r="K68" s="70">
        <v>4</v>
      </c>
    </row>
    <row r="69" spans="1:11" x14ac:dyDescent="0.3">
      <c r="A69" s="2" t="s">
        <v>16</v>
      </c>
      <c r="B69" s="5" t="s">
        <v>108</v>
      </c>
      <c r="C69" s="69">
        <v>1</v>
      </c>
      <c r="D69" s="51" t="s">
        <v>3054</v>
      </c>
      <c r="E69" s="69">
        <v>0.08</v>
      </c>
      <c r="F69" s="15" t="s">
        <v>1246</v>
      </c>
      <c r="G69" s="69">
        <v>0.75</v>
      </c>
      <c r="H69" s="15" t="s">
        <v>295</v>
      </c>
      <c r="I69" s="69">
        <v>2</v>
      </c>
      <c r="J69" s="29" t="s">
        <v>214</v>
      </c>
      <c r="K69" s="70">
        <v>2.75</v>
      </c>
    </row>
    <row r="70" spans="1:11" x14ac:dyDescent="0.3">
      <c r="A70" s="2" t="s">
        <v>16</v>
      </c>
      <c r="B70" s="5" t="s">
        <v>102</v>
      </c>
      <c r="C70" s="69">
        <v>1</v>
      </c>
      <c r="D70" s="51" t="s">
        <v>3055</v>
      </c>
      <c r="E70" s="69">
        <v>0.08</v>
      </c>
      <c r="F70" s="5" t="s">
        <v>104</v>
      </c>
      <c r="G70" s="69">
        <v>0.75</v>
      </c>
      <c r="H70" s="5" t="s">
        <v>54</v>
      </c>
      <c r="I70" s="69">
        <v>0.75</v>
      </c>
      <c r="J70" s="5" t="s">
        <v>54</v>
      </c>
      <c r="K70" s="70">
        <v>1.5</v>
      </c>
    </row>
    <row r="71" spans="1:11" x14ac:dyDescent="0.3">
      <c r="A71" s="2" t="s">
        <v>16</v>
      </c>
      <c r="B71" s="5" t="s">
        <v>1246</v>
      </c>
      <c r="C71" s="69">
        <v>1</v>
      </c>
      <c r="D71" s="15" t="s">
        <v>3057</v>
      </c>
      <c r="E71" s="69">
        <v>0.08</v>
      </c>
      <c r="F71" s="3" t="s">
        <v>230</v>
      </c>
      <c r="G71" s="69">
        <v>0.25</v>
      </c>
      <c r="H71" s="5"/>
      <c r="I71" s="69"/>
      <c r="J71" s="29"/>
    </row>
    <row r="72" spans="1:11" x14ac:dyDescent="0.3">
      <c r="A72" s="2" t="s">
        <v>16</v>
      </c>
      <c r="B72" s="5" t="s">
        <v>104</v>
      </c>
      <c r="C72" s="69">
        <v>1</v>
      </c>
      <c r="D72" s="15" t="s">
        <v>1697</v>
      </c>
      <c r="E72" s="69">
        <v>0.08</v>
      </c>
      <c r="F72" s="3" t="s">
        <v>195</v>
      </c>
      <c r="G72" s="69">
        <v>1</v>
      </c>
      <c r="H72" s="5"/>
      <c r="I72" s="69"/>
      <c r="J72" s="29"/>
    </row>
    <row r="73" spans="1:11" x14ac:dyDescent="0.3">
      <c r="A73" s="2" t="s">
        <v>16</v>
      </c>
      <c r="B73" s="5" t="s">
        <v>230</v>
      </c>
      <c r="C73" s="69">
        <v>0.5</v>
      </c>
      <c r="D73" s="15" t="s">
        <v>966</v>
      </c>
      <c r="E73" s="69">
        <v>0.08</v>
      </c>
      <c r="F73" s="3" t="s">
        <v>108</v>
      </c>
      <c r="G73" s="69">
        <v>4</v>
      </c>
      <c r="H73" s="5"/>
      <c r="I73" s="69"/>
      <c r="J73" s="29"/>
    </row>
    <row r="74" spans="1:11" x14ac:dyDescent="0.3">
      <c r="A74" s="2" t="s">
        <v>16</v>
      </c>
      <c r="B74" s="5" t="s">
        <v>106</v>
      </c>
      <c r="C74" s="69">
        <v>1</v>
      </c>
      <c r="D74" s="15" t="s">
        <v>3056</v>
      </c>
      <c r="E74" s="69">
        <v>0.08</v>
      </c>
      <c r="F74" s="3" t="s">
        <v>54</v>
      </c>
      <c r="G74" s="69">
        <v>0.75</v>
      </c>
      <c r="H74" s="5"/>
      <c r="I74" s="69"/>
      <c r="J74" s="29"/>
    </row>
    <row r="75" spans="1:11" x14ac:dyDescent="0.3">
      <c r="A75" s="2" t="s">
        <v>16</v>
      </c>
      <c r="B75" s="5" t="s">
        <v>3053</v>
      </c>
      <c r="C75" s="69">
        <v>1</v>
      </c>
      <c r="D75" s="15" t="s">
        <v>953</v>
      </c>
      <c r="E75" s="69">
        <v>0.17</v>
      </c>
      <c r="F75" s="3"/>
      <c r="G75" s="69"/>
      <c r="H75" s="5"/>
      <c r="I75" s="69"/>
      <c r="J75" s="29"/>
    </row>
    <row r="76" spans="1:11" x14ac:dyDescent="0.3">
      <c r="A76" s="2" t="s">
        <v>16</v>
      </c>
      <c r="B76" s="5" t="s">
        <v>229</v>
      </c>
      <c r="C76" s="69">
        <v>1</v>
      </c>
      <c r="D76" s="15" t="s">
        <v>112</v>
      </c>
      <c r="E76" s="69">
        <v>0.5</v>
      </c>
      <c r="F76" s="3"/>
      <c r="G76" s="69"/>
      <c r="H76" s="5"/>
      <c r="I76" s="69"/>
      <c r="J76" s="29"/>
    </row>
    <row r="77" spans="1:11" x14ac:dyDescent="0.3">
      <c r="A77" s="2" t="s">
        <v>16</v>
      </c>
      <c r="B77" s="5" t="s">
        <v>54</v>
      </c>
      <c r="C77" s="69">
        <v>0.75</v>
      </c>
      <c r="D77" s="15" t="s">
        <v>1865</v>
      </c>
      <c r="E77" s="69">
        <v>0.85</v>
      </c>
      <c r="F77" s="3"/>
      <c r="G77" s="69"/>
      <c r="H77" s="5"/>
      <c r="I77" s="69"/>
      <c r="J77" s="29"/>
    </row>
    <row r="78" spans="1:11" x14ac:dyDescent="0.3">
      <c r="A78" s="2" t="s">
        <v>16</v>
      </c>
      <c r="B78" s="5"/>
      <c r="C78" s="69"/>
      <c r="D78" s="15" t="s">
        <v>725</v>
      </c>
      <c r="E78" s="69">
        <v>1.75</v>
      </c>
      <c r="F78" s="3"/>
      <c r="G78" s="69"/>
      <c r="H78" s="5"/>
      <c r="I78" s="69"/>
      <c r="J78" s="29"/>
    </row>
    <row r="79" spans="1:11" x14ac:dyDescent="0.3">
      <c r="A79" s="2" t="s">
        <v>16</v>
      </c>
      <c r="B79" s="5"/>
      <c r="C79" s="69"/>
      <c r="D79" s="15" t="s">
        <v>102</v>
      </c>
      <c r="E79" s="69">
        <v>0.75</v>
      </c>
      <c r="F79" s="3"/>
      <c r="G79" s="69"/>
      <c r="H79" s="5"/>
      <c r="I79" s="69"/>
      <c r="J79" s="29"/>
    </row>
    <row r="80" spans="1:11" x14ac:dyDescent="0.3">
      <c r="A80" s="2" t="s">
        <v>16</v>
      </c>
      <c r="B80" s="5"/>
      <c r="C80" s="69"/>
      <c r="D80" s="15" t="s">
        <v>1246</v>
      </c>
      <c r="E80" s="69">
        <v>0.5</v>
      </c>
      <c r="F80" s="3"/>
      <c r="G80" s="69"/>
      <c r="H80" s="5"/>
      <c r="I80" s="69"/>
      <c r="J80" s="29"/>
    </row>
    <row r="81" spans="1:13" x14ac:dyDescent="0.3">
      <c r="A81" s="2" t="s">
        <v>16</v>
      </c>
      <c r="B81" s="5"/>
      <c r="C81" s="69"/>
      <c r="D81" s="15" t="s">
        <v>104</v>
      </c>
      <c r="E81" s="69">
        <v>0.75</v>
      </c>
      <c r="F81" s="3"/>
      <c r="G81" s="69"/>
      <c r="H81" s="5"/>
      <c r="I81" s="69"/>
      <c r="J81" s="29"/>
    </row>
    <row r="82" spans="1:13" x14ac:dyDescent="0.3">
      <c r="A82" s="2" t="s">
        <v>16</v>
      </c>
      <c r="B82" s="5"/>
      <c r="C82" s="69"/>
      <c r="D82" s="15" t="s">
        <v>106</v>
      </c>
      <c r="E82" s="69">
        <v>0.5</v>
      </c>
      <c r="F82" s="3"/>
      <c r="G82" s="69"/>
      <c r="H82" s="5"/>
      <c r="I82" s="69"/>
      <c r="J82" s="29"/>
    </row>
    <row r="83" spans="1:13" x14ac:dyDescent="0.3">
      <c r="A83" s="2" t="s">
        <v>16</v>
      </c>
      <c r="B83" s="5"/>
      <c r="C83" s="69"/>
      <c r="D83" s="15" t="s">
        <v>3053</v>
      </c>
      <c r="E83" s="69">
        <v>0.5</v>
      </c>
      <c r="F83" s="3"/>
      <c r="G83" s="69"/>
      <c r="H83" s="5"/>
      <c r="I83" s="69"/>
      <c r="J83" s="29"/>
    </row>
    <row r="84" spans="1:13" x14ac:dyDescent="0.3">
      <c r="A84" s="2" t="s">
        <v>16</v>
      </c>
      <c r="B84" s="5"/>
      <c r="C84" s="69"/>
      <c r="D84" s="15" t="s">
        <v>229</v>
      </c>
      <c r="E84" s="69">
        <v>0.5</v>
      </c>
      <c r="F84" s="3"/>
      <c r="G84" s="69"/>
      <c r="H84" s="5"/>
      <c r="I84" s="69"/>
      <c r="J84" s="29"/>
    </row>
    <row r="85" spans="1:13" x14ac:dyDescent="0.3">
      <c r="A85" s="2" t="s">
        <v>16</v>
      </c>
      <c r="B85" s="5"/>
      <c r="C85" s="69"/>
      <c r="D85" s="15" t="s">
        <v>54</v>
      </c>
      <c r="E85" s="69">
        <v>0.75</v>
      </c>
      <c r="F85" s="3"/>
      <c r="G85" s="69"/>
      <c r="H85" s="5"/>
      <c r="I85" s="69"/>
      <c r="J85" s="29"/>
    </row>
    <row r="88" spans="1:13" x14ac:dyDescent="0.3">
      <c r="A88" s="2" t="s">
        <v>17</v>
      </c>
      <c r="C88"/>
      <c r="E88"/>
      <c r="G88"/>
      <c r="I88"/>
      <c r="L88" s="1" t="s">
        <v>3144</v>
      </c>
      <c r="M88" s="1">
        <v>168.01</v>
      </c>
    </row>
    <row r="89" spans="1:13" x14ac:dyDescent="0.3">
      <c r="B89" s="1" t="s">
        <v>378</v>
      </c>
      <c r="C89"/>
      <c r="D89" s="1" t="s">
        <v>576</v>
      </c>
      <c r="E89"/>
      <c r="F89" s="1" t="s">
        <v>747</v>
      </c>
      <c r="G89"/>
      <c r="H89" s="17" t="s">
        <v>897</v>
      </c>
      <c r="I89"/>
      <c r="J89" s="1" t="s">
        <v>33</v>
      </c>
    </row>
    <row r="90" spans="1:13" x14ac:dyDescent="0.3">
      <c r="A90" s="19" t="s">
        <v>13</v>
      </c>
      <c r="J90" t="s">
        <v>54</v>
      </c>
      <c r="K90" s="70">
        <v>1.67</v>
      </c>
    </row>
    <row r="91" spans="1:13" x14ac:dyDescent="0.3">
      <c r="A91" s="19" t="s">
        <v>13</v>
      </c>
      <c r="J91" t="s">
        <v>106</v>
      </c>
      <c r="K91" s="70">
        <v>2.17</v>
      </c>
    </row>
    <row r="92" spans="1:13" x14ac:dyDescent="0.3">
      <c r="A92" s="19" t="s">
        <v>13</v>
      </c>
      <c r="J92" t="s">
        <v>102</v>
      </c>
      <c r="K92" s="70">
        <v>0.33</v>
      </c>
    </row>
    <row r="93" spans="1:13" x14ac:dyDescent="0.3">
      <c r="A93" s="19" t="s">
        <v>13</v>
      </c>
      <c r="J93" t="s">
        <v>104</v>
      </c>
      <c r="K93" s="70">
        <v>0.33</v>
      </c>
    </row>
    <row r="94" spans="1:13" x14ac:dyDescent="0.3">
      <c r="A94" s="19" t="s">
        <v>13</v>
      </c>
      <c r="J94" t="s">
        <v>108</v>
      </c>
      <c r="K94" s="70">
        <v>3</v>
      </c>
    </row>
    <row r="95" spans="1:13" x14ac:dyDescent="0.3">
      <c r="A95" s="19" t="s">
        <v>13</v>
      </c>
      <c r="J95" t="s">
        <v>112</v>
      </c>
      <c r="K95" s="70">
        <v>0.17</v>
      </c>
    </row>
    <row r="96" spans="1:13" x14ac:dyDescent="0.3">
      <c r="A96" s="19" t="s">
        <v>13</v>
      </c>
      <c r="J96" t="s">
        <v>105</v>
      </c>
      <c r="K96" s="70">
        <v>0.33</v>
      </c>
    </row>
    <row r="99" spans="1:11" x14ac:dyDescent="0.3">
      <c r="A99" s="19" t="s">
        <v>14</v>
      </c>
      <c r="B99" t="s">
        <v>54</v>
      </c>
      <c r="C99" s="70">
        <v>0.67</v>
      </c>
      <c r="D99" t="s">
        <v>54</v>
      </c>
      <c r="E99" s="70">
        <v>8</v>
      </c>
      <c r="F99" t="s">
        <v>54</v>
      </c>
      <c r="G99" s="70">
        <v>0.5</v>
      </c>
      <c r="H99" s="18" t="s">
        <v>54</v>
      </c>
      <c r="I99" s="70">
        <v>0.5</v>
      </c>
      <c r="J99" t="s">
        <v>54</v>
      </c>
      <c r="K99" s="70">
        <v>0.5</v>
      </c>
    </row>
    <row r="100" spans="1:11" x14ac:dyDescent="0.3">
      <c r="A100" s="19" t="s">
        <v>14</v>
      </c>
      <c r="B100" t="s">
        <v>106</v>
      </c>
      <c r="C100" s="70">
        <v>1.92</v>
      </c>
      <c r="F100" t="s">
        <v>106</v>
      </c>
      <c r="G100" s="70">
        <v>0.75</v>
      </c>
      <c r="H100" s="18" t="s">
        <v>227</v>
      </c>
      <c r="I100" s="70">
        <v>0.5</v>
      </c>
      <c r="J100" t="s">
        <v>227</v>
      </c>
      <c r="K100" s="70">
        <v>0.83</v>
      </c>
    </row>
    <row r="101" spans="1:11" x14ac:dyDescent="0.3">
      <c r="A101" s="19" t="s">
        <v>14</v>
      </c>
      <c r="B101" t="s">
        <v>227</v>
      </c>
      <c r="C101" s="70">
        <v>2.25</v>
      </c>
      <c r="F101" t="s">
        <v>229</v>
      </c>
      <c r="G101" s="70">
        <v>0.33</v>
      </c>
      <c r="H101" s="18" t="s">
        <v>229</v>
      </c>
      <c r="I101" s="70">
        <v>0.17</v>
      </c>
      <c r="J101" t="s">
        <v>229</v>
      </c>
      <c r="K101" s="70">
        <v>0.5</v>
      </c>
    </row>
    <row r="102" spans="1:11" x14ac:dyDescent="0.3">
      <c r="A102" s="19" t="s">
        <v>14</v>
      </c>
      <c r="B102" t="s">
        <v>229</v>
      </c>
      <c r="C102" s="70">
        <v>0.92</v>
      </c>
      <c r="F102" t="s">
        <v>104</v>
      </c>
      <c r="G102" s="70">
        <v>1.25</v>
      </c>
      <c r="H102" s="18" t="s">
        <v>102</v>
      </c>
      <c r="I102" s="70">
        <v>0.83</v>
      </c>
      <c r="J102" t="s">
        <v>108</v>
      </c>
      <c r="K102" s="70">
        <v>2.17</v>
      </c>
    </row>
    <row r="103" spans="1:11" x14ac:dyDescent="0.3">
      <c r="A103" s="19" t="s">
        <v>14</v>
      </c>
      <c r="B103" t="s">
        <v>102</v>
      </c>
      <c r="C103" s="70">
        <v>1.08</v>
      </c>
      <c r="F103" t="s">
        <v>108</v>
      </c>
      <c r="G103" s="70">
        <v>0.42</v>
      </c>
      <c r="H103" s="18" t="s">
        <v>108</v>
      </c>
      <c r="I103" s="70">
        <v>6</v>
      </c>
      <c r="J103" t="s">
        <v>195</v>
      </c>
      <c r="K103" s="70">
        <v>0.5</v>
      </c>
    </row>
    <row r="104" spans="1:11" x14ac:dyDescent="0.3">
      <c r="A104" s="19" t="s">
        <v>14</v>
      </c>
      <c r="B104" t="s">
        <v>104</v>
      </c>
      <c r="C104" s="70">
        <v>0.67</v>
      </c>
      <c r="F104" t="s">
        <v>195</v>
      </c>
      <c r="G104" s="70">
        <v>3.08</v>
      </c>
      <c r="J104" t="s">
        <v>214</v>
      </c>
      <c r="K104" s="70">
        <v>1.83</v>
      </c>
    </row>
    <row r="105" spans="1:11" x14ac:dyDescent="0.3">
      <c r="A105" s="19" t="s">
        <v>14</v>
      </c>
      <c r="B105" t="s">
        <v>230</v>
      </c>
      <c r="C105" s="70">
        <v>0.5</v>
      </c>
      <c r="F105" t="s">
        <v>725</v>
      </c>
      <c r="G105" s="70">
        <v>1.6600000000000001</v>
      </c>
      <c r="J105" t="s">
        <v>105</v>
      </c>
      <c r="K105" s="70">
        <v>1.67</v>
      </c>
    </row>
    <row r="108" spans="1:11" x14ac:dyDescent="0.3">
      <c r="A108" s="19" t="s">
        <v>15</v>
      </c>
      <c r="B108" t="s">
        <v>54</v>
      </c>
      <c r="C108" s="70">
        <v>0.5</v>
      </c>
      <c r="D108" t="s">
        <v>54</v>
      </c>
      <c r="E108" s="70">
        <v>0.5</v>
      </c>
      <c r="F108" t="s">
        <v>54</v>
      </c>
      <c r="G108" s="70">
        <v>0.5</v>
      </c>
      <c r="H108" s="18" t="s">
        <v>54</v>
      </c>
      <c r="I108" s="70">
        <v>0.5</v>
      </c>
      <c r="J108" t="s">
        <v>54</v>
      </c>
      <c r="K108" s="70">
        <v>0.5</v>
      </c>
    </row>
    <row r="109" spans="1:11" x14ac:dyDescent="0.3">
      <c r="A109" s="19" t="s">
        <v>15</v>
      </c>
      <c r="B109" t="s">
        <v>295</v>
      </c>
      <c r="C109" s="70">
        <v>2.92</v>
      </c>
      <c r="D109" t="s">
        <v>295</v>
      </c>
      <c r="E109" s="70">
        <v>6</v>
      </c>
      <c r="F109" t="s">
        <v>295</v>
      </c>
      <c r="G109" s="70">
        <v>1.5</v>
      </c>
      <c r="H109" s="18" t="s">
        <v>295</v>
      </c>
      <c r="I109" s="70">
        <v>2</v>
      </c>
      <c r="J109" t="s">
        <v>295</v>
      </c>
      <c r="K109" s="70">
        <v>1.75</v>
      </c>
    </row>
    <row r="110" spans="1:11" x14ac:dyDescent="0.3">
      <c r="A110" s="19" t="s">
        <v>15</v>
      </c>
      <c r="B110" t="s">
        <v>106</v>
      </c>
      <c r="C110" s="70">
        <v>0.25</v>
      </c>
      <c r="D110" t="s">
        <v>108</v>
      </c>
      <c r="E110" s="70">
        <v>0.42</v>
      </c>
      <c r="F110" t="s">
        <v>229</v>
      </c>
      <c r="G110" s="70">
        <v>0.33</v>
      </c>
      <c r="H110" s="18" t="s">
        <v>102</v>
      </c>
      <c r="I110" s="70">
        <v>0.33</v>
      </c>
      <c r="J110" t="s">
        <v>1246</v>
      </c>
      <c r="K110" s="70">
        <v>2</v>
      </c>
    </row>
    <row r="111" spans="1:11" x14ac:dyDescent="0.3">
      <c r="A111" s="19" t="s">
        <v>15</v>
      </c>
      <c r="B111" t="s">
        <v>102</v>
      </c>
      <c r="C111" s="70">
        <v>0.75</v>
      </c>
      <c r="D111" t="s">
        <v>195</v>
      </c>
      <c r="E111" s="70">
        <v>0.17</v>
      </c>
      <c r="F111" t="s">
        <v>108</v>
      </c>
      <c r="G111" s="70">
        <v>2.42</v>
      </c>
      <c r="H111" s="18" t="s">
        <v>104</v>
      </c>
      <c r="I111" s="70">
        <v>0.33</v>
      </c>
      <c r="J111" t="s">
        <v>108</v>
      </c>
      <c r="K111" s="70">
        <v>1.25</v>
      </c>
    </row>
    <row r="112" spans="1:11" x14ac:dyDescent="0.3">
      <c r="A112" s="19" t="s">
        <v>15</v>
      </c>
      <c r="B112" t="s">
        <v>104</v>
      </c>
      <c r="C112" s="70">
        <v>2</v>
      </c>
      <c r="D112" t="s">
        <v>725</v>
      </c>
      <c r="E112" s="70">
        <v>0.92</v>
      </c>
      <c r="F112" t="s">
        <v>195</v>
      </c>
      <c r="G112" s="70">
        <v>3.25</v>
      </c>
      <c r="H112" s="18" t="s">
        <v>108</v>
      </c>
      <c r="I112" s="70">
        <v>4.33</v>
      </c>
      <c r="J112" t="s">
        <v>195</v>
      </c>
      <c r="K112" s="70">
        <v>0.08</v>
      </c>
    </row>
    <row r="113" spans="1:11" x14ac:dyDescent="0.3">
      <c r="A113" s="19" t="s">
        <v>15</v>
      </c>
      <c r="B113" t="s">
        <v>108</v>
      </c>
      <c r="C113" s="70">
        <v>0.75</v>
      </c>
      <c r="H113" s="18" t="s">
        <v>195</v>
      </c>
      <c r="I113" s="70">
        <v>0.5</v>
      </c>
      <c r="J113" t="s">
        <v>1865</v>
      </c>
      <c r="K113" s="70">
        <v>0.17</v>
      </c>
    </row>
    <row r="114" spans="1:11" x14ac:dyDescent="0.3">
      <c r="A114" s="19" t="s">
        <v>15</v>
      </c>
      <c r="B114" t="s">
        <v>195</v>
      </c>
      <c r="C114" s="70">
        <v>0.67</v>
      </c>
      <c r="J114" t="s">
        <v>105</v>
      </c>
      <c r="K114" s="70">
        <v>2.25</v>
      </c>
    </row>
    <row r="115" spans="1:11" x14ac:dyDescent="0.3">
      <c r="A115" s="19" t="s">
        <v>15</v>
      </c>
      <c r="B115" t="s">
        <v>953</v>
      </c>
      <c r="C115" s="70">
        <v>0.08</v>
      </c>
    </row>
    <row r="116" spans="1:11" x14ac:dyDescent="0.3">
      <c r="A116" s="19" t="s">
        <v>15</v>
      </c>
      <c r="B116" t="s">
        <v>214</v>
      </c>
      <c r="C116" s="70">
        <v>0.08</v>
      </c>
    </row>
    <row r="119" spans="1:11" x14ac:dyDescent="0.3">
      <c r="A119" s="19" t="s">
        <v>16</v>
      </c>
      <c r="B119" t="s">
        <v>54</v>
      </c>
      <c r="C119" s="70">
        <v>2</v>
      </c>
      <c r="D119" t="s">
        <v>54</v>
      </c>
      <c r="E119" s="70">
        <v>0.5</v>
      </c>
      <c r="F119" t="s">
        <v>54</v>
      </c>
      <c r="G119" s="70">
        <v>0.5</v>
      </c>
      <c r="H119" s="18" t="s">
        <v>54</v>
      </c>
      <c r="I119" s="70">
        <v>0.5</v>
      </c>
      <c r="J119" t="s">
        <v>54</v>
      </c>
      <c r="K119" s="70">
        <v>4</v>
      </c>
    </row>
    <row r="120" spans="1:11" x14ac:dyDescent="0.3">
      <c r="A120" s="19" t="s">
        <v>16</v>
      </c>
      <c r="B120" t="s">
        <v>106</v>
      </c>
      <c r="C120" s="70">
        <v>4.25</v>
      </c>
      <c r="D120" t="s">
        <v>106</v>
      </c>
      <c r="E120" s="70">
        <v>0.17</v>
      </c>
      <c r="F120" t="s">
        <v>229</v>
      </c>
      <c r="G120" s="70">
        <v>0.67</v>
      </c>
      <c r="H120" s="18" t="s">
        <v>229</v>
      </c>
      <c r="I120" s="70">
        <v>0.08</v>
      </c>
      <c r="J120" t="s">
        <v>108</v>
      </c>
      <c r="K120" s="70">
        <v>0.25</v>
      </c>
    </row>
    <row r="121" spans="1:11" x14ac:dyDescent="0.3">
      <c r="A121" s="19" t="s">
        <v>16</v>
      </c>
      <c r="B121" t="s">
        <v>108</v>
      </c>
      <c r="C121" s="70">
        <v>0.17</v>
      </c>
      <c r="D121" t="s">
        <v>229</v>
      </c>
      <c r="E121" s="70">
        <v>0.42</v>
      </c>
      <c r="F121" t="s">
        <v>108</v>
      </c>
      <c r="G121" s="70">
        <v>4.25</v>
      </c>
      <c r="H121" s="18" t="s">
        <v>102</v>
      </c>
      <c r="I121" s="70">
        <v>1.51</v>
      </c>
      <c r="J121" t="s">
        <v>195</v>
      </c>
      <c r="K121" s="70">
        <v>0.25</v>
      </c>
    </row>
    <row r="122" spans="1:11" x14ac:dyDescent="0.3">
      <c r="A122" s="19" t="s">
        <v>16</v>
      </c>
      <c r="B122" t="s">
        <v>725</v>
      </c>
      <c r="C122" s="70">
        <v>1.5899999999999999</v>
      </c>
      <c r="D122" t="s">
        <v>108</v>
      </c>
      <c r="E122" s="70">
        <v>1.92</v>
      </c>
      <c r="F122" t="s">
        <v>195</v>
      </c>
      <c r="G122" s="70">
        <v>1.24</v>
      </c>
      <c r="H122" s="18" t="s">
        <v>108</v>
      </c>
      <c r="I122" s="70">
        <v>3.58</v>
      </c>
      <c r="J122" t="s">
        <v>953</v>
      </c>
      <c r="K122" s="70">
        <v>1</v>
      </c>
    </row>
    <row r="123" spans="1:11" x14ac:dyDescent="0.3">
      <c r="A123" s="19" t="s">
        <v>16</v>
      </c>
      <c r="D123" t="s">
        <v>195</v>
      </c>
      <c r="E123" s="70">
        <v>0.41000000000000003</v>
      </c>
      <c r="F123" t="s">
        <v>725</v>
      </c>
      <c r="G123" s="70">
        <v>0.25</v>
      </c>
      <c r="H123" s="18" t="s">
        <v>195</v>
      </c>
      <c r="I123" s="70">
        <v>2.33</v>
      </c>
      <c r="J123" t="s">
        <v>214</v>
      </c>
      <c r="K123" s="70">
        <v>1.3399999999999999</v>
      </c>
    </row>
    <row r="124" spans="1:11" x14ac:dyDescent="0.3">
      <c r="A124" s="19" t="s">
        <v>16</v>
      </c>
      <c r="D124" t="s">
        <v>725</v>
      </c>
      <c r="E124" s="70">
        <v>1.08</v>
      </c>
      <c r="F124" t="s">
        <v>1865</v>
      </c>
      <c r="G124" s="70">
        <v>1.08</v>
      </c>
      <c r="J124" t="s">
        <v>105</v>
      </c>
      <c r="K124" s="70">
        <v>1.17</v>
      </c>
    </row>
    <row r="125" spans="1:11" x14ac:dyDescent="0.3">
      <c r="A125" s="19" t="s">
        <v>16</v>
      </c>
      <c r="D125" t="s">
        <v>1865</v>
      </c>
      <c r="E125" s="70">
        <v>2.75</v>
      </c>
    </row>
    <row r="126" spans="1:11" x14ac:dyDescent="0.3">
      <c r="A126" s="19" t="s">
        <v>16</v>
      </c>
      <c r="D126" t="s">
        <v>214</v>
      </c>
      <c r="E126" s="70">
        <v>0.75</v>
      </c>
    </row>
    <row r="129" spans="1:13" x14ac:dyDescent="0.3">
      <c r="A129" s="19" t="s">
        <v>18</v>
      </c>
      <c r="B129" t="s">
        <v>54</v>
      </c>
      <c r="C129" s="70">
        <v>8</v>
      </c>
      <c r="D129" t="s">
        <v>54</v>
      </c>
      <c r="E129" s="70">
        <v>8</v>
      </c>
      <c r="F129" t="s">
        <v>229</v>
      </c>
      <c r="G129" s="70">
        <v>1.25</v>
      </c>
      <c r="H129" s="18" t="s">
        <v>54</v>
      </c>
      <c r="I129" s="70">
        <v>2.5</v>
      </c>
      <c r="J129" t="s">
        <v>54</v>
      </c>
      <c r="K129" s="70">
        <v>8</v>
      </c>
    </row>
    <row r="130" spans="1:13" x14ac:dyDescent="0.3">
      <c r="A130" s="19" t="s">
        <v>18</v>
      </c>
      <c r="F130" t="s">
        <v>1246</v>
      </c>
      <c r="G130" s="70">
        <v>0.83</v>
      </c>
      <c r="H130" s="18" t="s">
        <v>295</v>
      </c>
      <c r="I130" s="70">
        <v>1.42</v>
      </c>
    </row>
    <row r="131" spans="1:13" x14ac:dyDescent="0.3">
      <c r="A131" s="19" t="s">
        <v>18</v>
      </c>
      <c r="F131" t="s">
        <v>102</v>
      </c>
      <c r="G131" s="70">
        <v>0.67</v>
      </c>
      <c r="H131" s="18" t="s">
        <v>108</v>
      </c>
      <c r="I131" s="70">
        <v>2.42</v>
      </c>
    </row>
    <row r="132" spans="1:13" x14ac:dyDescent="0.3">
      <c r="A132" s="19" t="s">
        <v>18</v>
      </c>
      <c r="F132" t="s">
        <v>104</v>
      </c>
      <c r="G132" s="70">
        <v>0.83</v>
      </c>
      <c r="H132" s="18" t="s">
        <v>195</v>
      </c>
      <c r="I132" s="70">
        <v>0.08</v>
      </c>
    </row>
    <row r="133" spans="1:13" x14ac:dyDescent="0.3">
      <c r="A133" s="19" t="s">
        <v>18</v>
      </c>
      <c r="F133" t="s">
        <v>230</v>
      </c>
      <c r="G133" s="70">
        <v>0.25</v>
      </c>
      <c r="H133" s="18" t="s">
        <v>105</v>
      </c>
      <c r="I133" s="70">
        <v>1.58</v>
      </c>
    </row>
    <row r="134" spans="1:13" x14ac:dyDescent="0.3">
      <c r="A134" s="19" t="s">
        <v>18</v>
      </c>
      <c r="F134" t="s">
        <v>108</v>
      </c>
      <c r="G134" s="70">
        <v>3.25</v>
      </c>
    </row>
    <row r="135" spans="1:13" x14ac:dyDescent="0.3">
      <c r="A135" s="19" t="s">
        <v>18</v>
      </c>
      <c r="F135" t="s">
        <v>725</v>
      </c>
      <c r="G135" s="70">
        <v>0.92</v>
      </c>
    </row>
    <row r="138" spans="1:13" x14ac:dyDescent="0.3">
      <c r="L138" s="1"/>
      <c r="M138" s="1"/>
    </row>
    <row r="139" spans="1:13" x14ac:dyDescent="0.3">
      <c r="B139" s="1"/>
      <c r="D139" s="1"/>
      <c r="F139" s="1"/>
      <c r="H139" s="17"/>
      <c r="J139" s="1"/>
    </row>
    <row r="188" spans="2:13" x14ac:dyDescent="0.3">
      <c r="L188" s="1"/>
      <c r="M188" s="1"/>
    </row>
    <row r="189" spans="2:13" x14ac:dyDescent="0.3">
      <c r="B189" s="1"/>
      <c r="D189" s="1"/>
      <c r="F189" s="1"/>
      <c r="H189" s="17"/>
      <c r="J189" s="1"/>
    </row>
    <row r="238" spans="2:13" x14ac:dyDescent="0.3">
      <c r="L238" s="1"/>
      <c r="M238" s="1"/>
    </row>
    <row r="239" spans="2:13" x14ac:dyDescent="0.3">
      <c r="B239" s="1"/>
      <c r="D239" s="1"/>
      <c r="F239" s="1"/>
      <c r="H239" s="17"/>
      <c r="J239" s="1"/>
    </row>
    <row r="288" spans="12:13" x14ac:dyDescent="0.3">
      <c r="L288" s="1"/>
      <c r="M288" s="1"/>
    </row>
    <row r="289" spans="2:10" x14ac:dyDescent="0.3">
      <c r="B289" s="1"/>
      <c r="D289" s="1"/>
      <c r="F289" s="1"/>
      <c r="H289" s="17"/>
      <c r="J289" s="1"/>
    </row>
    <row r="338" spans="2:13" x14ac:dyDescent="0.3">
      <c r="L338" s="1"/>
      <c r="M338" s="1"/>
    </row>
    <row r="339" spans="2:13" x14ac:dyDescent="0.3">
      <c r="B339" s="1"/>
      <c r="D339" s="1"/>
      <c r="F339" s="1"/>
      <c r="H339" s="17"/>
      <c r="J339" s="1"/>
    </row>
    <row r="388" spans="2:13" x14ac:dyDescent="0.3">
      <c r="L388" s="1"/>
      <c r="M388" s="1"/>
    </row>
    <row r="389" spans="2:13" x14ac:dyDescent="0.3">
      <c r="B389" s="1"/>
      <c r="D389" s="1"/>
      <c r="F389" s="1"/>
      <c r="H389" s="17"/>
      <c r="J389" s="1"/>
    </row>
    <row r="438" spans="2:13" x14ac:dyDescent="0.3">
      <c r="L438" s="1"/>
      <c r="M438" s="1"/>
    </row>
    <row r="439" spans="2:13" x14ac:dyDescent="0.3">
      <c r="B439" s="1"/>
      <c r="D439" s="1"/>
      <c r="F439" s="1"/>
      <c r="H439" s="17"/>
      <c r="J439" s="1"/>
    </row>
  </sheetData>
  <phoneticPr fontId="9"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14AED22-5880-43E3-954F-CB988AFF9CBD}">
          <x14:formula1>
            <xm:f>'Client Name'!$A:$A</xm:f>
          </x14:formula1>
          <xm:sqref>B4:B64 D4:D64 J4:J64 F4:F64 H4:H64 B67:B85 D67:D85 J67:J85 F67:F85 H67:H85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15DEE-D003-4969-9999-0DC9E3BB2A11}">
  <sheetPr codeName="Sheet27"/>
  <dimension ref="A1:AF83"/>
  <sheetViews>
    <sheetView zoomScale="55" zoomScaleNormal="55" workbookViewId="0">
      <selection activeCell="L1" sqref="L1"/>
    </sheetView>
  </sheetViews>
  <sheetFormatPr defaultRowHeight="14.4" x14ac:dyDescent="0.3"/>
  <cols>
    <col min="1" max="1" width="9.109375" style="19"/>
    <col min="2" max="2" width="26.88671875" bestFit="1" customWidth="1"/>
    <col min="3" max="3" width="6.33203125" bestFit="1"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289</v>
      </c>
      <c r="C1" s="14"/>
      <c r="D1" s="14"/>
      <c r="E1" s="14"/>
      <c r="F1" s="14"/>
      <c r="G1" s="14"/>
      <c r="H1" s="4"/>
      <c r="I1" s="14"/>
      <c r="J1" s="14"/>
      <c r="K1" s="14"/>
      <c r="L1" s="1" t="s">
        <v>3144</v>
      </c>
      <c r="M1">
        <v>106</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291</v>
      </c>
      <c r="P2">
        <v>12</v>
      </c>
      <c r="R2">
        <v>3</v>
      </c>
      <c r="S2">
        <v>3</v>
      </c>
      <c r="T2">
        <v>3</v>
      </c>
      <c r="U2">
        <v>3</v>
      </c>
      <c r="Y2" t="s">
        <v>291</v>
      </c>
      <c r="Z2">
        <v>14.25</v>
      </c>
      <c r="AB2">
        <v>1</v>
      </c>
      <c r="AC2">
        <v>5</v>
      </c>
      <c r="AD2">
        <v>4</v>
      </c>
      <c r="AE2">
        <v>2.75</v>
      </c>
      <c r="AF2">
        <v>1.5</v>
      </c>
    </row>
    <row r="3" spans="1:32" x14ac:dyDescent="0.3">
      <c r="A3" s="2"/>
      <c r="B3" s="2" t="s">
        <v>378</v>
      </c>
      <c r="C3" s="2"/>
      <c r="D3" s="2" t="s">
        <v>576</v>
      </c>
      <c r="E3" s="2"/>
      <c r="F3" s="2" t="s">
        <v>747</v>
      </c>
      <c r="G3" s="2"/>
      <c r="H3" s="4" t="s">
        <v>897</v>
      </c>
      <c r="I3" s="2"/>
      <c r="J3" s="14" t="s">
        <v>33</v>
      </c>
      <c r="O3" t="s">
        <v>848</v>
      </c>
      <c r="P3">
        <v>2</v>
      </c>
      <c r="R3">
        <v>0.5</v>
      </c>
      <c r="S3">
        <v>0.5</v>
      </c>
      <c r="T3">
        <v>0.5</v>
      </c>
      <c r="U3">
        <v>0.5</v>
      </c>
      <c r="Y3" t="s">
        <v>848</v>
      </c>
      <c r="Z3">
        <v>3.5</v>
      </c>
      <c r="AB3">
        <v>0</v>
      </c>
      <c r="AC3">
        <v>0.5</v>
      </c>
      <c r="AD3">
        <v>2.5</v>
      </c>
      <c r="AE3">
        <v>0</v>
      </c>
      <c r="AF3">
        <v>0.5</v>
      </c>
    </row>
    <row r="4" spans="1:32" x14ac:dyDescent="0.3">
      <c r="A4" s="2" t="s">
        <v>13</v>
      </c>
      <c r="B4" s="5" t="s">
        <v>226</v>
      </c>
      <c r="C4" s="3">
        <v>0.5</v>
      </c>
      <c r="D4" s="5" t="s">
        <v>226</v>
      </c>
      <c r="E4" s="3">
        <v>0.5</v>
      </c>
      <c r="F4" s="5" t="s">
        <v>226</v>
      </c>
      <c r="G4" s="3">
        <v>0.5</v>
      </c>
      <c r="H4" s="5" t="s">
        <v>226</v>
      </c>
      <c r="I4" s="3">
        <v>0.5</v>
      </c>
      <c r="J4" s="5" t="s">
        <v>226</v>
      </c>
      <c r="K4" s="3">
        <v>0.5</v>
      </c>
      <c r="O4" t="s">
        <v>524</v>
      </c>
      <c r="P4">
        <v>4</v>
      </c>
      <c r="R4">
        <v>1</v>
      </c>
      <c r="S4">
        <v>1</v>
      </c>
      <c r="T4">
        <v>1</v>
      </c>
      <c r="U4">
        <v>1</v>
      </c>
      <c r="Y4" t="s">
        <v>524</v>
      </c>
      <c r="Z4">
        <v>4.75</v>
      </c>
      <c r="AB4">
        <v>0</v>
      </c>
      <c r="AC4">
        <v>0.5</v>
      </c>
      <c r="AD4">
        <v>1.25</v>
      </c>
      <c r="AE4">
        <v>2</v>
      </c>
      <c r="AF4">
        <v>1</v>
      </c>
    </row>
    <row r="5" spans="1:32" x14ac:dyDescent="0.3">
      <c r="A5" s="2" t="s">
        <v>13</v>
      </c>
      <c r="B5" s="5" t="s">
        <v>290</v>
      </c>
      <c r="C5" s="3">
        <v>0.6</v>
      </c>
      <c r="D5" s="5" t="s">
        <v>290</v>
      </c>
      <c r="E5" s="3">
        <v>0.6</v>
      </c>
      <c r="F5" s="5" t="s">
        <v>290</v>
      </c>
      <c r="G5" s="3">
        <v>0.6</v>
      </c>
      <c r="H5" s="5" t="s">
        <v>290</v>
      </c>
      <c r="I5" s="3">
        <v>0.6</v>
      </c>
      <c r="J5" s="5" t="s">
        <v>290</v>
      </c>
      <c r="K5" s="3">
        <v>0.6</v>
      </c>
      <c r="O5" t="s">
        <v>151</v>
      </c>
      <c r="P5">
        <v>12</v>
      </c>
      <c r="R5">
        <v>3</v>
      </c>
      <c r="S5">
        <v>3</v>
      </c>
      <c r="T5">
        <v>3</v>
      </c>
      <c r="U5">
        <v>3</v>
      </c>
      <c r="Y5" t="s">
        <v>151</v>
      </c>
      <c r="Z5">
        <v>3.5</v>
      </c>
      <c r="AB5">
        <v>0</v>
      </c>
      <c r="AC5">
        <v>0</v>
      </c>
      <c r="AD5">
        <v>0</v>
      </c>
      <c r="AE5">
        <v>1</v>
      </c>
      <c r="AF5">
        <v>2.5</v>
      </c>
    </row>
    <row r="6" spans="1:32" x14ac:dyDescent="0.3">
      <c r="A6" s="2" t="s">
        <v>13</v>
      </c>
      <c r="B6" s="5" t="s">
        <v>291</v>
      </c>
      <c r="C6" s="3">
        <v>0.6</v>
      </c>
      <c r="D6" s="5" t="s">
        <v>291</v>
      </c>
      <c r="E6" s="3">
        <v>0.6</v>
      </c>
      <c r="F6" s="5" t="s">
        <v>291</v>
      </c>
      <c r="G6" s="3">
        <v>0.6</v>
      </c>
      <c r="H6" s="5" t="s">
        <v>291</v>
      </c>
      <c r="I6" s="3">
        <v>0.6</v>
      </c>
      <c r="J6" s="5" t="s">
        <v>291</v>
      </c>
      <c r="K6" s="3">
        <v>0.6</v>
      </c>
      <c r="O6" t="s">
        <v>226</v>
      </c>
      <c r="P6">
        <v>10</v>
      </c>
      <c r="R6">
        <v>2.5</v>
      </c>
      <c r="S6">
        <v>2.5</v>
      </c>
      <c r="T6">
        <v>2.5</v>
      </c>
      <c r="U6">
        <v>2.5</v>
      </c>
      <c r="Y6" t="s">
        <v>226</v>
      </c>
      <c r="Z6">
        <v>13.75</v>
      </c>
      <c r="AB6">
        <v>2</v>
      </c>
      <c r="AC6">
        <v>4.25</v>
      </c>
      <c r="AD6">
        <v>3.75</v>
      </c>
      <c r="AE6">
        <v>1.5</v>
      </c>
      <c r="AF6">
        <v>2.25</v>
      </c>
    </row>
    <row r="7" spans="1:32" x14ac:dyDescent="0.3">
      <c r="A7" s="2" t="s">
        <v>13</v>
      </c>
      <c r="B7" s="5" t="s">
        <v>151</v>
      </c>
      <c r="C7" s="3">
        <v>0.6</v>
      </c>
      <c r="D7" s="5" t="s">
        <v>151</v>
      </c>
      <c r="E7" s="3">
        <v>0.6</v>
      </c>
      <c r="F7" s="5" t="s">
        <v>151</v>
      </c>
      <c r="G7" s="3">
        <v>0.6</v>
      </c>
      <c r="H7" s="5" t="s">
        <v>151</v>
      </c>
      <c r="I7" s="3">
        <v>0.6</v>
      </c>
      <c r="J7" s="5" t="s">
        <v>151</v>
      </c>
      <c r="K7" s="3">
        <v>0.6</v>
      </c>
      <c r="O7" t="s">
        <v>54</v>
      </c>
      <c r="P7">
        <v>2</v>
      </c>
      <c r="R7">
        <v>0.5</v>
      </c>
      <c r="S7">
        <v>0.5</v>
      </c>
      <c r="T7">
        <v>0.5</v>
      </c>
      <c r="U7">
        <v>0.5</v>
      </c>
      <c r="Y7" t="s">
        <v>54</v>
      </c>
      <c r="Z7">
        <v>25.25</v>
      </c>
      <c r="AB7">
        <v>0</v>
      </c>
      <c r="AC7">
        <v>6.25</v>
      </c>
      <c r="AD7">
        <v>0.75</v>
      </c>
      <c r="AE7">
        <v>7.25</v>
      </c>
      <c r="AF7">
        <v>11</v>
      </c>
    </row>
    <row r="8" spans="1:32" x14ac:dyDescent="0.3">
      <c r="A8" s="2" t="s">
        <v>13</v>
      </c>
      <c r="B8" s="5" t="s">
        <v>49</v>
      </c>
      <c r="C8" s="3">
        <v>2.5</v>
      </c>
      <c r="D8" s="5" t="s">
        <v>49</v>
      </c>
      <c r="E8" s="3">
        <v>2.5</v>
      </c>
      <c r="F8" s="5" t="s">
        <v>49</v>
      </c>
      <c r="G8" s="3">
        <v>2.5</v>
      </c>
      <c r="H8" s="5" t="s">
        <v>49</v>
      </c>
      <c r="I8" s="3">
        <v>2.5</v>
      </c>
      <c r="J8" s="5" t="s">
        <v>49</v>
      </c>
      <c r="K8" s="3">
        <v>2.5</v>
      </c>
      <c r="O8" t="s">
        <v>49</v>
      </c>
      <c r="P8">
        <v>50</v>
      </c>
      <c r="R8">
        <v>12.5</v>
      </c>
      <c r="S8">
        <v>12.5</v>
      </c>
      <c r="T8">
        <v>12.5</v>
      </c>
      <c r="U8">
        <v>12.5</v>
      </c>
      <c r="Y8" t="s">
        <v>49</v>
      </c>
      <c r="Z8">
        <v>35.25</v>
      </c>
      <c r="AB8">
        <v>1.5</v>
      </c>
      <c r="AC8">
        <v>5.75</v>
      </c>
      <c r="AD8">
        <v>12</v>
      </c>
      <c r="AE8">
        <v>10</v>
      </c>
      <c r="AF8">
        <v>6</v>
      </c>
    </row>
    <row r="9" spans="1:32" x14ac:dyDescent="0.3">
      <c r="A9" s="2" t="s">
        <v>13</v>
      </c>
      <c r="B9" s="5" t="s">
        <v>524</v>
      </c>
      <c r="C9" s="3">
        <v>0.2</v>
      </c>
      <c r="D9" s="5" t="s">
        <v>524</v>
      </c>
      <c r="E9" s="3">
        <v>0.2</v>
      </c>
      <c r="F9" s="5" t="s">
        <v>524</v>
      </c>
      <c r="G9" s="3">
        <v>0.2</v>
      </c>
      <c r="H9" s="5" t="s">
        <v>524</v>
      </c>
      <c r="I9" s="3">
        <v>0.2</v>
      </c>
      <c r="J9" s="5" t="s">
        <v>524</v>
      </c>
      <c r="K9" s="3">
        <v>0.2</v>
      </c>
      <c r="O9" t="s">
        <v>290</v>
      </c>
      <c r="P9">
        <v>12</v>
      </c>
      <c r="R9">
        <v>3</v>
      </c>
      <c r="S9">
        <v>3</v>
      </c>
      <c r="T9">
        <v>3</v>
      </c>
      <c r="U9">
        <v>3</v>
      </c>
      <c r="Y9" t="s">
        <v>290</v>
      </c>
      <c r="Z9">
        <v>8</v>
      </c>
      <c r="AB9">
        <v>0.5</v>
      </c>
      <c r="AC9">
        <v>2</v>
      </c>
      <c r="AD9">
        <v>2</v>
      </c>
      <c r="AE9">
        <v>2</v>
      </c>
      <c r="AF9">
        <v>1.5</v>
      </c>
    </row>
    <row r="10" spans="1:32" x14ac:dyDescent="0.3">
      <c r="A10" s="2" t="s">
        <v>13</v>
      </c>
      <c r="B10" s="5"/>
      <c r="C10" s="3"/>
      <c r="D10" s="15" t="s">
        <v>54</v>
      </c>
      <c r="E10" s="3">
        <v>0.2</v>
      </c>
      <c r="F10" s="3"/>
      <c r="G10" s="3"/>
      <c r="H10" s="5" t="s">
        <v>1021</v>
      </c>
      <c r="I10" s="3">
        <v>0.5</v>
      </c>
      <c r="J10" s="29" t="s">
        <v>848</v>
      </c>
      <c r="K10" s="3">
        <v>0.5</v>
      </c>
      <c r="O10" t="s">
        <v>1021</v>
      </c>
      <c r="P10">
        <v>2</v>
      </c>
      <c r="R10">
        <v>0.5</v>
      </c>
      <c r="S10">
        <v>0.5</v>
      </c>
      <c r="T10">
        <v>0.5</v>
      </c>
      <c r="U10">
        <v>0.5</v>
      </c>
      <c r="Y10" t="s">
        <v>1021</v>
      </c>
      <c r="Z10">
        <v>2.75</v>
      </c>
      <c r="AB10">
        <v>0</v>
      </c>
      <c r="AC10">
        <v>2.25</v>
      </c>
      <c r="AD10">
        <v>0.25</v>
      </c>
      <c r="AE10">
        <v>0</v>
      </c>
      <c r="AF10">
        <v>0.25</v>
      </c>
    </row>
    <row r="11" spans="1:32" x14ac:dyDescent="0.3">
      <c r="A11" s="2" t="s">
        <v>13</v>
      </c>
      <c r="B11" s="5"/>
      <c r="C11" s="3"/>
      <c r="D11" s="15"/>
      <c r="E11" s="3"/>
      <c r="F11" s="3"/>
      <c r="G11" s="3"/>
      <c r="H11" s="5"/>
      <c r="I11" s="3"/>
      <c r="J11" s="15" t="s">
        <v>54</v>
      </c>
      <c r="K11" s="3">
        <v>0.3</v>
      </c>
    </row>
    <row r="12" spans="1:32" x14ac:dyDescent="0.3">
      <c r="A12" s="2"/>
      <c r="B12" s="5"/>
      <c r="C12" s="3"/>
      <c r="D12" s="15"/>
      <c r="E12" s="3"/>
      <c r="F12" s="3"/>
      <c r="G12" s="3"/>
      <c r="H12" s="5"/>
      <c r="I12" s="3"/>
      <c r="J12" s="29"/>
    </row>
    <row r="13" spans="1:32" x14ac:dyDescent="0.3">
      <c r="A13" s="2"/>
      <c r="B13" s="3"/>
      <c r="C13" s="3"/>
      <c r="D13" s="3"/>
      <c r="E13" s="3"/>
      <c r="F13" s="3"/>
      <c r="G13" s="3"/>
      <c r="H13" s="15"/>
      <c r="I13" s="3"/>
      <c r="J13" s="29"/>
    </row>
    <row r="14" spans="1:32" x14ac:dyDescent="0.3">
      <c r="A14" s="2" t="s">
        <v>14</v>
      </c>
      <c r="B14" s="5" t="s">
        <v>226</v>
      </c>
      <c r="C14" s="3">
        <v>0.5</v>
      </c>
      <c r="D14" s="5" t="s">
        <v>226</v>
      </c>
      <c r="E14" s="3">
        <v>0.5</v>
      </c>
      <c r="F14" s="5" t="s">
        <v>226</v>
      </c>
      <c r="G14" s="3">
        <v>0.5</v>
      </c>
      <c r="H14" s="5" t="s">
        <v>226</v>
      </c>
      <c r="I14" s="3">
        <v>0.5</v>
      </c>
      <c r="J14" s="5" t="s">
        <v>226</v>
      </c>
      <c r="K14" s="3">
        <v>0.5</v>
      </c>
    </row>
    <row r="15" spans="1:32" x14ac:dyDescent="0.3">
      <c r="A15" s="2" t="s">
        <v>14</v>
      </c>
      <c r="B15" s="5" t="s">
        <v>290</v>
      </c>
      <c r="C15" s="3">
        <v>0.6</v>
      </c>
      <c r="D15" s="5" t="s">
        <v>290</v>
      </c>
      <c r="E15" s="3">
        <v>0.6</v>
      </c>
      <c r="F15" s="5" t="s">
        <v>290</v>
      </c>
      <c r="G15" s="3">
        <v>0.6</v>
      </c>
      <c r="H15" s="5" t="s">
        <v>290</v>
      </c>
      <c r="I15" s="3">
        <v>0.6</v>
      </c>
      <c r="J15" s="5" t="s">
        <v>290</v>
      </c>
      <c r="K15" s="3">
        <v>0.6</v>
      </c>
    </row>
    <row r="16" spans="1:32" x14ac:dyDescent="0.3">
      <c r="A16" s="2" t="s">
        <v>14</v>
      </c>
      <c r="B16" s="5" t="s">
        <v>291</v>
      </c>
      <c r="C16" s="3">
        <v>0.6</v>
      </c>
      <c r="D16" s="5" t="s">
        <v>291</v>
      </c>
      <c r="E16" s="3">
        <v>0.6</v>
      </c>
      <c r="F16" s="5" t="s">
        <v>291</v>
      </c>
      <c r="G16" s="3">
        <v>0.6</v>
      </c>
      <c r="H16" s="5" t="s">
        <v>291</v>
      </c>
      <c r="I16" s="3">
        <v>0.6</v>
      </c>
      <c r="J16" s="5" t="s">
        <v>291</v>
      </c>
      <c r="K16" s="3">
        <v>0.6</v>
      </c>
    </row>
    <row r="17" spans="1:32" x14ac:dyDescent="0.3">
      <c r="A17" s="2" t="s">
        <v>14</v>
      </c>
      <c r="B17" s="5" t="s">
        <v>151</v>
      </c>
      <c r="C17" s="3">
        <v>0.6</v>
      </c>
      <c r="D17" s="5" t="s">
        <v>151</v>
      </c>
      <c r="E17" s="3">
        <v>0.6</v>
      </c>
      <c r="F17" s="5" t="s">
        <v>151</v>
      </c>
      <c r="G17" s="3">
        <v>0.6</v>
      </c>
      <c r="H17" s="5" t="s">
        <v>151</v>
      </c>
      <c r="I17" s="3">
        <v>0.6</v>
      </c>
      <c r="J17" s="5" t="s">
        <v>151</v>
      </c>
      <c r="K17" s="3">
        <v>0.6</v>
      </c>
    </row>
    <row r="18" spans="1:32" x14ac:dyDescent="0.3">
      <c r="A18" s="2" t="s">
        <v>14</v>
      </c>
      <c r="B18" s="5" t="s">
        <v>49</v>
      </c>
      <c r="C18" s="3">
        <v>2.5</v>
      </c>
      <c r="D18" s="5" t="s">
        <v>49</v>
      </c>
      <c r="E18" s="3">
        <v>2.5</v>
      </c>
      <c r="F18" s="5" t="s">
        <v>49</v>
      </c>
      <c r="G18" s="3">
        <v>2.5</v>
      </c>
      <c r="H18" s="5" t="s">
        <v>49</v>
      </c>
      <c r="I18" s="3">
        <v>2.5</v>
      </c>
      <c r="J18" s="5" t="s">
        <v>49</v>
      </c>
      <c r="K18" s="3">
        <v>2.5</v>
      </c>
    </row>
    <row r="19" spans="1:32" x14ac:dyDescent="0.3">
      <c r="A19" s="2" t="s">
        <v>14</v>
      </c>
      <c r="B19" s="5" t="s">
        <v>524</v>
      </c>
      <c r="C19" s="3">
        <v>0.2</v>
      </c>
      <c r="D19" s="5" t="s">
        <v>524</v>
      </c>
      <c r="E19" s="3">
        <v>0.2</v>
      </c>
      <c r="F19" s="5" t="s">
        <v>524</v>
      </c>
      <c r="G19" s="3">
        <v>0.2</v>
      </c>
      <c r="H19" s="5" t="s">
        <v>524</v>
      </c>
      <c r="I19" s="3">
        <v>0.2</v>
      </c>
      <c r="J19" s="5" t="s">
        <v>524</v>
      </c>
      <c r="K19" s="3">
        <v>0.2</v>
      </c>
    </row>
    <row r="20" spans="1:32" x14ac:dyDescent="0.3">
      <c r="A20" s="2" t="s">
        <v>14</v>
      </c>
      <c r="B20" s="5" t="s">
        <v>848</v>
      </c>
      <c r="C20" s="3">
        <v>0.5</v>
      </c>
      <c r="D20" s="15" t="s">
        <v>1021</v>
      </c>
      <c r="E20" s="3">
        <v>0.5</v>
      </c>
      <c r="F20" s="3"/>
      <c r="G20" s="3"/>
      <c r="H20" s="29" t="s">
        <v>54</v>
      </c>
      <c r="I20" s="3">
        <v>0.2</v>
      </c>
      <c r="J20" s="29" t="s">
        <v>54</v>
      </c>
      <c r="K20" s="3">
        <v>0.3</v>
      </c>
      <c r="O20" t="s">
        <v>3143</v>
      </c>
      <c r="P20">
        <f>SUM(P2:P19)</f>
        <v>106</v>
      </c>
      <c r="R20">
        <f>SUM(R2:R19)</f>
        <v>26.5</v>
      </c>
      <c r="S20">
        <f>SUM(S2:S19)</f>
        <v>26.5</v>
      </c>
      <c r="T20">
        <f>SUM(T2:T19)</f>
        <v>26.5</v>
      </c>
      <c r="U20">
        <f>SUM(U2:U19)</f>
        <v>26.5</v>
      </c>
      <c r="Y20" t="s">
        <v>3143</v>
      </c>
      <c r="Z20">
        <f>SUM(Z2:Z19)</f>
        <v>111</v>
      </c>
      <c r="AB20">
        <f>SUM(AB2:AB19)</f>
        <v>5</v>
      </c>
      <c r="AC20">
        <f>SUM(AC2:AC19)</f>
        <v>26.5</v>
      </c>
      <c r="AD20">
        <f>SUM(AD2:AD19)</f>
        <v>26.5</v>
      </c>
      <c r="AE20">
        <f>SUM(AE2:AE19)</f>
        <v>26.5</v>
      </c>
      <c r="AF20">
        <f>SUM(AF2:AF19)</f>
        <v>26.5</v>
      </c>
    </row>
    <row r="21" spans="1:32" x14ac:dyDescent="0.3">
      <c r="A21" s="2"/>
      <c r="B21" s="5"/>
      <c r="C21" s="3"/>
      <c r="D21" s="15"/>
      <c r="E21" s="3"/>
      <c r="F21" s="3"/>
      <c r="G21" s="3"/>
      <c r="H21" s="5"/>
      <c r="I21" s="3"/>
      <c r="J21" s="29"/>
    </row>
    <row r="22" spans="1:32" x14ac:dyDescent="0.3">
      <c r="A22" s="2"/>
      <c r="B22" s="5"/>
      <c r="C22" s="3"/>
      <c r="D22" s="15"/>
      <c r="E22" s="3"/>
      <c r="F22" s="3"/>
      <c r="G22" s="3"/>
      <c r="H22" s="5"/>
      <c r="I22" s="3"/>
      <c r="J22" s="29"/>
    </row>
    <row r="23" spans="1:32" x14ac:dyDescent="0.3">
      <c r="A23" s="2" t="s">
        <v>15</v>
      </c>
      <c r="B23" s="5" t="s">
        <v>226</v>
      </c>
      <c r="C23" s="3">
        <v>0.5</v>
      </c>
      <c r="D23" s="5" t="s">
        <v>226</v>
      </c>
      <c r="E23" s="3">
        <v>0.5</v>
      </c>
      <c r="F23" s="5" t="s">
        <v>226</v>
      </c>
      <c r="G23" s="3">
        <v>0.5</v>
      </c>
      <c r="H23" s="5" t="s">
        <v>226</v>
      </c>
      <c r="I23" s="3">
        <v>0.5</v>
      </c>
      <c r="J23" s="5" t="s">
        <v>226</v>
      </c>
      <c r="K23" s="3">
        <v>0.5</v>
      </c>
    </row>
    <row r="24" spans="1:32" x14ac:dyDescent="0.3">
      <c r="A24" s="2" t="s">
        <v>15</v>
      </c>
      <c r="B24" s="5" t="s">
        <v>290</v>
      </c>
      <c r="C24" s="3">
        <v>0.6</v>
      </c>
      <c r="D24" s="5" t="s">
        <v>290</v>
      </c>
      <c r="E24" s="3">
        <v>0.6</v>
      </c>
      <c r="F24" s="5" t="s">
        <v>290</v>
      </c>
      <c r="G24" s="3">
        <v>0.6</v>
      </c>
      <c r="H24" s="5" t="s">
        <v>290</v>
      </c>
      <c r="I24" s="3">
        <v>0.6</v>
      </c>
      <c r="J24" s="5" t="s">
        <v>290</v>
      </c>
      <c r="K24" s="3">
        <v>0.6</v>
      </c>
    </row>
    <row r="25" spans="1:32" x14ac:dyDescent="0.3">
      <c r="A25" s="2" t="s">
        <v>15</v>
      </c>
      <c r="B25" s="5" t="s">
        <v>291</v>
      </c>
      <c r="C25" s="3">
        <v>0.6</v>
      </c>
      <c r="D25" s="5" t="s">
        <v>291</v>
      </c>
      <c r="E25" s="3">
        <v>0.6</v>
      </c>
      <c r="F25" s="5" t="s">
        <v>291</v>
      </c>
      <c r="G25" s="3">
        <v>0.6</v>
      </c>
      <c r="H25" s="5" t="s">
        <v>291</v>
      </c>
      <c r="I25" s="3">
        <v>0.6</v>
      </c>
      <c r="J25" s="5" t="s">
        <v>291</v>
      </c>
      <c r="K25" s="3">
        <v>0.6</v>
      </c>
    </row>
    <row r="26" spans="1:32" x14ac:dyDescent="0.3">
      <c r="A26" s="2" t="s">
        <v>15</v>
      </c>
      <c r="B26" s="5" t="s">
        <v>151</v>
      </c>
      <c r="C26" s="3">
        <v>0.6</v>
      </c>
      <c r="D26" s="5" t="s">
        <v>151</v>
      </c>
      <c r="E26" s="3">
        <v>0.6</v>
      </c>
      <c r="F26" s="5" t="s">
        <v>151</v>
      </c>
      <c r="G26" s="3">
        <v>0.6</v>
      </c>
      <c r="H26" s="5" t="s">
        <v>151</v>
      </c>
      <c r="I26" s="3">
        <v>0.6</v>
      </c>
      <c r="J26" s="5" t="s">
        <v>151</v>
      </c>
      <c r="K26" s="3">
        <v>0.6</v>
      </c>
    </row>
    <row r="27" spans="1:32" x14ac:dyDescent="0.3">
      <c r="A27" s="2" t="s">
        <v>15</v>
      </c>
      <c r="B27" s="5" t="s">
        <v>49</v>
      </c>
      <c r="C27" s="3">
        <v>2.5</v>
      </c>
      <c r="D27" s="5" t="s">
        <v>49</v>
      </c>
      <c r="E27" s="3">
        <v>2.5</v>
      </c>
      <c r="F27" s="5" t="s">
        <v>49</v>
      </c>
      <c r="G27" s="3">
        <v>2.5</v>
      </c>
      <c r="H27" s="5" t="s">
        <v>49</v>
      </c>
      <c r="I27" s="3">
        <v>2.5</v>
      </c>
      <c r="J27" s="5" t="s">
        <v>49</v>
      </c>
      <c r="K27" s="3">
        <v>2.5</v>
      </c>
    </row>
    <row r="28" spans="1:32" x14ac:dyDescent="0.3">
      <c r="A28" s="2" t="s">
        <v>15</v>
      </c>
      <c r="B28" s="5" t="s">
        <v>524</v>
      </c>
      <c r="C28" s="3">
        <v>0.2</v>
      </c>
      <c r="D28" s="5" t="s">
        <v>524</v>
      </c>
      <c r="E28" s="3">
        <v>0.2</v>
      </c>
      <c r="F28" s="5" t="s">
        <v>524</v>
      </c>
      <c r="G28" s="3">
        <v>0.2</v>
      </c>
      <c r="H28" s="5" t="s">
        <v>524</v>
      </c>
      <c r="I28" s="3">
        <v>0.2</v>
      </c>
      <c r="J28" s="5" t="s">
        <v>524</v>
      </c>
      <c r="K28" s="3">
        <v>0.2</v>
      </c>
    </row>
    <row r="29" spans="1:32" x14ac:dyDescent="0.3">
      <c r="A29" s="2" t="s">
        <v>15</v>
      </c>
      <c r="B29" s="5"/>
      <c r="C29" s="3"/>
      <c r="D29" s="5" t="s">
        <v>54</v>
      </c>
      <c r="E29" s="3">
        <v>0.2</v>
      </c>
      <c r="F29" s="5"/>
      <c r="G29" s="3"/>
      <c r="H29" s="5" t="s">
        <v>1021</v>
      </c>
      <c r="I29" s="3">
        <v>0.5</v>
      </c>
      <c r="J29" s="5" t="s">
        <v>848</v>
      </c>
      <c r="K29" s="3">
        <v>0.5</v>
      </c>
    </row>
    <row r="30" spans="1:32" x14ac:dyDescent="0.3">
      <c r="A30" s="2" t="s">
        <v>15</v>
      </c>
      <c r="B30" s="5"/>
      <c r="C30" s="3"/>
      <c r="D30" s="5"/>
      <c r="E30" s="3"/>
      <c r="F30" s="5"/>
      <c r="G30" s="3"/>
      <c r="H30" s="5"/>
      <c r="I30" s="3"/>
      <c r="J30" s="5" t="s">
        <v>54</v>
      </c>
      <c r="K30" s="3">
        <v>0.3</v>
      </c>
    </row>
    <row r="31" spans="1:32" x14ac:dyDescent="0.3">
      <c r="A31" s="2"/>
      <c r="B31" s="5"/>
      <c r="C31" s="3"/>
      <c r="D31" s="3"/>
      <c r="E31" s="3"/>
      <c r="F31" s="3"/>
      <c r="G31" s="3"/>
      <c r="H31" s="5"/>
      <c r="I31" s="3"/>
      <c r="J31" s="29"/>
    </row>
    <row r="32" spans="1:32" x14ac:dyDescent="0.3">
      <c r="A32" s="2"/>
      <c r="B32" s="3"/>
      <c r="C32" s="3"/>
      <c r="D32" s="3"/>
      <c r="E32" s="3"/>
      <c r="F32" s="3"/>
      <c r="G32" s="3"/>
      <c r="H32" s="15"/>
      <c r="I32" s="3"/>
      <c r="J32" s="29"/>
    </row>
    <row r="33" spans="1:13" x14ac:dyDescent="0.3">
      <c r="A33" s="2" t="s">
        <v>16</v>
      </c>
      <c r="B33" s="5" t="s">
        <v>226</v>
      </c>
      <c r="C33" s="3">
        <v>0.5</v>
      </c>
      <c r="D33" s="5" t="s">
        <v>226</v>
      </c>
      <c r="E33" s="3">
        <v>0.5</v>
      </c>
      <c r="F33" s="5" t="s">
        <v>226</v>
      </c>
      <c r="G33" s="3">
        <v>0.5</v>
      </c>
      <c r="H33" s="5" t="s">
        <v>226</v>
      </c>
      <c r="I33" s="3">
        <v>0.5</v>
      </c>
      <c r="J33" s="5" t="s">
        <v>226</v>
      </c>
      <c r="K33" s="3">
        <v>0.5</v>
      </c>
    </row>
    <row r="34" spans="1:13" x14ac:dyDescent="0.3">
      <c r="A34" s="2" t="s">
        <v>16</v>
      </c>
      <c r="B34" s="5" t="s">
        <v>290</v>
      </c>
      <c r="C34" s="3">
        <v>0.6</v>
      </c>
      <c r="D34" s="5" t="s">
        <v>290</v>
      </c>
      <c r="E34" s="3">
        <v>0.6</v>
      </c>
      <c r="F34" s="5" t="s">
        <v>290</v>
      </c>
      <c r="G34" s="3">
        <v>0.6</v>
      </c>
      <c r="H34" s="5" t="s">
        <v>290</v>
      </c>
      <c r="I34" s="3">
        <v>0.6</v>
      </c>
      <c r="J34" s="5" t="s">
        <v>290</v>
      </c>
      <c r="K34" s="3">
        <v>0.6</v>
      </c>
    </row>
    <row r="35" spans="1:13" x14ac:dyDescent="0.3">
      <c r="A35" s="2" t="s">
        <v>16</v>
      </c>
      <c r="B35" s="5" t="s">
        <v>291</v>
      </c>
      <c r="C35" s="3">
        <v>0.6</v>
      </c>
      <c r="D35" s="5" t="s">
        <v>291</v>
      </c>
      <c r="E35" s="3">
        <v>0.6</v>
      </c>
      <c r="F35" s="5" t="s">
        <v>291</v>
      </c>
      <c r="G35" s="3">
        <v>0.6</v>
      </c>
      <c r="H35" s="5" t="s">
        <v>291</v>
      </c>
      <c r="I35" s="3">
        <v>0.6</v>
      </c>
      <c r="J35" s="5" t="s">
        <v>291</v>
      </c>
      <c r="K35" s="3">
        <v>0.6</v>
      </c>
    </row>
    <row r="36" spans="1:13" x14ac:dyDescent="0.3">
      <c r="A36" s="2" t="s">
        <v>16</v>
      </c>
      <c r="B36" s="5" t="s">
        <v>151</v>
      </c>
      <c r="C36" s="3">
        <v>0.6</v>
      </c>
      <c r="D36" s="5" t="s">
        <v>151</v>
      </c>
      <c r="E36" s="3">
        <v>0.6</v>
      </c>
      <c r="F36" s="5" t="s">
        <v>151</v>
      </c>
      <c r="G36" s="3">
        <v>0.6</v>
      </c>
      <c r="H36" s="5" t="s">
        <v>151</v>
      </c>
      <c r="I36" s="3">
        <v>0.6</v>
      </c>
      <c r="J36" s="5" t="s">
        <v>151</v>
      </c>
      <c r="K36" s="3">
        <v>0.6</v>
      </c>
    </row>
    <row r="37" spans="1:13" x14ac:dyDescent="0.3">
      <c r="A37" s="2" t="s">
        <v>16</v>
      </c>
      <c r="B37" s="5" t="s">
        <v>49</v>
      </c>
      <c r="C37" s="3">
        <v>2.5</v>
      </c>
      <c r="D37" s="5" t="s">
        <v>49</v>
      </c>
      <c r="E37" s="3">
        <v>2.5</v>
      </c>
      <c r="F37" s="5" t="s">
        <v>49</v>
      </c>
      <c r="G37" s="3">
        <v>2.5</v>
      </c>
      <c r="H37" s="5" t="s">
        <v>49</v>
      </c>
      <c r="I37" s="3">
        <v>2.5</v>
      </c>
      <c r="J37" s="5" t="s">
        <v>49</v>
      </c>
      <c r="K37" s="3">
        <v>2.5</v>
      </c>
    </row>
    <row r="38" spans="1:13" x14ac:dyDescent="0.3">
      <c r="A38" s="2" t="s">
        <v>16</v>
      </c>
      <c r="B38" s="5" t="s">
        <v>524</v>
      </c>
      <c r="C38" s="3">
        <v>0.2</v>
      </c>
      <c r="D38" s="5" t="s">
        <v>524</v>
      </c>
      <c r="E38" s="3">
        <v>0.2</v>
      </c>
      <c r="F38" s="5" t="s">
        <v>524</v>
      </c>
      <c r="G38" s="3">
        <v>0.2</v>
      </c>
      <c r="H38" s="5" t="s">
        <v>524</v>
      </c>
      <c r="I38" s="3">
        <v>0.2</v>
      </c>
      <c r="J38" s="5" t="s">
        <v>524</v>
      </c>
      <c r="K38" s="3">
        <v>0.2</v>
      </c>
    </row>
    <row r="39" spans="1:13" x14ac:dyDescent="0.3">
      <c r="A39" s="2" t="s">
        <v>16</v>
      </c>
      <c r="B39" s="5" t="s">
        <v>848</v>
      </c>
      <c r="C39" s="3">
        <v>0.5</v>
      </c>
      <c r="D39" s="5" t="s">
        <v>1021</v>
      </c>
      <c r="E39" s="3">
        <v>0.5</v>
      </c>
      <c r="F39" s="5"/>
      <c r="G39" s="3"/>
      <c r="H39" s="5" t="s">
        <v>54</v>
      </c>
      <c r="I39" s="3">
        <v>0.2</v>
      </c>
      <c r="J39" s="5" t="s">
        <v>54</v>
      </c>
      <c r="K39" s="3">
        <v>0.3</v>
      </c>
    </row>
    <row r="40" spans="1:13" x14ac:dyDescent="0.3">
      <c r="A40" s="2"/>
      <c r="B40" s="5"/>
      <c r="C40" s="3"/>
      <c r="D40" s="5"/>
      <c r="E40" s="3"/>
      <c r="F40" s="5"/>
      <c r="G40" s="3"/>
      <c r="H40" s="5"/>
      <c r="I40" s="3"/>
      <c r="J40" s="5"/>
      <c r="K40" s="3"/>
    </row>
    <row r="41" spans="1:13" x14ac:dyDescent="0.3">
      <c r="A41" s="2"/>
      <c r="B41" s="5"/>
      <c r="C41" s="3"/>
      <c r="D41" s="3"/>
      <c r="E41" s="3"/>
      <c r="F41" s="3"/>
      <c r="G41" s="3"/>
      <c r="H41" s="5"/>
      <c r="I41" s="3"/>
      <c r="J41" s="29"/>
    </row>
    <row r="42" spans="1:13" x14ac:dyDescent="0.3">
      <c r="A42" s="2" t="s">
        <v>17</v>
      </c>
      <c r="L42" s="1" t="s">
        <v>3144</v>
      </c>
      <c r="M42" s="1">
        <v>111</v>
      </c>
    </row>
    <row r="43" spans="1:13" x14ac:dyDescent="0.3">
      <c r="B43" s="1" t="s">
        <v>378</v>
      </c>
      <c r="D43" s="1" t="s">
        <v>576</v>
      </c>
      <c r="F43" s="1" t="s">
        <v>747</v>
      </c>
      <c r="H43" s="17" t="s">
        <v>897</v>
      </c>
      <c r="J43" s="1" t="s">
        <v>33</v>
      </c>
    </row>
    <row r="44" spans="1:13" x14ac:dyDescent="0.3">
      <c r="A44" s="19" t="s">
        <v>13</v>
      </c>
      <c r="J44" t="s">
        <v>291</v>
      </c>
      <c r="K44">
        <v>1</v>
      </c>
    </row>
    <row r="45" spans="1:13" x14ac:dyDescent="0.3">
      <c r="A45" s="19" t="s">
        <v>13</v>
      </c>
      <c r="J45" t="s">
        <v>226</v>
      </c>
      <c r="K45">
        <v>2</v>
      </c>
    </row>
    <row r="46" spans="1:13" x14ac:dyDescent="0.3">
      <c r="A46" s="19" t="s">
        <v>13</v>
      </c>
      <c r="J46" t="s">
        <v>49</v>
      </c>
      <c r="K46">
        <v>1.5</v>
      </c>
    </row>
    <row r="47" spans="1:13" x14ac:dyDescent="0.3">
      <c r="A47" s="19" t="s">
        <v>13</v>
      </c>
      <c r="J47" t="s">
        <v>290</v>
      </c>
      <c r="K47">
        <v>0.5</v>
      </c>
    </row>
    <row r="50" spans="1:11" x14ac:dyDescent="0.3">
      <c r="A50" s="19" t="s">
        <v>14</v>
      </c>
      <c r="B50" t="s">
        <v>291</v>
      </c>
      <c r="C50">
        <v>1.5</v>
      </c>
      <c r="D50" t="s">
        <v>54</v>
      </c>
      <c r="E50">
        <v>5</v>
      </c>
      <c r="F50" t="s">
        <v>291</v>
      </c>
      <c r="G50">
        <v>1.5</v>
      </c>
      <c r="H50" s="18" t="s">
        <v>291</v>
      </c>
      <c r="I50">
        <v>1.5</v>
      </c>
      <c r="J50" t="s">
        <v>291</v>
      </c>
      <c r="K50">
        <v>0.5</v>
      </c>
    </row>
    <row r="51" spans="1:11" x14ac:dyDescent="0.3">
      <c r="A51" s="19" t="s">
        <v>14</v>
      </c>
      <c r="B51" t="s">
        <v>524</v>
      </c>
      <c r="C51">
        <v>0.25</v>
      </c>
      <c r="F51" t="s">
        <v>848</v>
      </c>
      <c r="G51">
        <v>0.5</v>
      </c>
      <c r="H51" s="18" t="s">
        <v>226</v>
      </c>
      <c r="I51">
        <v>0.5</v>
      </c>
      <c r="J51" t="s">
        <v>524</v>
      </c>
      <c r="K51">
        <v>0.25</v>
      </c>
    </row>
    <row r="52" spans="1:11" x14ac:dyDescent="0.3">
      <c r="A52" s="19" t="s">
        <v>14</v>
      </c>
      <c r="B52" t="s">
        <v>226</v>
      </c>
      <c r="C52">
        <v>2.25</v>
      </c>
      <c r="F52" t="s">
        <v>226</v>
      </c>
      <c r="G52">
        <v>1</v>
      </c>
      <c r="H52" s="18" t="s">
        <v>49</v>
      </c>
      <c r="I52">
        <v>1.5</v>
      </c>
      <c r="J52" t="s">
        <v>226</v>
      </c>
      <c r="K52">
        <v>0.5</v>
      </c>
    </row>
    <row r="53" spans="1:11" x14ac:dyDescent="0.3">
      <c r="A53" s="19" t="s">
        <v>14</v>
      </c>
      <c r="B53" t="s">
        <v>54</v>
      </c>
      <c r="C53">
        <v>1</v>
      </c>
      <c r="F53" t="s">
        <v>49</v>
      </c>
      <c r="G53">
        <v>2.25</v>
      </c>
      <c r="H53" s="18" t="s">
        <v>290</v>
      </c>
      <c r="I53">
        <v>0.75</v>
      </c>
      <c r="J53" t="s">
        <v>54</v>
      </c>
      <c r="K53">
        <v>0.25</v>
      </c>
    </row>
    <row r="54" spans="1:11" x14ac:dyDescent="0.3">
      <c r="A54" s="19" t="s">
        <v>14</v>
      </c>
      <c r="B54" t="s">
        <v>290</v>
      </c>
      <c r="C54">
        <v>0.5</v>
      </c>
      <c r="F54" t="s">
        <v>290</v>
      </c>
      <c r="G54">
        <v>0.25</v>
      </c>
      <c r="H54" s="18" t="s">
        <v>1021</v>
      </c>
      <c r="I54">
        <v>1.25</v>
      </c>
      <c r="J54" t="s">
        <v>49</v>
      </c>
      <c r="K54">
        <v>2</v>
      </c>
    </row>
    <row r="55" spans="1:11" x14ac:dyDescent="0.3">
      <c r="A55" s="19" t="s">
        <v>14</v>
      </c>
      <c r="J55" t="s">
        <v>290</v>
      </c>
      <c r="K55">
        <v>0.5</v>
      </c>
    </row>
    <row r="56" spans="1:11" x14ac:dyDescent="0.3">
      <c r="A56" s="19" t="s">
        <v>14</v>
      </c>
      <c r="J56" t="s">
        <v>1021</v>
      </c>
      <c r="K56">
        <v>1</v>
      </c>
    </row>
    <row r="59" spans="1:11" x14ac:dyDescent="0.3">
      <c r="A59" s="19" t="s">
        <v>15</v>
      </c>
      <c r="B59" t="s">
        <v>291</v>
      </c>
      <c r="C59">
        <v>0.5</v>
      </c>
      <c r="D59" t="s">
        <v>291</v>
      </c>
      <c r="E59">
        <v>0.5</v>
      </c>
      <c r="F59" t="s">
        <v>291</v>
      </c>
      <c r="G59">
        <v>2</v>
      </c>
      <c r="H59" s="18" t="s">
        <v>291</v>
      </c>
      <c r="I59">
        <v>0.5</v>
      </c>
      <c r="J59" t="s">
        <v>291</v>
      </c>
      <c r="K59">
        <v>0.5</v>
      </c>
    </row>
    <row r="60" spans="1:11" x14ac:dyDescent="0.3">
      <c r="A60" s="19" t="s">
        <v>15</v>
      </c>
      <c r="B60" t="s">
        <v>848</v>
      </c>
      <c r="C60">
        <v>0.5</v>
      </c>
      <c r="D60" t="s">
        <v>848</v>
      </c>
      <c r="E60">
        <v>0.5</v>
      </c>
      <c r="F60" t="s">
        <v>848</v>
      </c>
      <c r="G60">
        <v>0.5</v>
      </c>
      <c r="H60" s="18" t="s">
        <v>848</v>
      </c>
      <c r="I60">
        <v>0.5</v>
      </c>
      <c r="J60" t="s">
        <v>848</v>
      </c>
      <c r="K60">
        <v>0.5</v>
      </c>
    </row>
    <row r="61" spans="1:11" x14ac:dyDescent="0.3">
      <c r="A61" s="19" t="s">
        <v>15</v>
      </c>
      <c r="B61" t="s">
        <v>226</v>
      </c>
      <c r="C61">
        <v>1.5</v>
      </c>
      <c r="D61" t="s">
        <v>524</v>
      </c>
      <c r="E61">
        <v>0.25</v>
      </c>
      <c r="F61" t="s">
        <v>226</v>
      </c>
      <c r="G61">
        <v>0.5</v>
      </c>
      <c r="H61" s="18" t="s">
        <v>524</v>
      </c>
      <c r="I61">
        <v>0.5</v>
      </c>
      <c r="J61" t="s">
        <v>524</v>
      </c>
      <c r="K61">
        <v>0.5</v>
      </c>
    </row>
    <row r="62" spans="1:11" x14ac:dyDescent="0.3">
      <c r="A62" s="19" t="s">
        <v>15</v>
      </c>
      <c r="B62" t="s">
        <v>49</v>
      </c>
      <c r="C62">
        <v>2.5</v>
      </c>
      <c r="D62" t="s">
        <v>226</v>
      </c>
      <c r="E62">
        <v>0.25</v>
      </c>
      <c r="F62" t="s">
        <v>49</v>
      </c>
      <c r="G62">
        <v>2</v>
      </c>
      <c r="H62" s="18" t="s">
        <v>226</v>
      </c>
      <c r="I62">
        <v>0.5</v>
      </c>
      <c r="J62" t="s">
        <v>226</v>
      </c>
      <c r="K62">
        <v>1</v>
      </c>
    </row>
    <row r="63" spans="1:11" x14ac:dyDescent="0.3">
      <c r="A63" s="19" t="s">
        <v>15</v>
      </c>
      <c r="B63" t="s">
        <v>290</v>
      </c>
      <c r="C63">
        <v>0.5</v>
      </c>
      <c r="D63" t="s">
        <v>54</v>
      </c>
      <c r="E63">
        <v>0.25</v>
      </c>
      <c r="F63" t="s">
        <v>290</v>
      </c>
      <c r="G63">
        <v>0.5</v>
      </c>
      <c r="H63" s="18" t="s">
        <v>49</v>
      </c>
      <c r="I63">
        <v>2.5</v>
      </c>
      <c r="J63" t="s">
        <v>54</v>
      </c>
      <c r="K63">
        <v>0.5</v>
      </c>
    </row>
    <row r="64" spans="1:11" x14ac:dyDescent="0.3">
      <c r="A64" s="19" t="s">
        <v>15</v>
      </c>
      <c r="D64" t="s">
        <v>49</v>
      </c>
      <c r="E64">
        <v>2.5</v>
      </c>
      <c r="H64" s="18" t="s">
        <v>290</v>
      </c>
      <c r="I64">
        <v>0.5</v>
      </c>
      <c r="J64" t="s">
        <v>49</v>
      </c>
      <c r="K64">
        <v>2.5</v>
      </c>
    </row>
    <row r="65" spans="1:11" x14ac:dyDescent="0.3">
      <c r="A65" s="19" t="s">
        <v>15</v>
      </c>
      <c r="D65" t="s">
        <v>290</v>
      </c>
      <c r="E65">
        <v>0.5</v>
      </c>
    </row>
    <row r="66" spans="1:11" x14ac:dyDescent="0.3">
      <c r="A66" s="19" t="s">
        <v>15</v>
      </c>
      <c r="D66" t="s">
        <v>1021</v>
      </c>
      <c r="E66">
        <v>0.25</v>
      </c>
    </row>
    <row r="69" spans="1:11" x14ac:dyDescent="0.3">
      <c r="A69" s="19" t="s">
        <v>16</v>
      </c>
      <c r="B69" t="s">
        <v>291</v>
      </c>
      <c r="C69">
        <v>0.5</v>
      </c>
      <c r="D69" t="s">
        <v>291</v>
      </c>
      <c r="E69">
        <v>0.5</v>
      </c>
      <c r="F69" t="s">
        <v>291</v>
      </c>
      <c r="G69">
        <v>1</v>
      </c>
      <c r="H69" s="18" t="s">
        <v>291</v>
      </c>
      <c r="I69">
        <v>0.75</v>
      </c>
      <c r="J69" t="s">
        <v>54</v>
      </c>
      <c r="K69">
        <v>5</v>
      </c>
    </row>
    <row r="70" spans="1:11" x14ac:dyDescent="0.3">
      <c r="A70" s="19" t="s">
        <v>16</v>
      </c>
      <c r="B70" t="s">
        <v>524</v>
      </c>
      <c r="C70">
        <v>0.5</v>
      </c>
      <c r="D70" t="s">
        <v>524</v>
      </c>
      <c r="E70">
        <v>0.5</v>
      </c>
      <c r="F70" t="s">
        <v>524</v>
      </c>
      <c r="G70">
        <v>0.5</v>
      </c>
      <c r="H70" s="18" t="s">
        <v>524</v>
      </c>
      <c r="I70">
        <v>0.5</v>
      </c>
    </row>
    <row r="71" spans="1:11" x14ac:dyDescent="0.3">
      <c r="A71" s="19" t="s">
        <v>16</v>
      </c>
      <c r="B71" t="s">
        <v>226</v>
      </c>
      <c r="C71">
        <v>0.5</v>
      </c>
      <c r="D71" t="s">
        <v>226</v>
      </c>
      <c r="E71">
        <v>0.5</v>
      </c>
      <c r="F71" t="s">
        <v>151</v>
      </c>
      <c r="G71">
        <v>0.5</v>
      </c>
      <c r="H71" s="18" t="s">
        <v>151</v>
      </c>
      <c r="I71">
        <v>0.5</v>
      </c>
    </row>
    <row r="72" spans="1:11" x14ac:dyDescent="0.3">
      <c r="A72" s="19" t="s">
        <v>16</v>
      </c>
      <c r="B72" t="s">
        <v>54</v>
      </c>
      <c r="C72">
        <v>1</v>
      </c>
      <c r="D72" t="s">
        <v>54</v>
      </c>
      <c r="E72">
        <v>0.5</v>
      </c>
      <c r="F72" t="s">
        <v>226</v>
      </c>
      <c r="G72">
        <v>0.5</v>
      </c>
      <c r="H72" s="18" t="s">
        <v>54</v>
      </c>
      <c r="I72">
        <v>0.75</v>
      </c>
    </row>
    <row r="73" spans="1:11" x14ac:dyDescent="0.3">
      <c r="A73" s="19" t="s">
        <v>16</v>
      </c>
      <c r="B73" t="s">
        <v>49</v>
      </c>
      <c r="C73">
        <v>2.5</v>
      </c>
      <c r="D73" t="s">
        <v>49</v>
      </c>
      <c r="E73">
        <v>2.5</v>
      </c>
      <c r="F73" t="s">
        <v>49</v>
      </c>
      <c r="G73">
        <v>2.5</v>
      </c>
      <c r="H73" s="18" t="s">
        <v>49</v>
      </c>
      <c r="I73">
        <v>2.5</v>
      </c>
    </row>
    <row r="74" spans="1:11" x14ac:dyDescent="0.3">
      <c r="A74" s="19" t="s">
        <v>16</v>
      </c>
      <c r="B74" t="s">
        <v>290</v>
      </c>
      <c r="C74">
        <v>0.5</v>
      </c>
      <c r="D74" t="s">
        <v>290</v>
      </c>
      <c r="E74">
        <v>0.5</v>
      </c>
      <c r="F74" t="s">
        <v>290</v>
      </c>
      <c r="G74">
        <v>0.5</v>
      </c>
      <c r="H74" s="18" t="s">
        <v>290</v>
      </c>
      <c r="I74">
        <v>0.5</v>
      </c>
    </row>
    <row r="77" spans="1:11" x14ac:dyDescent="0.3">
      <c r="A77" s="19" t="s">
        <v>18</v>
      </c>
      <c r="B77" t="s">
        <v>54</v>
      </c>
      <c r="C77">
        <v>5</v>
      </c>
      <c r="D77" t="s">
        <v>291</v>
      </c>
      <c r="E77">
        <v>1</v>
      </c>
      <c r="F77" t="s">
        <v>291</v>
      </c>
      <c r="G77">
        <v>0.5</v>
      </c>
      <c r="H77" s="18" t="s">
        <v>151</v>
      </c>
      <c r="I77">
        <v>0.5</v>
      </c>
      <c r="J77" t="s">
        <v>54</v>
      </c>
      <c r="K77">
        <v>5</v>
      </c>
    </row>
    <row r="78" spans="1:11" x14ac:dyDescent="0.3">
      <c r="A78" s="19" t="s">
        <v>18</v>
      </c>
      <c r="D78" t="s">
        <v>848</v>
      </c>
      <c r="E78">
        <v>0.5</v>
      </c>
      <c r="F78" t="s">
        <v>151</v>
      </c>
      <c r="G78">
        <v>1</v>
      </c>
      <c r="H78" s="18" t="s">
        <v>226</v>
      </c>
      <c r="I78">
        <v>0.5</v>
      </c>
    </row>
    <row r="79" spans="1:11" x14ac:dyDescent="0.3">
      <c r="A79" s="19" t="s">
        <v>18</v>
      </c>
      <c r="D79" t="s">
        <v>524</v>
      </c>
      <c r="E79">
        <v>1</v>
      </c>
      <c r="F79" t="s">
        <v>226</v>
      </c>
      <c r="G79">
        <v>0.5</v>
      </c>
      <c r="H79" s="18" t="s">
        <v>54</v>
      </c>
      <c r="I79">
        <v>1</v>
      </c>
    </row>
    <row r="80" spans="1:11" x14ac:dyDescent="0.3">
      <c r="A80" s="19" t="s">
        <v>18</v>
      </c>
      <c r="D80" t="s">
        <v>151</v>
      </c>
      <c r="E80">
        <v>1</v>
      </c>
      <c r="F80" t="s">
        <v>49</v>
      </c>
      <c r="G80">
        <v>3</v>
      </c>
      <c r="H80" s="18" t="s">
        <v>49</v>
      </c>
      <c r="I80">
        <v>3</v>
      </c>
    </row>
    <row r="81" spans="1:9" x14ac:dyDescent="0.3">
      <c r="A81" s="19" t="s">
        <v>18</v>
      </c>
      <c r="D81" t="s">
        <v>226</v>
      </c>
      <c r="E81">
        <v>1.25</v>
      </c>
      <c r="F81" t="s">
        <v>290</v>
      </c>
      <c r="G81">
        <v>0.5</v>
      </c>
      <c r="H81" s="18" t="s">
        <v>290</v>
      </c>
      <c r="I81">
        <v>0.5</v>
      </c>
    </row>
    <row r="82" spans="1:9" x14ac:dyDescent="0.3">
      <c r="A82" s="19" t="s">
        <v>18</v>
      </c>
      <c r="D82" t="s">
        <v>290</v>
      </c>
      <c r="E82">
        <v>0.5</v>
      </c>
    </row>
    <row r="83" spans="1:9" x14ac:dyDescent="0.3">
      <c r="A83" s="19" t="s">
        <v>18</v>
      </c>
      <c r="D83" t="s">
        <v>1021</v>
      </c>
      <c r="E83">
        <v>0.25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5D7C5F0-44FE-4E0C-88EE-9B3431DD321F}">
          <x14:formula1>
            <xm:f>'Client Name'!$A:$A</xm:f>
          </x14:formula1>
          <xm:sqref>B4:B41 D4:D41 J4:J41 F4:F41 H4:H41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F01CA-5355-474C-A0F5-43D99D1179DA}">
  <sheetPr codeName="Sheet26"/>
  <dimension ref="A1:AF41"/>
  <sheetViews>
    <sheetView zoomScale="70" zoomScaleNormal="70" workbookViewId="0">
      <selection activeCell="L1" sqref="L1"/>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249</v>
      </c>
      <c r="C1" s="14"/>
      <c r="D1" s="14"/>
      <c r="E1" s="14"/>
      <c r="F1" s="14"/>
      <c r="G1" s="14"/>
      <c r="H1" s="4"/>
      <c r="I1" s="14"/>
      <c r="J1" s="14"/>
      <c r="K1" s="14"/>
      <c r="L1" s="1" t="s">
        <v>3144</v>
      </c>
      <c r="M1">
        <v>118</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81</v>
      </c>
      <c r="P2">
        <v>0</v>
      </c>
      <c r="R2">
        <v>0</v>
      </c>
      <c r="S2">
        <v>0</v>
      </c>
      <c r="T2">
        <v>0</v>
      </c>
      <c r="U2">
        <v>0</v>
      </c>
      <c r="Y2" t="s">
        <v>81</v>
      </c>
      <c r="Z2">
        <v>95.77</v>
      </c>
      <c r="AB2">
        <v>4.2699999999999996</v>
      </c>
      <c r="AC2">
        <v>22.75</v>
      </c>
      <c r="AD2">
        <v>25</v>
      </c>
      <c r="AE2">
        <v>24.5</v>
      </c>
      <c r="AF2">
        <v>19.25</v>
      </c>
    </row>
    <row r="3" spans="1:32" x14ac:dyDescent="0.3">
      <c r="A3" s="2"/>
      <c r="B3" s="2" t="s">
        <v>378</v>
      </c>
      <c r="C3" s="2"/>
      <c r="D3" s="2" t="s">
        <v>576</v>
      </c>
      <c r="E3" s="2"/>
      <c r="F3" s="2" t="s">
        <v>747</v>
      </c>
      <c r="G3" s="2"/>
      <c r="H3" s="4" t="s">
        <v>897</v>
      </c>
      <c r="I3" s="2"/>
      <c r="J3" s="14" t="s">
        <v>33</v>
      </c>
      <c r="O3" t="s">
        <v>3058</v>
      </c>
      <c r="P3">
        <v>68</v>
      </c>
      <c r="R3">
        <v>17</v>
      </c>
      <c r="S3">
        <v>17</v>
      </c>
      <c r="T3">
        <v>17</v>
      </c>
      <c r="U3">
        <v>17</v>
      </c>
      <c r="Y3" t="s">
        <v>3058</v>
      </c>
      <c r="Z3">
        <v>0</v>
      </c>
      <c r="AB3">
        <v>0</v>
      </c>
      <c r="AC3">
        <v>0</v>
      </c>
      <c r="AD3">
        <v>0</v>
      </c>
      <c r="AE3">
        <v>0</v>
      </c>
      <c r="AF3">
        <v>0</v>
      </c>
    </row>
    <row r="4" spans="1:32" x14ac:dyDescent="0.3">
      <c r="A4" s="2" t="s">
        <v>13</v>
      </c>
      <c r="B4" s="5" t="s">
        <v>3058</v>
      </c>
      <c r="C4" s="3">
        <v>4</v>
      </c>
      <c r="D4" s="51" t="s">
        <v>3058</v>
      </c>
      <c r="E4" s="3">
        <v>4</v>
      </c>
      <c r="F4" s="51" t="s">
        <v>3058</v>
      </c>
      <c r="G4" s="3">
        <v>3</v>
      </c>
      <c r="H4" s="51" t="s">
        <v>3058</v>
      </c>
      <c r="I4" s="3">
        <v>3</v>
      </c>
      <c r="J4" s="51" t="s">
        <v>3058</v>
      </c>
      <c r="K4">
        <v>3</v>
      </c>
      <c r="O4" t="s">
        <v>254</v>
      </c>
      <c r="P4">
        <v>0</v>
      </c>
      <c r="R4">
        <v>0</v>
      </c>
      <c r="S4">
        <v>0</v>
      </c>
      <c r="T4">
        <v>0</v>
      </c>
      <c r="U4">
        <v>0</v>
      </c>
      <c r="Y4" t="s">
        <v>254</v>
      </c>
      <c r="Z4">
        <v>1</v>
      </c>
      <c r="AB4">
        <v>1</v>
      </c>
      <c r="AC4">
        <v>0</v>
      </c>
      <c r="AD4">
        <v>0</v>
      </c>
      <c r="AE4">
        <v>0</v>
      </c>
      <c r="AF4">
        <v>0</v>
      </c>
    </row>
    <row r="5" spans="1:32" x14ac:dyDescent="0.3">
      <c r="A5" s="2" t="s">
        <v>13</v>
      </c>
      <c r="B5" s="5" t="s">
        <v>54</v>
      </c>
      <c r="C5" s="3">
        <v>2.5</v>
      </c>
      <c r="D5" s="5" t="s">
        <v>54</v>
      </c>
      <c r="E5" s="3">
        <v>2.5</v>
      </c>
      <c r="F5" s="5" t="s">
        <v>54</v>
      </c>
      <c r="G5" s="3">
        <v>2.5</v>
      </c>
      <c r="H5" s="5" t="s">
        <v>54</v>
      </c>
      <c r="I5" s="3">
        <v>2.5</v>
      </c>
      <c r="J5" s="5" t="s">
        <v>54</v>
      </c>
      <c r="K5">
        <v>2.5</v>
      </c>
      <c r="O5" t="s">
        <v>54</v>
      </c>
      <c r="P5">
        <v>50</v>
      </c>
      <c r="R5">
        <v>12.5</v>
      </c>
      <c r="S5">
        <v>12.5</v>
      </c>
      <c r="T5">
        <v>12.5</v>
      </c>
      <c r="U5">
        <v>12.5</v>
      </c>
      <c r="Y5" t="s">
        <v>54</v>
      </c>
      <c r="Z5">
        <v>71.23</v>
      </c>
      <c r="AB5">
        <v>2.73</v>
      </c>
      <c r="AC5">
        <v>17.25</v>
      </c>
      <c r="AD5">
        <v>15</v>
      </c>
      <c r="AE5">
        <v>15.5</v>
      </c>
      <c r="AF5">
        <v>20.75</v>
      </c>
    </row>
    <row r="6" spans="1:32" x14ac:dyDescent="0.3">
      <c r="A6" s="2"/>
      <c r="B6" s="5"/>
      <c r="C6" s="3"/>
      <c r="D6" s="5"/>
      <c r="E6" s="3"/>
      <c r="F6" s="5"/>
      <c r="G6" s="3"/>
      <c r="H6" s="5"/>
      <c r="I6" s="3"/>
      <c r="J6" s="5"/>
    </row>
    <row r="7" spans="1:32" x14ac:dyDescent="0.3">
      <c r="A7" s="2"/>
      <c r="B7" s="3"/>
      <c r="C7" s="3"/>
      <c r="D7" s="3"/>
      <c r="E7" s="3"/>
      <c r="F7" s="3"/>
      <c r="G7" s="3"/>
      <c r="H7" s="15"/>
      <c r="I7" s="3"/>
      <c r="J7" s="29"/>
    </row>
    <row r="8" spans="1:32" x14ac:dyDescent="0.3">
      <c r="A8" s="2" t="s">
        <v>14</v>
      </c>
      <c r="B8" s="5" t="s">
        <v>3058</v>
      </c>
      <c r="C8" s="3">
        <v>4</v>
      </c>
      <c r="D8" s="51" t="s">
        <v>3058</v>
      </c>
      <c r="E8" s="3">
        <v>4</v>
      </c>
      <c r="F8" s="51" t="s">
        <v>3058</v>
      </c>
      <c r="G8" s="3">
        <v>3</v>
      </c>
      <c r="H8" s="51" t="s">
        <v>3058</v>
      </c>
      <c r="I8" s="3">
        <v>3</v>
      </c>
      <c r="J8" s="51" t="s">
        <v>3058</v>
      </c>
      <c r="K8">
        <v>3</v>
      </c>
    </row>
    <row r="9" spans="1:32" x14ac:dyDescent="0.3">
      <c r="A9" s="2" t="s">
        <v>14</v>
      </c>
      <c r="B9" s="5" t="s">
        <v>54</v>
      </c>
      <c r="C9" s="3">
        <v>2.5</v>
      </c>
      <c r="D9" s="5" t="s">
        <v>54</v>
      </c>
      <c r="E9" s="3">
        <v>2.5</v>
      </c>
      <c r="F9" s="5" t="s">
        <v>54</v>
      </c>
      <c r="G9" s="3">
        <v>2.5</v>
      </c>
      <c r="H9" s="5" t="s">
        <v>54</v>
      </c>
      <c r="I9" s="3">
        <v>2.5</v>
      </c>
      <c r="J9" s="5" t="s">
        <v>54</v>
      </c>
      <c r="K9">
        <v>2.5</v>
      </c>
    </row>
    <row r="10" spans="1:32" x14ac:dyDescent="0.3">
      <c r="A10" s="2"/>
      <c r="B10" s="5"/>
      <c r="C10" s="3"/>
      <c r="D10" s="15"/>
      <c r="E10" s="3"/>
      <c r="F10" s="3"/>
      <c r="G10" s="3"/>
      <c r="H10" s="5"/>
      <c r="I10" s="3"/>
      <c r="J10" s="29"/>
    </row>
    <row r="11" spans="1:32" x14ac:dyDescent="0.3">
      <c r="A11" s="2"/>
      <c r="B11" s="5"/>
      <c r="C11" s="3"/>
      <c r="D11" s="15"/>
      <c r="E11" s="3"/>
      <c r="F11" s="3"/>
      <c r="G11" s="3"/>
      <c r="H11" s="5"/>
      <c r="I11" s="3"/>
      <c r="J11" s="29"/>
    </row>
    <row r="12" spans="1:32" x14ac:dyDescent="0.3">
      <c r="A12" s="2" t="s">
        <v>15</v>
      </c>
      <c r="B12" s="5" t="s">
        <v>3058</v>
      </c>
      <c r="C12" s="3">
        <v>4</v>
      </c>
      <c r="D12" s="51" t="s">
        <v>3058</v>
      </c>
      <c r="E12" s="3">
        <v>4</v>
      </c>
      <c r="F12" s="51" t="s">
        <v>3058</v>
      </c>
      <c r="G12" s="3">
        <v>3</v>
      </c>
      <c r="H12" s="51" t="s">
        <v>3058</v>
      </c>
      <c r="I12" s="3">
        <v>3</v>
      </c>
      <c r="J12" s="51" t="s">
        <v>3058</v>
      </c>
      <c r="K12">
        <v>3</v>
      </c>
    </row>
    <row r="13" spans="1:32" x14ac:dyDescent="0.3">
      <c r="A13" s="2" t="s">
        <v>15</v>
      </c>
      <c r="B13" s="5" t="s">
        <v>54</v>
      </c>
      <c r="C13" s="3">
        <v>2.5</v>
      </c>
      <c r="D13" s="5" t="s">
        <v>54</v>
      </c>
      <c r="E13" s="3">
        <v>2.5</v>
      </c>
      <c r="F13" s="5" t="s">
        <v>54</v>
      </c>
      <c r="G13" s="3">
        <v>2.5</v>
      </c>
      <c r="H13" s="5" t="s">
        <v>54</v>
      </c>
      <c r="I13" s="3">
        <v>2.5</v>
      </c>
      <c r="J13" s="5" t="s">
        <v>54</v>
      </c>
      <c r="K13">
        <v>2.5</v>
      </c>
    </row>
    <row r="14" spans="1:32" x14ac:dyDescent="0.3">
      <c r="A14" s="2"/>
      <c r="B14" s="5"/>
      <c r="C14" s="3"/>
      <c r="D14" s="3"/>
      <c r="E14" s="3"/>
      <c r="F14" s="3"/>
      <c r="G14" s="3"/>
      <c r="H14" s="5"/>
      <c r="I14" s="3"/>
      <c r="J14" s="29"/>
    </row>
    <row r="15" spans="1:32" x14ac:dyDescent="0.3">
      <c r="A15" s="2"/>
      <c r="B15" s="3"/>
      <c r="C15" s="3"/>
      <c r="D15" s="3"/>
      <c r="E15" s="3"/>
      <c r="F15" s="3"/>
      <c r="G15" s="3"/>
      <c r="H15" s="15"/>
      <c r="I15" s="3"/>
      <c r="J15" s="29"/>
      <c r="O15" t="s">
        <v>3143</v>
      </c>
      <c r="P15">
        <f>SUM(P2:P14)</f>
        <v>118</v>
      </c>
      <c r="R15">
        <f>SUM(R2:R14)</f>
        <v>29.5</v>
      </c>
      <c r="S15">
        <f>SUM(S2:S14)</f>
        <v>29.5</v>
      </c>
      <c r="T15">
        <f>SUM(T2:T14)</f>
        <v>29.5</v>
      </c>
      <c r="U15">
        <f>SUM(U2:U14)</f>
        <v>29.5</v>
      </c>
      <c r="Y15" t="s">
        <v>3143</v>
      </c>
      <c r="Z15">
        <f>SUM(Z2:Z14)</f>
        <v>168</v>
      </c>
      <c r="AB15">
        <f>SUM(AB2:AB14)</f>
        <v>8</v>
      </c>
      <c r="AC15">
        <f>SUM(AC2:AC14)</f>
        <v>40</v>
      </c>
      <c r="AD15">
        <f>SUM(AD2:AD14)</f>
        <v>40</v>
      </c>
      <c r="AE15">
        <f>SUM(AE2:AE14)</f>
        <v>40</v>
      </c>
      <c r="AF15">
        <f>SUM(AF2:AF14)</f>
        <v>40</v>
      </c>
    </row>
    <row r="16" spans="1:32" x14ac:dyDescent="0.3">
      <c r="A16" s="2" t="s">
        <v>16</v>
      </c>
      <c r="B16" s="5" t="s">
        <v>3058</v>
      </c>
      <c r="C16" s="3">
        <v>4</v>
      </c>
      <c r="D16" s="51" t="s">
        <v>3058</v>
      </c>
      <c r="E16" s="3">
        <v>4</v>
      </c>
      <c r="F16" s="51" t="s">
        <v>3058</v>
      </c>
      <c r="G16" s="3">
        <v>3</v>
      </c>
      <c r="H16" s="51" t="s">
        <v>3058</v>
      </c>
      <c r="I16" s="3">
        <v>3</v>
      </c>
      <c r="J16" s="51" t="s">
        <v>3058</v>
      </c>
      <c r="K16">
        <v>3</v>
      </c>
    </row>
    <row r="17" spans="1:13" x14ac:dyDescent="0.3">
      <c r="A17" s="2" t="s">
        <v>16</v>
      </c>
      <c r="B17" s="5" t="s">
        <v>54</v>
      </c>
      <c r="C17" s="3">
        <v>2.5</v>
      </c>
      <c r="D17" s="5" t="s">
        <v>54</v>
      </c>
      <c r="E17" s="3">
        <v>2.5</v>
      </c>
      <c r="F17" s="5" t="s">
        <v>54</v>
      </c>
      <c r="G17" s="3">
        <v>2.5</v>
      </c>
      <c r="H17" s="5" t="s">
        <v>54</v>
      </c>
      <c r="I17" s="3">
        <v>2.5</v>
      </c>
      <c r="J17" s="5" t="s">
        <v>54</v>
      </c>
      <c r="K17">
        <v>2.5</v>
      </c>
    </row>
    <row r="18" spans="1:13" x14ac:dyDescent="0.3">
      <c r="A18" s="2" t="s">
        <v>16</v>
      </c>
      <c r="B18" s="5"/>
      <c r="C18" s="3"/>
      <c r="D18" s="15"/>
      <c r="E18" s="3"/>
      <c r="F18" s="3"/>
      <c r="G18" s="3"/>
      <c r="H18" s="5"/>
      <c r="I18" s="3"/>
      <c r="J18" s="29"/>
    </row>
    <row r="19" spans="1:13" x14ac:dyDescent="0.3">
      <c r="A19" s="2"/>
      <c r="B19" s="5"/>
      <c r="C19" s="3"/>
      <c r="D19" s="3"/>
      <c r="E19" s="3"/>
      <c r="F19" s="3"/>
      <c r="G19" s="3"/>
      <c r="H19" s="5"/>
      <c r="I19" s="3"/>
      <c r="J19" s="29"/>
    </row>
    <row r="21" spans="1:13" x14ac:dyDescent="0.3">
      <c r="A21" s="2" t="s">
        <v>17</v>
      </c>
      <c r="L21" s="1" t="s">
        <v>3144</v>
      </c>
      <c r="M21" s="1">
        <v>168</v>
      </c>
    </row>
    <row r="22" spans="1:13" x14ac:dyDescent="0.3">
      <c r="B22" s="1" t="s">
        <v>378</v>
      </c>
      <c r="D22" s="1" t="s">
        <v>576</v>
      </c>
      <c r="F22" s="1" t="s">
        <v>747</v>
      </c>
      <c r="H22" s="17" t="s">
        <v>897</v>
      </c>
      <c r="J22" s="1" t="s">
        <v>33</v>
      </c>
    </row>
    <row r="23" spans="1:13" x14ac:dyDescent="0.3">
      <c r="A23" s="19" t="s">
        <v>13</v>
      </c>
      <c r="J23" t="s">
        <v>81</v>
      </c>
      <c r="K23">
        <v>4.2699999999999996</v>
      </c>
    </row>
    <row r="24" spans="1:13" x14ac:dyDescent="0.3">
      <c r="A24" s="19" t="s">
        <v>13</v>
      </c>
      <c r="J24" t="s">
        <v>254</v>
      </c>
      <c r="K24">
        <v>1</v>
      </c>
    </row>
    <row r="25" spans="1:13" x14ac:dyDescent="0.3">
      <c r="A25" s="19" t="s">
        <v>13</v>
      </c>
      <c r="J25" t="s">
        <v>54</v>
      </c>
      <c r="K25">
        <v>2.73</v>
      </c>
    </row>
    <row r="28" spans="1:13" x14ac:dyDescent="0.3">
      <c r="A28" s="19" t="s">
        <v>14</v>
      </c>
      <c r="B28" t="s">
        <v>81</v>
      </c>
      <c r="C28">
        <v>6.75</v>
      </c>
      <c r="D28" t="s">
        <v>81</v>
      </c>
      <c r="E28">
        <v>4</v>
      </c>
      <c r="F28" t="s">
        <v>81</v>
      </c>
      <c r="G28">
        <v>4</v>
      </c>
      <c r="H28" s="18" t="s">
        <v>81</v>
      </c>
      <c r="I28">
        <v>4</v>
      </c>
      <c r="J28" t="s">
        <v>81</v>
      </c>
      <c r="K28">
        <v>4</v>
      </c>
    </row>
    <row r="29" spans="1:13" x14ac:dyDescent="0.3">
      <c r="A29" s="19" t="s">
        <v>14</v>
      </c>
      <c r="B29" t="s">
        <v>54</v>
      </c>
      <c r="C29">
        <v>1.25</v>
      </c>
      <c r="D29" t="s">
        <v>54</v>
      </c>
      <c r="E29">
        <v>4</v>
      </c>
      <c r="F29" t="s">
        <v>54</v>
      </c>
      <c r="G29">
        <v>4</v>
      </c>
      <c r="H29" s="18" t="s">
        <v>54</v>
      </c>
      <c r="I29">
        <v>4</v>
      </c>
      <c r="J29" t="s">
        <v>54</v>
      </c>
      <c r="K29">
        <v>4</v>
      </c>
    </row>
    <row r="32" spans="1:13" x14ac:dyDescent="0.3">
      <c r="A32" s="19" t="s">
        <v>15</v>
      </c>
      <c r="B32" t="s">
        <v>81</v>
      </c>
      <c r="C32">
        <v>4</v>
      </c>
      <c r="D32" t="s">
        <v>81</v>
      </c>
      <c r="E32">
        <v>5</v>
      </c>
      <c r="F32" t="s">
        <v>81</v>
      </c>
      <c r="G32">
        <v>4.5</v>
      </c>
      <c r="H32" s="18" t="s">
        <v>81</v>
      </c>
      <c r="I32">
        <v>5.5</v>
      </c>
      <c r="J32" t="s">
        <v>81</v>
      </c>
      <c r="K32">
        <v>6</v>
      </c>
    </row>
    <row r="33" spans="1:11" x14ac:dyDescent="0.3">
      <c r="A33" s="19" t="s">
        <v>15</v>
      </c>
      <c r="B33" t="s">
        <v>54</v>
      </c>
      <c r="C33">
        <v>4</v>
      </c>
      <c r="D33" t="s">
        <v>54</v>
      </c>
      <c r="E33">
        <v>3</v>
      </c>
      <c r="F33" t="s">
        <v>54</v>
      </c>
      <c r="G33">
        <v>3.5</v>
      </c>
      <c r="H33" s="18" t="s">
        <v>54</v>
      </c>
      <c r="I33">
        <v>2.5</v>
      </c>
      <c r="J33" t="s">
        <v>54</v>
      </c>
      <c r="K33">
        <v>2</v>
      </c>
    </row>
    <row r="36" spans="1:11" x14ac:dyDescent="0.3">
      <c r="A36" s="19" t="s">
        <v>16</v>
      </c>
      <c r="B36" t="s">
        <v>81</v>
      </c>
      <c r="C36">
        <v>5</v>
      </c>
      <c r="D36" t="s">
        <v>81</v>
      </c>
      <c r="E36">
        <v>6</v>
      </c>
      <c r="F36" t="s">
        <v>81</v>
      </c>
      <c r="G36">
        <v>6</v>
      </c>
      <c r="H36" s="18" t="s">
        <v>81</v>
      </c>
      <c r="I36">
        <v>3.5</v>
      </c>
      <c r="J36" t="s">
        <v>81</v>
      </c>
      <c r="K36">
        <v>4</v>
      </c>
    </row>
    <row r="37" spans="1:11" x14ac:dyDescent="0.3">
      <c r="A37" s="19" t="s">
        <v>16</v>
      </c>
      <c r="B37" t="s">
        <v>54</v>
      </c>
      <c r="C37">
        <v>3</v>
      </c>
      <c r="D37" t="s">
        <v>54</v>
      </c>
      <c r="E37">
        <v>2</v>
      </c>
      <c r="F37" t="s">
        <v>54</v>
      </c>
      <c r="G37">
        <v>2</v>
      </c>
      <c r="H37" s="18" t="s">
        <v>54</v>
      </c>
      <c r="I37">
        <v>4.5</v>
      </c>
      <c r="J37" t="s">
        <v>54</v>
      </c>
      <c r="K37">
        <v>4</v>
      </c>
    </row>
    <row r="40" spans="1:11" x14ac:dyDescent="0.3">
      <c r="A40" s="19" t="s">
        <v>18</v>
      </c>
      <c r="B40" t="s">
        <v>81</v>
      </c>
      <c r="C40">
        <v>4</v>
      </c>
      <c r="D40" t="s">
        <v>81</v>
      </c>
      <c r="E40">
        <v>6.25</v>
      </c>
      <c r="F40" t="s">
        <v>81</v>
      </c>
      <c r="G40">
        <v>3.5</v>
      </c>
      <c r="H40" s="18" t="s">
        <v>81</v>
      </c>
      <c r="I40">
        <v>5.5</v>
      </c>
      <c r="J40" t="s">
        <v>54</v>
      </c>
      <c r="K40">
        <v>8</v>
      </c>
    </row>
    <row r="41" spans="1:11" x14ac:dyDescent="0.3">
      <c r="A41" s="19" t="s">
        <v>18</v>
      </c>
      <c r="B41" t="s">
        <v>54</v>
      </c>
      <c r="C41">
        <v>4</v>
      </c>
      <c r="D41" t="s">
        <v>54</v>
      </c>
      <c r="E41">
        <v>1.75</v>
      </c>
      <c r="F41" t="s">
        <v>54</v>
      </c>
      <c r="G41">
        <v>4.5</v>
      </c>
      <c r="H41" s="18" t="s">
        <v>54</v>
      </c>
      <c r="I41">
        <v>2.5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D8CCD7-3FF8-4FFB-A6F2-DDC9AFE33914}">
          <x14:formula1>
            <xm:f>'Client Name'!$A:$A</xm:f>
          </x14:formula1>
          <xm:sqref>J4:J19 D4:D19 H4:H19 F4:F19 B4:B19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04C61-D5BA-44BF-BA25-AB0202DF41C8}">
  <sheetPr codeName="Sheet25"/>
  <dimension ref="A1:AF75"/>
  <sheetViews>
    <sheetView zoomScale="55" zoomScaleNormal="55" workbookViewId="0">
      <selection activeCell="L1" sqref="L1"/>
    </sheetView>
  </sheetViews>
  <sheetFormatPr defaultRowHeight="14.4" x14ac:dyDescent="0.3"/>
  <cols>
    <col min="1" max="1" width="10.33203125" style="19" bestFit="1" customWidth="1"/>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style="83" bestFit="1" customWidth="1"/>
    <col min="11" max="11" width="5" style="83" customWidth="1"/>
  </cols>
  <sheetData>
    <row r="1" spans="1:32" ht="37.200000000000003" customHeight="1" thickBot="1" x14ac:dyDescent="0.35">
      <c r="A1" s="47" t="s">
        <v>3051</v>
      </c>
      <c r="B1" s="48" t="s">
        <v>150</v>
      </c>
      <c r="C1" s="14"/>
      <c r="D1" s="14"/>
      <c r="E1" s="14"/>
      <c r="F1" s="14"/>
      <c r="G1" s="14"/>
      <c r="H1" s="4"/>
      <c r="I1" s="14"/>
      <c r="J1" s="74"/>
      <c r="K1" s="74"/>
      <c r="L1" s="1" t="s">
        <v>3144</v>
      </c>
      <c r="M1">
        <v>160.19999999999999</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74"/>
      <c r="K2" s="75"/>
      <c r="O2" t="s">
        <v>3060</v>
      </c>
      <c r="P2">
        <v>48</v>
      </c>
      <c r="R2">
        <v>12</v>
      </c>
      <c r="S2">
        <v>12</v>
      </c>
      <c r="T2">
        <v>12</v>
      </c>
      <c r="U2">
        <v>12</v>
      </c>
      <c r="Y2" t="s">
        <v>3060</v>
      </c>
      <c r="Z2">
        <v>0</v>
      </c>
      <c r="AB2">
        <v>0</v>
      </c>
      <c r="AC2">
        <v>0</v>
      </c>
      <c r="AD2">
        <v>0</v>
      </c>
      <c r="AE2">
        <v>0</v>
      </c>
      <c r="AF2">
        <v>0</v>
      </c>
    </row>
    <row r="3" spans="1:32" x14ac:dyDescent="0.3">
      <c r="A3" s="58"/>
      <c r="B3" s="59" t="s">
        <v>378</v>
      </c>
      <c r="C3" s="58"/>
      <c r="D3" s="59" t="s">
        <v>576</v>
      </c>
      <c r="E3" s="58"/>
      <c r="F3" s="59" t="s">
        <v>747</v>
      </c>
      <c r="G3" s="58"/>
      <c r="H3" s="59" t="s">
        <v>897</v>
      </c>
      <c r="I3" s="58"/>
      <c r="J3" s="76" t="s">
        <v>33</v>
      </c>
      <c r="K3" s="77"/>
      <c r="O3" t="s">
        <v>151</v>
      </c>
      <c r="P3">
        <v>1</v>
      </c>
      <c r="R3">
        <v>0.25</v>
      </c>
      <c r="S3">
        <v>0.25</v>
      </c>
      <c r="T3">
        <v>0.25</v>
      </c>
      <c r="U3">
        <v>0.25</v>
      </c>
      <c r="Y3" t="s">
        <v>151</v>
      </c>
      <c r="Z3">
        <v>28.35</v>
      </c>
      <c r="AB3">
        <v>1.8399999999999999</v>
      </c>
      <c r="AC3">
        <v>8.09</v>
      </c>
      <c r="AD3">
        <v>4.7300000000000004</v>
      </c>
      <c r="AE3">
        <v>8.93</v>
      </c>
      <c r="AF3">
        <v>4.7600000000000007</v>
      </c>
    </row>
    <row r="4" spans="1:32" x14ac:dyDescent="0.3">
      <c r="A4" s="59" t="s">
        <v>13</v>
      </c>
      <c r="B4" s="60" t="s">
        <v>3059</v>
      </c>
      <c r="C4" s="61">
        <v>0.75</v>
      </c>
      <c r="D4" s="60" t="s">
        <v>3059</v>
      </c>
      <c r="E4" s="61">
        <v>0.75</v>
      </c>
      <c r="F4" s="60" t="s">
        <v>3059</v>
      </c>
      <c r="G4" s="61">
        <v>0.75</v>
      </c>
      <c r="H4" s="60" t="s">
        <v>3059</v>
      </c>
      <c r="I4" s="61">
        <v>0.75</v>
      </c>
      <c r="J4" s="78" t="s">
        <v>3059</v>
      </c>
      <c r="K4" s="79">
        <v>1.5</v>
      </c>
      <c r="O4" t="s">
        <v>54</v>
      </c>
      <c r="P4">
        <v>0</v>
      </c>
      <c r="R4">
        <v>0</v>
      </c>
      <c r="S4">
        <v>0</v>
      </c>
      <c r="T4">
        <v>0</v>
      </c>
      <c r="U4">
        <v>0</v>
      </c>
      <c r="Y4" t="s">
        <v>54</v>
      </c>
      <c r="Z4">
        <v>25.89</v>
      </c>
      <c r="AB4">
        <v>1.77</v>
      </c>
      <c r="AC4">
        <v>3.91</v>
      </c>
      <c r="AD4">
        <v>3.52</v>
      </c>
      <c r="AE4">
        <v>3.83</v>
      </c>
      <c r="AF4">
        <v>12.86</v>
      </c>
    </row>
    <row r="5" spans="1:32" x14ac:dyDescent="0.3">
      <c r="A5" s="59" t="s">
        <v>13</v>
      </c>
      <c r="B5" s="62" t="s">
        <v>3060</v>
      </c>
      <c r="C5" s="63">
        <v>2</v>
      </c>
      <c r="D5" s="64" t="s">
        <v>437</v>
      </c>
      <c r="E5" s="62">
        <v>1</v>
      </c>
      <c r="F5" s="62" t="s">
        <v>3060</v>
      </c>
      <c r="G5" s="62">
        <v>1</v>
      </c>
      <c r="H5" s="62" t="s">
        <v>3060</v>
      </c>
      <c r="I5" s="65">
        <v>5.75</v>
      </c>
      <c r="J5" s="80" t="s">
        <v>3060</v>
      </c>
      <c r="K5" s="81">
        <v>3.25</v>
      </c>
      <c r="O5" t="s">
        <v>3059</v>
      </c>
      <c r="P5">
        <v>18</v>
      </c>
      <c r="R5">
        <v>4.5</v>
      </c>
      <c r="S5">
        <v>4.5</v>
      </c>
      <c r="T5">
        <v>4.5</v>
      </c>
      <c r="U5">
        <v>4.5</v>
      </c>
      <c r="Y5" t="s">
        <v>3059</v>
      </c>
      <c r="Z5">
        <v>0</v>
      </c>
      <c r="AB5">
        <v>0</v>
      </c>
      <c r="AC5">
        <v>0</v>
      </c>
      <c r="AD5">
        <v>0</v>
      </c>
      <c r="AE5">
        <v>0</v>
      </c>
      <c r="AF5">
        <v>0</v>
      </c>
    </row>
    <row r="6" spans="1:32" x14ac:dyDescent="0.3">
      <c r="A6" s="59" t="s">
        <v>13</v>
      </c>
      <c r="B6" s="64" t="s">
        <v>437</v>
      </c>
      <c r="C6" s="62">
        <v>2.2999999999999998</v>
      </c>
      <c r="D6" s="62" t="s">
        <v>3061</v>
      </c>
      <c r="E6" s="62">
        <v>6</v>
      </c>
      <c r="F6" s="64" t="s">
        <v>437</v>
      </c>
      <c r="G6" s="62">
        <v>3.7</v>
      </c>
      <c r="H6" s="62" t="s">
        <v>3061</v>
      </c>
      <c r="I6" s="62">
        <v>1</v>
      </c>
      <c r="J6" s="80" t="s">
        <v>3061</v>
      </c>
      <c r="K6" s="77">
        <v>1</v>
      </c>
      <c r="O6" t="s">
        <v>437</v>
      </c>
      <c r="P6">
        <v>28</v>
      </c>
      <c r="R6">
        <v>7</v>
      </c>
      <c r="S6">
        <v>7</v>
      </c>
      <c r="T6">
        <v>7</v>
      </c>
      <c r="U6">
        <v>7</v>
      </c>
      <c r="Y6" t="s">
        <v>437</v>
      </c>
      <c r="Z6">
        <v>46.17</v>
      </c>
      <c r="AB6">
        <v>0</v>
      </c>
      <c r="AC6">
        <v>12.8</v>
      </c>
      <c r="AD6">
        <v>13.39</v>
      </c>
      <c r="AE6">
        <v>14.510000000000002</v>
      </c>
      <c r="AF6">
        <v>5.4700000000000006</v>
      </c>
    </row>
    <row r="7" spans="1:32" x14ac:dyDescent="0.3">
      <c r="A7" s="59" t="s">
        <v>13</v>
      </c>
      <c r="B7" s="62" t="s">
        <v>3061</v>
      </c>
      <c r="C7" s="62">
        <v>1</v>
      </c>
      <c r="D7" s="60"/>
      <c r="E7" s="60"/>
      <c r="F7" s="62" t="s">
        <v>3061</v>
      </c>
      <c r="G7" s="62">
        <v>2.2999999999999998</v>
      </c>
      <c r="H7" s="60" t="s">
        <v>156</v>
      </c>
      <c r="I7" s="60">
        <v>2</v>
      </c>
      <c r="J7" s="82" t="s">
        <v>3062</v>
      </c>
      <c r="K7" s="77">
        <v>1</v>
      </c>
      <c r="O7" t="s">
        <v>114</v>
      </c>
      <c r="P7">
        <v>0</v>
      </c>
      <c r="R7">
        <v>0</v>
      </c>
      <c r="S7">
        <v>0</v>
      </c>
      <c r="T7">
        <v>0</v>
      </c>
      <c r="U7">
        <v>0</v>
      </c>
      <c r="Y7" t="s">
        <v>114</v>
      </c>
      <c r="Z7">
        <v>30.6</v>
      </c>
      <c r="AB7">
        <v>2.1799999999999997</v>
      </c>
      <c r="AC7">
        <v>6.2</v>
      </c>
      <c r="AD7">
        <v>10.3</v>
      </c>
      <c r="AE7">
        <v>4</v>
      </c>
      <c r="AF7">
        <v>7.92</v>
      </c>
    </row>
    <row r="8" spans="1:32" x14ac:dyDescent="0.3">
      <c r="A8" s="59" t="s">
        <v>13</v>
      </c>
      <c r="B8" s="62" t="s">
        <v>151</v>
      </c>
      <c r="C8" s="62">
        <v>0.25</v>
      </c>
      <c r="D8" s="62"/>
      <c r="E8" s="62"/>
      <c r="F8" s="60"/>
      <c r="G8" s="60"/>
      <c r="H8" s="60"/>
      <c r="I8" s="60"/>
      <c r="J8" s="78"/>
      <c r="O8" t="s">
        <v>3061</v>
      </c>
      <c r="P8">
        <v>45.2</v>
      </c>
      <c r="R8">
        <v>11.3</v>
      </c>
      <c r="S8">
        <v>11.3</v>
      </c>
      <c r="T8">
        <v>11.3</v>
      </c>
      <c r="U8">
        <v>11.3</v>
      </c>
      <c r="Y8" t="s">
        <v>3061</v>
      </c>
      <c r="Z8">
        <v>0</v>
      </c>
      <c r="AB8">
        <v>0</v>
      </c>
      <c r="AC8">
        <v>0</v>
      </c>
      <c r="AD8">
        <v>0</v>
      </c>
      <c r="AE8">
        <v>0</v>
      </c>
      <c r="AF8">
        <v>0</v>
      </c>
    </row>
    <row r="9" spans="1:32" x14ac:dyDescent="0.3">
      <c r="A9" s="59" t="s">
        <v>13</v>
      </c>
      <c r="B9" s="64" t="s">
        <v>3063</v>
      </c>
      <c r="C9" s="62">
        <v>2</v>
      </c>
      <c r="D9" s="62"/>
      <c r="E9" s="62"/>
      <c r="F9" s="62"/>
      <c r="G9" s="62"/>
      <c r="H9" s="62"/>
      <c r="I9" s="62"/>
      <c r="J9" s="80"/>
      <c r="K9" s="77"/>
      <c r="O9" t="s">
        <v>162</v>
      </c>
      <c r="P9">
        <v>0</v>
      </c>
      <c r="R9">
        <v>0</v>
      </c>
      <c r="S9">
        <v>0</v>
      </c>
      <c r="T9">
        <v>0</v>
      </c>
      <c r="U9">
        <v>0</v>
      </c>
      <c r="Y9" t="s">
        <v>162</v>
      </c>
      <c r="Z9">
        <v>28.18</v>
      </c>
      <c r="AB9">
        <v>1.67</v>
      </c>
      <c r="AC9">
        <v>8.2100000000000009</v>
      </c>
      <c r="AD9">
        <v>5.6999999999999993</v>
      </c>
      <c r="AE9">
        <v>9.27</v>
      </c>
      <c r="AF9">
        <v>3.33</v>
      </c>
    </row>
    <row r="10" spans="1:32" x14ac:dyDescent="0.3">
      <c r="A10" s="59"/>
      <c r="B10" s="62"/>
      <c r="C10" s="62"/>
      <c r="D10" s="62"/>
      <c r="E10" s="62"/>
      <c r="F10" s="62"/>
      <c r="G10" s="62"/>
      <c r="H10" s="62"/>
      <c r="I10" s="62"/>
      <c r="J10" s="80"/>
      <c r="K10" s="77"/>
      <c r="O10" t="s">
        <v>3062</v>
      </c>
      <c r="P10">
        <v>4</v>
      </c>
      <c r="R10">
        <v>1</v>
      </c>
      <c r="S10">
        <v>1</v>
      </c>
      <c r="T10">
        <v>1</v>
      </c>
      <c r="U10">
        <v>1</v>
      </c>
      <c r="Y10" t="s">
        <v>3062</v>
      </c>
      <c r="Z10">
        <v>0</v>
      </c>
      <c r="AB10">
        <v>0</v>
      </c>
      <c r="AC10">
        <v>0</v>
      </c>
      <c r="AD10">
        <v>0</v>
      </c>
      <c r="AE10">
        <v>0</v>
      </c>
      <c r="AF10">
        <v>0</v>
      </c>
    </row>
    <row r="11" spans="1:32" x14ac:dyDescent="0.3">
      <c r="A11" s="58"/>
      <c r="B11" s="62"/>
      <c r="C11" s="62"/>
      <c r="D11" s="62"/>
      <c r="E11" s="62"/>
      <c r="F11" s="62"/>
      <c r="G11" s="62"/>
      <c r="H11" s="62"/>
      <c r="I11" s="62"/>
      <c r="J11" s="80"/>
      <c r="K11" s="77"/>
      <c r="O11" t="s">
        <v>156</v>
      </c>
      <c r="P11">
        <v>8</v>
      </c>
      <c r="R11">
        <v>2</v>
      </c>
      <c r="S11">
        <v>2</v>
      </c>
      <c r="T11">
        <v>2</v>
      </c>
      <c r="U11">
        <v>2</v>
      </c>
      <c r="Y11" t="s">
        <v>156</v>
      </c>
      <c r="Z11">
        <v>14.25</v>
      </c>
      <c r="AB11">
        <v>0.56999999999999995</v>
      </c>
      <c r="AC11">
        <v>1.65</v>
      </c>
      <c r="AD11">
        <v>4.4700000000000006</v>
      </c>
      <c r="AE11">
        <v>1.32</v>
      </c>
      <c r="AF11">
        <v>6.2400000000000011</v>
      </c>
    </row>
    <row r="12" spans="1:32" x14ac:dyDescent="0.3">
      <c r="A12" s="59" t="s">
        <v>14</v>
      </c>
      <c r="B12" s="60" t="s">
        <v>3059</v>
      </c>
      <c r="C12" s="61">
        <v>0.75</v>
      </c>
      <c r="D12" s="60" t="s">
        <v>3059</v>
      </c>
      <c r="E12" s="61">
        <v>0.75</v>
      </c>
      <c r="F12" s="60" t="s">
        <v>3059</v>
      </c>
      <c r="G12" s="61">
        <v>0.75</v>
      </c>
      <c r="H12" s="60" t="s">
        <v>3059</v>
      </c>
      <c r="I12" s="61">
        <v>0.75</v>
      </c>
      <c r="J12" s="78" t="s">
        <v>3059</v>
      </c>
      <c r="K12" s="79">
        <v>1.5</v>
      </c>
      <c r="O12" t="s">
        <v>3063</v>
      </c>
      <c r="P12">
        <v>8</v>
      </c>
      <c r="R12">
        <v>2</v>
      </c>
      <c r="S12">
        <v>2</v>
      </c>
      <c r="T12">
        <v>2</v>
      </c>
      <c r="U12">
        <v>2</v>
      </c>
      <c r="Y12" t="s">
        <v>3063</v>
      </c>
      <c r="Z12">
        <v>0</v>
      </c>
      <c r="AB12">
        <v>0</v>
      </c>
      <c r="AC12">
        <v>0</v>
      </c>
      <c r="AD12">
        <v>0</v>
      </c>
      <c r="AE12">
        <v>0</v>
      </c>
      <c r="AF12">
        <v>0</v>
      </c>
    </row>
    <row r="13" spans="1:32" x14ac:dyDescent="0.3">
      <c r="A13" s="59" t="s">
        <v>14</v>
      </c>
      <c r="B13" s="62" t="s">
        <v>3060</v>
      </c>
      <c r="C13" s="63">
        <v>2</v>
      </c>
      <c r="D13" s="64" t="s">
        <v>437</v>
      </c>
      <c r="E13" s="62">
        <v>1</v>
      </c>
      <c r="F13" s="62" t="s">
        <v>3060</v>
      </c>
      <c r="G13" s="62">
        <v>1</v>
      </c>
      <c r="H13" s="62" t="s">
        <v>3060</v>
      </c>
      <c r="I13" s="65">
        <v>5.75</v>
      </c>
      <c r="J13" s="80" t="s">
        <v>3060</v>
      </c>
      <c r="K13" s="81">
        <v>3.25</v>
      </c>
      <c r="O13" t="s">
        <v>483</v>
      </c>
      <c r="P13">
        <v>0</v>
      </c>
      <c r="R13">
        <v>0</v>
      </c>
      <c r="S13">
        <v>0</v>
      </c>
      <c r="T13">
        <v>0</v>
      </c>
      <c r="U13">
        <v>0</v>
      </c>
      <c r="Y13" t="s">
        <v>483</v>
      </c>
      <c r="Z13">
        <v>3.4700000000000006</v>
      </c>
      <c r="AB13">
        <v>0</v>
      </c>
      <c r="AC13">
        <v>0.2</v>
      </c>
      <c r="AD13">
        <v>0</v>
      </c>
      <c r="AE13">
        <v>0</v>
      </c>
      <c r="AF13">
        <v>3.2700000000000005</v>
      </c>
    </row>
    <row r="14" spans="1:32" x14ac:dyDescent="0.3">
      <c r="A14" s="59" t="s">
        <v>14</v>
      </c>
      <c r="B14" s="64" t="s">
        <v>437</v>
      </c>
      <c r="C14" s="62">
        <v>2.2999999999999998</v>
      </c>
      <c r="D14" s="62" t="s">
        <v>3061</v>
      </c>
      <c r="E14" s="62">
        <v>6</v>
      </c>
      <c r="F14" s="64" t="s">
        <v>437</v>
      </c>
      <c r="G14" s="62">
        <v>3.7</v>
      </c>
      <c r="H14" s="62" t="s">
        <v>3061</v>
      </c>
      <c r="I14" s="62">
        <v>1</v>
      </c>
      <c r="J14" s="80" t="s">
        <v>3061</v>
      </c>
      <c r="K14" s="77">
        <v>1</v>
      </c>
    </row>
    <row r="15" spans="1:32" x14ac:dyDescent="0.3">
      <c r="A15" s="59" t="s">
        <v>14</v>
      </c>
      <c r="B15" s="62" t="s">
        <v>3061</v>
      </c>
      <c r="C15" s="62">
        <v>1</v>
      </c>
      <c r="D15" s="60"/>
      <c r="E15" s="60"/>
      <c r="F15" s="62" t="s">
        <v>3061</v>
      </c>
      <c r="G15" s="62">
        <v>2.2999999999999998</v>
      </c>
      <c r="H15" s="60" t="s">
        <v>156</v>
      </c>
      <c r="I15" s="60">
        <v>2</v>
      </c>
      <c r="J15" s="82" t="s">
        <v>3062</v>
      </c>
      <c r="K15" s="77">
        <v>1</v>
      </c>
    </row>
    <row r="16" spans="1:32" x14ac:dyDescent="0.3">
      <c r="A16" s="59" t="s">
        <v>14</v>
      </c>
      <c r="B16" s="62" t="s">
        <v>151</v>
      </c>
      <c r="C16" s="62">
        <v>0.25</v>
      </c>
      <c r="D16" s="62"/>
      <c r="E16" s="62"/>
      <c r="F16" s="60"/>
      <c r="G16" s="60"/>
      <c r="H16" s="60"/>
      <c r="I16" s="60"/>
      <c r="J16" s="78"/>
    </row>
    <row r="17" spans="1:32" x14ac:dyDescent="0.3">
      <c r="A17" s="59" t="s">
        <v>14</v>
      </c>
      <c r="B17" s="64" t="s">
        <v>3063</v>
      </c>
      <c r="C17" s="62">
        <v>2</v>
      </c>
      <c r="D17" s="62"/>
      <c r="E17" s="62"/>
      <c r="F17" s="62"/>
      <c r="G17" s="62"/>
      <c r="H17" s="62"/>
      <c r="I17" s="62"/>
      <c r="J17" s="80"/>
      <c r="K17" s="77"/>
    </row>
    <row r="18" spans="1:32" x14ac:dyDescent="0.3">
      <c r="A18" s="59"/>
      <c r="B18" s="60"/>
      <c r="C18" s="60"/>
      <c r="D18" s="62"/>
      <c r="E18" s="62"/>
      <c r="F18" s="62"/>
      <c r="G18" s="62"/>
      <c r="H18" s="62"/>
      <c r="I18" s="62"/>
      <c r="J18" s="80"/>
      <c r="K18" s="77"/>
    </row>
    <row r="19" spans="1:32" x14ac:dyDescent="0.3">
      <c r="A19" s="58"/>
      <c r="B19" s="62"/>
      <c r="C19" s="62"/>
      <c r="D19" s="62"/>
      <c r="E19" s="62"/>
      <c r="F19" s="62"/>
      <c r="G19" s="62"/>
      <c r="H19" s="62"/>
      <c r="I19" s="62"/>
      <c r="J19" s="80"/>
      <c r="K19" s="77"/>
    </row>
    <row r="20" spans="1:32" x14ac:dyDescent="0.3">
      <c r="A20" s="58"/>
      <c r="B20" s="62"/>
      <c r="C20" s="62"/>
      <c r="D20" s="62"/>
      <c r="E20" s="62"/>
      <c r="F20" s="62"/>
      <c r="G20" s="62"/>
      <c r="H20" s="62"/>
      <c r="I20" s="62"/>
      <c r="J20" s="80"/>
      <c r="K20" s="77"/>
    </row>
    <row r="21" spans="1:32" x14ac:dyDescent="0.3">
      <c r="A21" s="59" t="s">
        <v>15</v>
      </c>
      <c r="B21" s="60" t="s">
        <v>3059</v>
      </c>
      <c r="C21" s="61">
        <v>0.75</v>
      </c>
      <c r="D21" s="60" t="s">
        <v>3059</v>
      </c>
      <c r="E21" s="61">
        <v>0.75</v>
      </c>
      <c r="F21" s="60" t="s">
        <v>3059</v>
      </c>
      <c r="G21" s="61">
        <v>0.75</v>
      </c>
      <c r="H21" s="60" t="s">
        <v>3059</v>
      </c>
      <c r="I21" s="61">
        <v>0.75</v>
      </c>
      <c r="J21" s="78" t="s">
        <v>3059</v>
      </c>
      <c r="K21" s="79">
        <v>1.5</v>
      </c>
    </row>
    <row r="22" spans="1:32" x14ac:dyDescent="0.3">
      <c r="A22" s="59" t="s">
        <v>15</v>
      </c>
      <c r="B22" s="62" t="s">
        <v>3060</v>
      </c>
      <c r="C22" s="63">
        <v>2</v>
      </c>
      <c r="D22" s="64" t="s">
        <v>437</v>
      </c>
      <c r="E22" s="62">
        <v>1</v>
      </c>
      <c r="F22" s="62" t="s">
        <v>3060</v>
      </c>
      <c r="G22" s="62">
        <v>1</v>
      </c>
      <c r="H22" s="62" t="s">
        <v>3060</v>
      </c>
      <c r="I22" s="65">
        <v>5.75</v>
      </c>
      <c r="J22" s="80" t="s">
        <v>3060</v>
      </c>
      <c r="K22" s="81">
        <v>3.25</v>
      </c>
    </row>
    <row r="23" spans="1:32" x14ac:dyDescent="0.3">
      <c r="A23" s="59" t="s">
        <v>15</v>
      </c>
      <c r="B23" s="64" t="s">
        <v>437</v>
      </c>
      <c r="C23" s="62">
        <v>2.2999999999999998</v>
      </c>
      <c r="D23" s="62" t="s">
        <v>3061</v>
      </c>
      <c r="E23" s="62">
        <v>6</v>
      </c>
      <c r="F23" s="64" t="s">
        <v>437</v>
      </c>
      <c r="G23" s="62">
        <v>3.7</v>
      </c>
      <c r="H23" s="62" t="s">
        <v>3061</v>
      </c>
      <c r="I23" s="62">
        <v>1</v>
      </c>
      <c r="J23" s="80" t="s">
        <v>3061</v>
      </c>
      <c r="K23" s="77">
        <v>1</v>
      </c>
      <c r="O23" t="s">
        <v>3143</v>
      </c>
      <c r="P23">
        <f>SUM(P2:P22)</f>
        <v>160.19999999999999</v>
      </c>
      <c r="R23">
        <f>SUM(R2:R22)</f>
        <v>40.049999999999997</v>
      </c>
      <c r="S23">
        <f>SUM(S2:S22)</f>
        <v>40.049999999999997</v>
      </c>
      <c r="T23">
        <f>SUM(T2:T22)</f>
        <v>40.049999999999997</v>
      </c>
      <c r="U23">
        <f>SUM(U2:U22)</f>
        <v>40.049999999999997</v>
      </c>
      <c r="Y23" t="s">
        <v>3143</v>
      </c>
      <c r="Z23">
        <f>SUM(Z2:Z22)</f>
        <v>176.91</v>
      </c>
      <c r="AB23">
        <f>SUM(AB2:AB22)</f>
        <v>8.0299999999999994</v>
      </c>
      <c r="AC23">
        <f>SUM(AC2:AC22)</f>
        <v>41.06</v>
      </c>
      <c r="AD23">
        <f>SUM(AD2:AD22)</f>
        <v>42.11</v>
      </c>
      <c r="AE23">
        <f>SUM(AE2:AE22)</f>
        <v>41.860000000000007</v>
      </c>
      <c r="AF23">
        <f>SUM(AF2:AF22)</f>
        <v>43.850000000000009</v>
      </c>
    </row>
    <row r="24" spans="1:32" x14ac:dyDescent="0.3">
      <c r="A24" s="59" t="s">
        <v>15</v>
      </c>
      <c r="B24" s="62" t="s">
        <v>3061</v>
      </c>
      <c r="C24" s="62">
        <v>1</v>
      </c>
      <c r="D24" s="60"/>
      <c r="E24" s="60"/>
      <c r="F24" s="62" t="s">
        <v>3061</v>
      </c>
      <c r="G24" s="62">
        <v>2.2999999999999998</v>
      </c>
      <c r="H24" s="60" t="s">
        <v>156</v>
      </c>
      <c r="I24" s="60">
        <v>2</v>
      </c>
      <c r="J24" s="82" t="s">
        <v>3062</v>
      </c>
      <c r="K24" s="77">
        <v>1</v>
      </c>
    </row>
    <row r="25" spans="1:32" x14ac:dyDescent="0.3">
      <c r="A25" s="59" t="s">
        <v>15</v>
      </c>
      <c r="B25" s="62" t="s">
        <v>151</v>
      </c>
      <c r="C25" s="62">
        <v>0.25</v>
      </c>
      <c r="D25" s="62"/>
      <c r="E25" s="62"/>
      <c r="F25" s="60"/>
      <c r="G25" s="60"/>
      <c r="H25" s="60"/>
      <c r="I25" s="60"/>
      <c r="J25" s="78"/>
    </row>
    <row r="26" spans="1:32" x14ac:dyDescent="0.3">
      <c r="A26" s="59" t="s">
        <v>15</v>
      </c>
      <c r="B26" s="64" t="s">
        <v>3063</v>
      </c>
      <c r="C26" s="62">
        <v>2</v>
      </c>
      <c r="D26" s="62"/>
      <c r="E26" s="62"/>
      <c r="F26" s="62"/>
      <c r="G26" s="62"/>
      <c r="H26" s="62"/>
      <c r="I26" s="62"/>
      <c r="J26" s="80"/>
      <c r="K26" s="77"/>
    </row>
    <row r="27" spans="1:32" x14ac:dyDescent="0.3">
      <c r="A27" s="58"/>
      <c r="B27" s="62"/>
      <c r="C27" s="62"/>
      <c r="D27" s="62"/>
      <c r="E27" s="62"/>
      <c r="F27" s="62"/>
      <c r="G27" s="62"/>
      <c r="H27" s="62"/>
      <c r="I27" s="62"/>
      <c r="J27" s="80"/>
      <c r="K27" s="77"/>
    </row>
    <row r="28" spans="1:32" x14ac:dyDescent="0.3">
      <c r="A28" s="58"/>
      <c r="B28" s="62"/>
      <c r="C28" s="62"/>
      <c r="D28" s="62"/>
      <c r="E28" s="62"/>
      <c r="F28" s="62"/>
      <c r="G28" s="62"/>
      <c r="H28" s="62"/>
      <c r="I28" s="62"/>
      <c r="J28" s="80"/>
      <c r="K28" s="77"/>
    </row>
    <row r="29" spans="1:32" x14ac:dyDescent="0.3">
      <c r="A29" s="59" t="s">
        <v>16</v>
      </c>
      <c r="B29" s="60" t="s">
        <v>3059</v>
      </c>
      <c r="C29" s="61">
        <v>0.75</v>
      </c>
      <c r="D29" s="60" t="s">
        <v>3059</v>
      </c>
      <c r="E29" s="61">
        <v>0.75</v>
      </c>
      <c r="F29" s="60" t="s">
        <v>3059</v>
      </c>
      <c r="G29" s="61">
        <v>0.75</v>
      </c>
      <c r="H29" s="60" t="s">
        <v>3059</v>
      </c>
      <c r="I29" s="61">
        <v>0.75</v>
      </c>
      <c r="J29" s="78" t="s">
        <v>3059</v>
      </c>
      <c r="K29" s="79">
        <v>1.5</v>
      </c>
    </row>
    <row r="30" spans="1:32" x14ac:dyDescent="0.3">
      <c r="A30" s="59" t="s">
        <v>16</v>
      </c>
      <c r="B30" s="62" t="s">
        <v>3060</v>
      </c>
      <c r="C30" s="63">
        <v>2</v>
      </c>
      <c r="D30" s="64" t="s">
        <v>437</v>
      </c>
      <c r="E30" s="62">
        <v>1</v>
      </c>
      <c r="F30" s="62" t="s">
        <v>3060</v>
      </c>
      <c r="G30" s="62">
        <v>1</v>
      </c>
      <c r="H30" s="62" t="s">
        <v>3060</v>
      </c>
      <c r="I30" s="65">
        <v>5.75</v>
      </c>
      <c r="J30" s="80" t="s">
        <v>3060</v>
      </c>
      <c r="K30" s="81">
        <v>3.25</v>
      </c>
    </row>
    <row r="31" spans="1:32" x14ac:dyDescent="0.3">
      <c r="A31" s="59" t="s">
        <v>16</v>
      </c>
      <c r="B31" s="64" t="s">
        <v>437</v>
      </c>
      <c r="C31" s="62">
        <v>2.2999999999999998</v>
      </c>
      <c r="D31" s="62" t="s">
        <v>3061</v>
      </c>
      <c r="E31" s="62">
        <v>6</v>
      </c>
      <c r="F31" s="64" t="s">
        <v>437</v>
      </c>
      <c r="G31" s="62">
        <v>3.7</v>
      </c>
      <c r="H31" s="62" t="s">
        <v>3061</v>
      </c>
      <c r="I31" s="62">
        <v>1</v>
      </c>
      <c r="J31" s="80" t="s">
        <v>3061</v>
      </c>
      <c r="K31" s="77">
        <v>1</v>
      </c>
    </row>
    <row r="32" spans="1:32" x14ac:dyDescent="0.3">
      <c r="A32" s="59" t="s">
        <v>16</v>
      </c>
      <c r="B32" s="62" t="s">
        <v>3061</v>
      </c>
      <c r="C32" s="62">
        <v>1</v>
      </c>
      <c r="D32" s="60"/>
      <c r="E32" s="60"/>
      <c r="F32" s="62" t="s">
        <v>3061</v>
      </c>
      <c r="G32" s="62">
        <v>2.2999999999999998</v>
      </c>
      <c r="H32" s="60" t="s">
        <v>156</v>
      </c>
      <c r="I32" s="60">
        <v>2</v>
      </c>
      <c r="J32" s="82" t="s">
        <v>3062</v>
      </c>
      <c r="K32" s="77">
        <v>1</v>
      </c>
    </row>
    <row r="33" spans="1:13" x14ac:dyDescent="0.3">
      <c r="A33" s="59" t="s">
        <v>16</v>
      </c>
      <c r="B33" s="62" t="s">
        <v>151</v>
      </c>
      <c r="C33" s="62">
        <v>0.25</v>
      </c>
      <c r="D33" s="62"/>
      <c r="E33" s="62"/>
      <c r="F33" s="60"/>
      <c r="G33" s="60"/>
      <c r="H33" s="60"/>
      <c r="I33" s="60"/>
      <c r="J33" s="78"/>
    </row>
    <row r="34" spans="1:13" x14ac:dyDescent="0.3">
      <c r="A34" s="59" t="s">
        <v>16</v>
      </c>
      <c r="B34" s="64" t="s">
        <v>3063</v>
      </c>
      <c r="C34" s="62">
        <v>2</v>
      </c>
      <c r="D34" s="62"/>
      <c r="E34" s="62"/>
      <c r="F34" s="62"/>
      <c r="G34" s="62"/>
      <c r="H34" s="62"/>
      <c r="I34" s="62"/>
      <c r="J34" s="80"/>
      <c r="K34" s="77"/>
    </row>
    <row r="35" spans="1:13" x14ac:dyDescent="0.3">
      <c r="A35" s="2"/>
      <c r="B35" s="5"/>
      <c r="C35" s="3"/>
      <c r="D35" s="3"/>
      <c r="E35" s="3"/>
      <c r="F35" s="3"/>
      <c r="G35" s="3"/>
      <c r="H35" s="5"/>
      <c r="I35" s="3"/>
      <c r="J35" s="84"/>
    </row>
    <row r="37" spans="1:13" x14ac:dyDescent="0.3">
      <c r="A37" s="2" t="s">
        <v>17</v>
      </c>
      <c r="L37" s="1" t="s">
        <v>3144</v>
      </c>
      <c r="M37" s="1">
        <v>176.91</v>
      </c>
    </row>
    <row r="38" spans="1:13" x14ac:dyDescent="0.3">
      <c r="B38" s="1" t="s">
        <v>378</v>
      </c>
      <c r="D38" s="1" t="s">
        <v>576</v>
      </c>
      <c r="F38" s="1" t="s">
        <v>747</v>
      </c>
      <c r="H38" s="17" t="s">
        <v>897</v>
      </c>
      <c r="J38" s="86" t="s">
        <v>33</v>
      </c>
    </row>
    <row r="39" spans="1:13" x14ac:dyDescent="0.3">
      <c r="A39" s="19" t="s">
        <v>13</v>
      </c>
      <c r="J39" s="83" t="s">
        <v>151</v>
      </c>
      <c r="K39" s="83">
        <v>1.8399999999999999</v>
      </c>
    </row>
    <row r="40" spans="1:13" x14ac:dyDescent="0.3">
      <c r="A40" s="19" t="s">
        <v>13</v>
      </c>
      <c r="J40" s="83" t="s">
        <v>54</v>
      </c>
      <c r="K40" s="83">
        <v>1.77</v>
      </c>
    </row>
    <row r="41" spans="1:13" x14ac:dyDescent="0.3">
      <c r="A41" s="19" t="s">
        <v>13</v>
      </c>
      <c r="J41" s="83" t="s">
        <v>114</v>
      </c>
      <c r="K41" s="83">
        <v>2.1799999999999997</v>
      </c>
    </row>
    <row r="42" spans="1:13" x14ac:dyDescent="0.3">
      <c r="A42" s="19" t="s">
        <v>13</v>
      </c>
      <c r="J42" s="83" t="s">
        <v>162</v>
      </c>
      <c r="K42" s="83">
        <v>1.67</v>
      </c>
    </row>
    <row r="43" spans="1:13" x14ac:dyDescent="0.3">
      <c r="A43" s="19" t="s">
        <v>13</v>
      </c>
      <c r="J43" s="83" t="s">
        <v>156</v>
      </c>
      <c r="K43" s="83">
        <v>0.56999999999999995</v>
      </c>
    </row>
    <row r="46" spans="1:13" x14ac:dyDescent="0.3">
      <c r="A46" s="19" t="s">
        <v>14</v>
      </c>
      <c r="B46" t="s">
        <v>151</v>
      </c>
      <c r="C46">
        <v>2.9699999999999998</v>
      </c>
      <c r="D46" t="s">
        <v>151</v>
      </c>
      <c r="E46">
        <v>1.53</v>
      </c>
      <c r="F46" t="s">
        <v>151</v>
      </c>
      <c r="G46">
        <v>1.81</v>
      </c>
      <c r="H46" s="18" t="s">
        <v>151</v>
      </c>
      <c r="I46">
        <v>1.78</v>
      </c>
      <c r="J46" s="83" t="s">
        <v>54</v>
      </c>
      <c r="K46" s="83">
        <v>0.78</v>
      </c>
    </row>
    <row r="47" spans="1:13" x14ac:dyDescent="0.3">
      <c r="A47" s="19" t="s">
        <v>14</v>
      </c>
      <c r="B47" t="s">
        <v>54</v>
      </c>
      <c r="C47">
        <v>0.15</v>
      </c>
      <c r="D47" t="s">
        <v>54</v>
      </c>
      <c r="E47">
        <v>2.0100000000000002</v>
      </c>
      <c r="F47" t="s">
        <v>54</v>
      </c>
      <c r="G47">
        <v>0.97</v>
      </c>
      <c r="H47" s="18" t="s">
        <v>114</v>
      </c>
      <c r="I47">
        <v>4.3599999999999994</v>
      </c>
      <c r="J47" s="83" t="s">
        <v>437</v>
      </c>
      <c r="K47" s="83">
        <v>5.5</v>
      </c>
    </row>
    <row r="48" spans="1:13" x14ac:dyDescent="0.3">
      <c r="A48" s="19" t="s">
        <v>14</v>
      </c>
      <c r="B48" t="s">
        <v>437</v>
      </c>
      <c r="C48">
        <v>3.69</v>
      </c>
      <c r="D48" t="s">
        <v>437</v>
      </c>
      <c r="E48">
        <v>0.96</v>
      </c>
      <c r="F48" t="s">
        <v>437</v>
      </c>
      <c r="G48">
        <v>2.6500000000000004</v>
      </c>
      <c r="H48" s="18" t="s">
        <v>162</v>
      </c>
      <c r="I48">
        <v>2.23</v>
      </c>
      <c r="J48" s="83" t="s">
        <v>114</v>
      </c>
      <c r="K48" s="83">
        <v>0.48</v>
      </c>
    </row>
    <row r="49" spans="1:11" x14ac:dyDescent="0.3">
      <c r="A49" s="19" t="s">
        <v>14</v>
      </c>
      <c r="B49" t="s">
        <v>114</v>
      </c>
      <c r="C49">
        <v>0.63</v>
      </c>
      <c r="D49" t="s">
        <v>162</v>
      </c>
      <c r="E49">
        <v>2.88</v>
      </c>
      <c r="F49" t="s">
        <v>114</v>
      </c>
      <c r="G49">
        <v>0.73</v>
      </c>
      <c r="J49" s="83" t="s">
        <v>162</v>
      </c>
      <c r="K49" s="83">
        <v>1.68</v>
      </c>
    </row>
    <row r="50" spans="1:11" x14ac:dyDescent="0.3">
      <c r="A50" s="19" t="s">
        <v>14</v>
      </c>
      <c r="B50" t="s">
        <v>162</v>
      </c>
      <c r="C50">
        <v>0.27</v>
      </c>
      <c r="D50" t="s">
        <v>156</v>
      </c>
      <c r="E50">
        <v>0.6</v>
      </c>
      <c r="F50" t="s">
        <v>162</v>
      </c>
      <c r="G50">
        <v>1.1499999999999999</v>
      </c>
      <c r="J50" s="83" t="s">
        <v>483</v>
      </c>
      <c r="K50" s="83">
        <v>0.2</v>
      </c>
    </row>
    <row r="51" spans="1:11" x14ac:dyDescent="0.3">
      <c r="A51" s="19" t="s">
        <v>14</v>
      </c>
      <c r="B51" t="s">
        <v>156</v>
      </c>
      <c r="C51">
        <v>0.37</v>
      </c>
      <c r="F51" t="s">
        <v>156</v>
      </c>
      <c r="G51">
        <v>0.68</v>
      </c>
    </row>
    <row r="54" spans="1:11" x14ac:dyDescent="0.3">
      <c r="A54" s="19" t="s">
        <v>15</v>
      </c>
      <c r="B54" t="s">
        <v>151</v>
      </c>
      <c r="C54">
        <v>1.78</v>
      </c>
      <c r="D54" t="s">
        <v>151</v>
      </c>
      <c r="E54">
        <v>2.37</v>
      </c>
      <c r="F54" t="s">
        <v>54</v>
      </c>
      <c r="G54">
        <v>0.22</v>
      </c>
      <c r="H54" s="18" t="s">
        <v>54</v>
      </c>
      <c r="I54">
        <v>1.6500000000000001</v>
      </c>
      <c r="J54" s="83" t="s">
        <v>151</v>
      </c>
      <c r="K54" s="83">
        <v>0.58000000000000007</v>
      </c>
    </row>
    <row r="55" spans="1:11" x14ac:dyDescent="0.3">
      <c r="A55" s="19" t="s">
        <v>15</v>
      </c>
      <c r="B55" t="s">
        <v>54</v>
      </c>
      <c r="C55">
        <v>1.23</v>
      </c>
      <c r="D55" t="s">
        <v>54</v>
      </c>
      <c r="E55">
        <v>0.17</v>
      </c>
      <c r="F55" t="s">
        <v>437</v>
      </c>
      <c r="G55">
        <v>5.74</v>
      </c>
      <c r="H55" s="18" t="s">
        <v>114</v>
      </c>
      <c r="I55">
        <v>2.96</v>
      </c>
      <c r="J55" s="83" t="s">
        <v>54</v>
      </c>
      <c r="K55" s="83">
        <v>0.25</v>
      </c>
    </row>
    <row r="56" spans="1:11" x14ac:dyDescent="0.3">
      <c r="A56" s="19" t="s">
        <v>15</v>
      </c>
      <c r="B56" t="s">
        <v>437</v>
      </c>
      <c r="C56">
        <v>1.1200000000000001</v>
      </c>
      <c r="D56" t="s">
        <v>437</v>
      </c>
      <c r="E56">
        <v>3.45</v>
      </c>
      <c r="F56" t="s">
        <v>114</v>
      </c>
      <c r="G56">
        <v>1.82</v>
      </c>
      <c r="H56" s="18" t="s">
        <v>156</v>
      </c>
      <c r="I56">
        <v>4.4700000000000006</v>
      </c>
      <c r="J56" s="83" t="s">
        <v>437</v>
      </c>
      <c r="K56" s="83">
        <v>3.08</v>
      </c>
    </row>
    <row r="57" spans="1:11" x14ac:dyDescent="0.3">
      <c r="A57" s="19" t="s">
        <v>15</v>
      </c>
      <c r="B57" t="s">
        <v>114</v>
      </c>
      <c r="C57">
        <v>4.24</v>
      </c>
      <c r="D57" t="s">
        <v>114</v>
      </c>
      <c r="E57">
        <v>0.5</v>
      </c>
      <c r="F57" t="s">
        <v>162</v>
      </c>
      <c r="G57">
        <v>0.8</v>
      </c>
      <c r="J57" s="83" t="s">
        <v>114</v>
      </c>
      <c r="K57" s="83">
        <v>0.78</v>
      </c>
    </row>
    <row r="58" spans="1:11" x14ac:dyDescent="0.3">
      <c r="A58" s="19" t="s">
        <v>15</v>
      </c>
      <c r="D58" t="s">
        <v>162</v>
      </c>
      <c r="E58">
        <v>1.6</v>
      </c>
      <c r="J58" s="83" t="s">
        <v>162</v>
      </c>
      <c r="K58" s="83">
        <v>3.3</v>
      </c>
    </row>
    <row r="61" spans="1:11" x14ac:dyDescent="0.3">
      <c r="A61" s="19" t="s">
        <v>16</v>
      </c>
      <c r="B61" t="s">
        <v>151</v>
      </c>
      <c r="C61">
        <v>3.3499999999999996</v>
      </c>
      <c r="D61" t="s">
        <v>151</v>
      </c>
      <c r="E61">
        <v>2.0499999999999998</v>
      </c>
      <c r="F61" t="s">
        <v>151</v>
      </c>
      <c r="G61">
        <v>0.57999999999999996</v>
      </c>
      <c r="H61" s="18" t="s">
        <v>151</v>
      </c>
      <c r="I61">
        <v>1.9</v>
      </c>
      <c r="J61" s="83" t="s">
        <v>151</v>
      </c>
      <c r="K61" s="83">
        <v>1.05</v>
      </c>
    </row>
    <row r="62" spans="1:11" x14ac:dyDescent="0.3">
      <c r="A62" s="19" t="s">
        <v>16</v>
      </c>
      <c r="B62" t="s">
        <v>54</v>
      </c>
      <c r="C62">
        <v>1.97</v>
      </c>
      <c r="D62" t="s">
        <v>54</v>
      </c>
      <c r="E62">
        <v>0.4</v>
      </c>
      <c r="F62" t="s">
        <v>437</v>
      </c>
      <c r="G62">
        <v>5.6099999999999994</v>
      </c>
      <c r="H62" s="18" t="s">
        <v>54</v>
      </c>
      <c r="I62">
        <v>0.18</v>
      </c>
      <c r="J62" s="83" t="s">
        <v>54</v>
      </c>
      <c r="K62" s="83">
        <v>1.28</v>
      </c>
    </row>
    <row r="63" spans="1:11" x14ac:dyDescent="0.3">
      <c r="A63" s="19" t="s">
        <v>16</v>
      </c>
      <c r="B63" t="s">
        <v>437</v>
      </c>
      <c r="C63">
        <v>3.25</v>
      </c>
      <c r="D63" t="s">
        <v>162</v>
      </c>
      <c r="E63">
        <v>6</v>
      </c>
      <c r="F63" t="s">
        <v>114</v>
      </c>
      <c r="G63">
        <v>0.13</v>
      </c>
      <c r="H63" s="18" t="s">
        <v>437</v>
      </c>
      <c r="I63">
        <v>2</v>
      </c>
      <c r="J63" s="83" t="s">
        <v>437</v>
      </c>
      <c r="K63" s="83">
        <v>3.65</v>
      </c>
    </row>
    <row r="64" spans="1:11" x14ac:dyDescent="0.3">
      <c r="A64" s="19" t="s">
        <v>16</v>
      </c>
      <c r="B64" t="s">
        <v>114</v>
      </c>
      <c r="C64">
        <v>0.25</v>
      </c>
      <c r="F64" t="s">
        <v>162</v>
      </c>
      <c r="G64">
        <v>1.67</v>
      </c>
      <c r="H64" s="18" t="s">
        <v>114</v>
      </c>
      <c r="I64">
        <v>2.87</v>
      </c>
      <c r="J64" s="83" t="s">
        <v>114</v>
      </c>
      <c r="K64" s="83">
        <v>0.75</v>
      </c>
    </row>
    <row r="65" spans="1:11" x14ac:dyDescent="0.3">
      <c r="A65" s="19" t="s">
        <v>16</v>
      </c>
      <c r="H65" s="18" t="s">
        <v>162</v>
      </c>
      <c r="I65">
        <v>0.35</v>
      </c>
      <c r="J65" s="83" t="s">
        <v>162</v>
      </c>
      <c r="K65" s="83">
        <v>1.25</v>
      </c>
    </row>
    <row r="66" spans="1:11" x14ac:dyDescent="0.3">
      <c r="A66" s="19" t="s">
        <v>16</v>
      </c>
      <c r="H66" s="18" t="s">
        <v>156</v>
      </c>
      <c r="I66">
        <v>0.7</v>
      </c>
      <c r="J66" s="83" t="s">
        <v>156</v>
      </c>
      <c r="K66" s="83">
        <v>0.62</v>
      </c>
    </row>
    <row r="69" spans="1:11" x14ac:dyDescent="0.3">
      <c r="A69" s="19" t="s">
        <v>18</v>
      </c>
      <c r="B69" t="s">
        <v>151</v>
      </c>
      <c r="C69">
        <v>1.88</v>
      </c>
      <c r="D69" t="s">
        <v>151</v>
      </c>
      <c r="E69">
        <v>0.68</v>
      </c>
      <c r="F69" t="s">
        <v>151</v>
      </c>
      <c r="G69">
        <v>0.32</v>
      </c>
      <c r="H69" s="18" t="s">
        <v>151</v>
      </c>
      <c r="I69">
        <v>1.8800000000000001</v>
      </c>
      <c r="J69" s="83" t="s">
        <v>54</v>
      </c>
      <c r="K69" s="83">
        <v>8</v>
      </c>
    </row>
    <row r="70" spans="1:11" x14ac:dyDescent="0.3">
      <c r="A70" s="19" t="s">
        <v>18</v>
      </c>
      <c r="B70" t="s">
        <v>54</v>
      </c>
      <c r="C70">
        <v>1.54</v>
      </c>
      <c r="D70" t="s">
        <v>54</v>
      </c>
      <c r="E70">
        <v>0.67</v>
      </c>
      <c r="F70" t="s">
        <v>54</v>
      </c>
      <c r="G70">
        <v>1.92</v>
      </c>
      <c r="H70" s="18" t="s">
        <v>54</v>
      </c>
      <c r="I70">
        <v>0.73</v>
      </c>
    </row>
    <row r="71" spans="1:11" x14ac:dyDescent="0.3">
      <c r="A71" s="19" t="s">
        <v>18</v>
      </c>
      <c r="B71" t="s">
        <v>437</v>
      </c>
      <c r="C71">
        <v>2.73</v>
      </c>
      <c r="D71" t="s">
        <v>437</v>
      </c>
      <c r="E71">
        <v>1.5</v>
      </c>
      <c r="F71" t="s">
        <v>437</v>
      </c>
      <c r="G71">
        <v>1.24</v>
      </c>
      <c r="H71" s="18" t="s">
        <v>114</v>
      </c>
      <c r="I71">
        <v>4.4399999999999995</v>
      </c>
    </row>
    <row r="72" spans="1:11" x14ac:dyDescent="0.3">
      <c r="A72" s="19" t="s">
        <v>18</v>
      </c>
      <c r="B72" t="s">
        <v>114</v>
      </c>
      <c r="C72">
        <v>0.82</v>
      </c>
      <c r="D72" t="s">
        <v>114</v>
      </c>
      <c r="E72">
        <v>1.48</v>
      </c>
      <c r="F72" t="s">
        <v>114</v>
      </c>
      <c r="G72">
        <v>1.18</v>
      </c>
      <c r="H72" s="18" t="s">
        <v>162</v>
      </c>
      <c r="I72">
        <v>0.37</v>
      </c>
    </row>
    <row r="73" spans="1:11" x14ac:dyDescent="0.3">
      <c r="A73" s="19" t="s">
        <v>18</v>
      </c>
      <c r="B73" t="s">
        <v>162</v>
      </c>
      <c r="C73">
        <v>0.78999999999999992</v>
      </c>
      <c r="D73" t="s">
        <v>162</v>
      </c>
      <c r="E73">
        <v>1.1200000000000001</v>
      </c>
      <c r="F73" t="s">
        <v>162</v>
      </c>
      <c r="G73">
        <v>1.05</v>
      </c>
      <c r="H73" s="18" t="s">
        <v>156</v>
      </c>
      <c r="I73">
        <v>1.7600000000000002</v>
      </c>
    </row>
    <row r="74" spans="1:11" x14ac:dyDescent="0.3">
      <c r="A74" s="19" t="s">
        <v>18</v>
      </c>
      <c r="B74" t="s">
        <v>156</v>
      </c>
      <c r="C74">
        <v>0.83</v>
      </c>
      <c r="D74" t="s">
        <v>156</v>
      </c>
      <c r="E74">
        <v>0.7</v>
      </c>
      <c r="F74" t="s">
        <v>156</v>
      </c>
      <c r="G74">
        <v>2.95</v>
      </c>
    </row>
    <row r="75" spans="1:11" x14ac:dyDescent="0.3">
      <c r="A75" s="19" t="s">
        <v>18</v>
      </c>
      <c r="B75" t="s">
        <v>483</v>
      </c>
      <c r="C75">
        <v>0.55000000000000004</v>
      </c>
      <c r="D75" t="s">
        <v>483</v>
      </c>
      <c r="E75">
        <v>2.72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C1299D1-0D10-4B9F-BCFC-86DFA429A13A}">
          <x14:formula1>
            <xm:f>'Client Name'!$A:$A</xm:f>
          </x14:formula1>
          <xm:sqref>J4:J35 F4:F35 H4:H35 D4:D35 B4:B35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BE965-82C3-46DB-A1B6-86D83AEA0BAB}">
  <sheetPr codeName="Sheet24"/>
  <dimension ref="A1:AF411"/>
  <sheetViews>
    <sheetView zoomScale="70" zoomScaleNormal="70" workbookViewId="0">
      <selection activeCell="L1" sqref="L1"/>
    </sheetView>
  </sheetViews>
  <sheetFormatPr defaultRowHeight="14.4" x14ac:dyDescent="0.3"/>
  <cols>
    <col min="1" max="1" width="9.109375" style="19"/>
    <col min="2" max="2" width="46" bestFit="1" customWidth="1"/>
    <col min="3" max="3" width="6.33203125" bestFit="1" customWidth="1"/>
    <col min="4" max="4" width="26.88671875" bestFit="1" customWidth="1"/>
    <col min="5" max="5" width="6.33203125" bestFit="1" customWidth="1"/>
    <col min="6" max="6" width="26.88671875" bestFit="1" customWidth="1"/>
    <col min="7" max="7" width="6.33203125" bestFit="1" customWidth="1"/>
    <col min="8" max="8" width="26.88671875" style="18" bestFit="1" customWidth="1"/>
    <col min="9" max="9" width="6.33203125" bestFit="1" customWidth="1"/>
    <col min="10" max="10" width="26.88671875" bestFit="1" customWidth="1"/>
    <col min="11" max="11" width="14" customWidth="1"/>
  </cols>
  <sheetData>
    <row r="1" spans="1:32" ht="37.200000000000003" customHeight="1" thickBot="1" x14ac:dyDescent="0.35">
      <c r="A1" s="47" t="s">
        <v>3051</v>
      </c>
      <c r="B1" s="48" t="s">
        <v>113</v>
      </c>
      <c r="C1" s="14"/>
      <c r="D1" s="14"/>
      <c r="E1" s="14"/>
      <c r="F1" s="14"/>
      <c r="G1" s="14"/>
      <c r="H1" s="4"/>
      <c r="I1" s="14"/>
      <c r="J1" s="14"/>
      <c r="K1" s="14"/>
      <c r="L1" s="1" t="s">
        <v>3144</v>
      </c>
      <c r="M1">
        <v>128</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3064</v>
      </c>
      <c r="P2">
        <v>10</v>
      </c>
      <c r="R2">
        <v>2.5</v>
      </c>
      <c r="S2">
        <v>2.5</v>
      </c>
      <c r="T2">
        <v>2.5</v>
      </c>
      <c r="U2">
        <v>2.5</v>
      </c>
      <c r="Y2" t="s">
        <v>3064</v>
      </c>
      <c r="Z2">
        <v>0</v>
      </c>
      <c r="AB2">
        <v>0</v>
      </c>
      <c r="AC2">
        <v>0</v>
      </c>
      <c r="AD2">
        <v>0</v>
      </c>
      <c r="AE2">
        <v>0</v>
      </c>
      <c r="AF2">
        <v>0</v>
      </c>
    </row>
    <row r="3" spans="1:32" x14ac:dyDescent="0.3">
      <c r="A3" s="2"/>
      <c r="B3" s="2" t="s">
        <v>378</v>
      </c>
      <c r="C3" s="2"/>
      <c r="D3" s="2" t="s">
        <v>576</v>
      </c>
      <c r="E3" s="2"/>
      <c r="F3" s="2" t="s">
        <v>747</v>
      </c>
      <c r="G3" s="2"/>
      <c r="H3" s="4" t="s">
        <v>897</v>
      </c>
      <c r="I3" s="2"/>
      <c r="J3" s="14" t="s">
        <v>33</v>
      </c>
      <c r="O3" t="s">
        <v>137</v>
      </c>
      <c r="P3">
        <v>2</v>
      </c>
      <c r="R3">
        <v>0.5</v>
      </c>
      <c r="S3">
        <v>0.5</v>
      </c>
      <c r="T3">
        <v>0.5</v>
      </c>
      <c r="U3">
        <v>0.5</v>
      </c>
      <c r="Y3" t="s">
        <v>137</v>
      </c>
      <c r="Z3">
        <v>4.1300000000000008</v>
      </c>
      <c r="AB3">
        <v>0</v>
      </c>
      <c r="AC3">
        <v>0</v>
      </c>
      <c r="AD3">
        <v>1.87</v>
      </c>
      <c r="AE3">
        <v>0.45</v>
      </c>
      <c r="AF3">
        <v>1.81</v>
      </c>
    </row>
    <row r="4" spans="1:32" x14ac:dyDescent="0.3">
      <c r="A4" s="2" t="s">
        <v>13</v>
      </c>
      <c r="B4" s="5" t="s">
        <v>127</v>
      </c>
      <c r="C4" s="3">
        <v>1</v>
      </c>
      <c r="D4" s="15" t="s">
        <v>185</v>
      </c>
      <c r="E4" s="3">
        <v>1</v>
      </c>
      <c r="F4" s="51" t="s">
        <v>81</v>
      </c>
      <c r="G4" s="3">
        <v>1</v>
      </c>
      <c r="H4" s="51" t="s">
        <v>81</v>
      </c>
      <c r="I4" s="3">
        <v>7</v>
      </c>
      <c r="J4" s="5" t="s">
        <v>127</v>
      </c>
      <c r="K4">
        <v>1</v>
      </c>
      <c r="O4" t="s">
        <v>81</v>
      </c>
      <c r="P4">
        <v>32</v>
      </c>
      <c r="R4">
        <v>8</v>
      </c>
      <c r="S4">
        <v>8</v>
      </c>
      <c r="T4">
        <v>8</v>
      </c>
      <c r="U4">
        <v>8</v>
      </c>
      <c r="Y4" t="s">
        <v>81</v>
      </c>
      <c r="Z4">
        <v>30.68</v>
      </c>
      <c r="AB4">
        <v>0.47</v>
      </c>
      <c r="AC4">
        <v>4.59</v>
      </c>
      <c r="AD4">
        <v>7.0600000000000005</v>
      </c>
      <c r="AE4">
        <v>10.76</v>
      </c>
      <c r="AF4">
        <v>7.7999999999999989</v>
      </c>
    </row>
    <row r="5" spans="1:32" x14ac:dyDescent="0.3">
      <c r="A5" s="2" t="s">
        <v>13</v>
      </c>
      <c r="B5" s="5" t="s">
        <v>48</v>
      </c>
      <c r="C5" s="3">
        <v>0.5</v>
      </c>
      <c r="D5" s="51" t="s">
        <v>116</v>
      </c>
      <c r="E5" s="3">
        <v>1</v>
      </c>
      <c r="F5" s="5" t="s">
        <v>127</v>
      </c>
      <c r="G5" s="3">
        <v>1</v>
      </c>
      <c r="H5" s="15" t="s">
        <v>54</v>
      </c>
      <c r="I5" s="3">
        <v>0.5</v>
      </c>
      <c r="J5" s="29" t="s">
        <v>195</v>
      </c>
      <c r="K5">
        <v>2</v>
      </c>
      <c r="O5" t="s">
        <v>291</v>
      </c>
      <c r="P5">
        <v>2</v>
      </c>
      <c r="R5">
        <v>0.5</v>
      </c>
      <c r="S5">
        <v>0.5</v>
      </c>
      <c r="T5">
        <v>0.5</v>
      </c>
      <c r="U5">
        <v>0.5</v>
      </c>
      <c r="Y5" t="s">
        <v>291</v>
      </c>
      <c r="Z5">
        <v>0.44</v>
      </c>
      <c r="AB5">
        <v>0</v>
      </c>
      <c r="AC5">
        <v>0</v>
      </c>
      <c r="AD5">
        <v>0.22</v>
      </c>
      <c r="AE5">
        <v>0</v>
      </c>
      <c r="AF5">
        <v>0.22</v>
      </c>
    </row>
    <row r="6" spans="1:32" x14ac:dyDescent="0.3">
      <c r="A6" s="2" t="s">
        <v>13</v>
      </c>
      <c r="B6" s="5" t="s">
        <v>3064</v>
      </c>
      <c r="C6" s="3">
        <v>0.5</v>
      </c>
      <c r="D6" s="51" t="s">
        <v>3064</v>
      </c>
      <c r="E6" s="3">
        <v>1</v>
      </c>
      <c r="F6" s="15" t="s">
        <v>195</v>
      </c>
      <c r="G6" s="3">
        <v>1</v>
      </c>
      <c r="H6" s="15"/>
      <c r="I6" s="3"/>
      <c r="J6" s="5" t="s">
        <v>3064</v>
      </c>
      <c r="K6">
        <v>0.5</v>
      </c>
      <c r="O6" t="s">
        <v>151</v>
      </c>
      <c r="P6">
        <v>2</v>
      </c>
      <c r="R6">
        <v>0.5</v>
      </c>
      <c r="S6">
        <v>0.5</v>
      </c>
      <c r="T6">
        <v>0.5</v>
      </c>
      <c r="U6">
        <v>0.5</v>
      </c>
      <c r="Y6" t="s">
        <v>151</v>
      </c>
      <c r="Z6">
        <v>0.37</v>
      </c>
      <c r="AB6">
        <v>0</v>
      </c>
      <c r="AC6">
        <v>0</v>
      </c>
      <c r="AD6">
        <v>0.37</v>
      </c>
      <c r="AE6">
        <v>0</v>
      </c>
      <c r="AF6">
        <v>0</v>
      </c>
    </row>
    <row r="7" spans="1:32" x14ac:dyDescent="0.3">
      <c r="A7" s="2" t="s">
        <v>13</v>
      </c>
      <c r="B7" s="5" t="s">
        <v>143</v>
      </c>
      <c r="C7" s="3">
        <v>0.5</v>
      </c>
      <c r="D7" s="15" t="s">
        <v>137</v>
      </c>
      <c r="E7" s="3">
        <v>0.5</v>
      </c>
      <c r="F7" s="5" t="s">
        <v>3064</v>
      </c>
      <c r="G7" s="3">
        <v>0.5</v>
      </c>
      <c r="H7" s="15"/>
      <c r="I7" s="3"/>
      <c r="J7" s="15" t="s">
        <v>54</v>
      </c>
      <c r="K7">
        <v>3</v>
      </c>
      <c r="O7" t="s">
        <v>54</v>
      </c>
      <c r="P7">
        <v>32</v>
      </c>
      <c r="R7">
        <v>8</v>
      </c>
      <c r="S7">
        <v>8</v>
      </c>
      <c r="T7">
        <v>8</v>
      </c>
      <c r="U7">
        <v>8</v>
      </c>
      <c r="Y7" t="s">
        <v>54</v>
      </c>
      <c r="Z7">
        <v>74.13000000000001</v>
      </c>
      <c r="AB7">
        <v>4.75</v>
      </c>
      <c r="AC7">
        <v>16.829999999999998</v>
      </c>
      <c r="AD7">
        <v>16.859999999999996</v>
      </c>
      <c r="AE7">
        <v>19.760000000000002</v>
      </c>
      <c r="AF7">
        <v>15.930000000000001</v>
      </c>
    </row>
    <row r="8" spans="1:32" x14ac:dyDescent="0.3">
      <c r="A8" s="2" t="s">
        <v>13</v>
      </c>
      <c r="B8" s="5" t="s">
        <v>151</v>
      </c>
      <c r="C8" s="3">
        <v>0.5</v>
      </c>
      <c r="D8" s="15" t="s">
        <v>291</v>
      </c>
      <c r="E8" s="3">
        <v>0.5</v>
      </c>
      <c r="F8" s="3" t="s">
        <v>45</v>
      </c>
      <c r="G8" s="3">
        <v>0.25</v>
      </c>
      <c r="H8" s="5"/>
      <c r="I8" s="3"/>
      <c r="O8" t="s">
        <v>45</v>
      </c>
      <c r="P8">
        <v>1</v>
      </c>
      <c r="R8">
        <v>0.25</v>
      </c>
      <c r="S8">
        <v>0.25</v>
      </c>
      <c r="T8">
        <v>0.25</v>
      </c>
      <c r="U8">
        <v>0.25</v>
      </c>
      <c r="Y8" t="s">
        <v>45</v>
      </c>
      <c r="Z8">
        <v>0</v>
      </c>
      <c r="AB8">
        <v>0</v>
      </c>
      <c r="AC8">
        <v>0</v>
      </c>
      <c r="AD8">
        <v>0</v>
      </c>
      <c r="AE8">
        <v>0</v>
      </c>
      <c r="AF8">
        <v>0</v>
      </c>
    </row>
    <row r="9" spans="1:32" x14ac:dyDescent="0.3">
      <c r="A9" s="2" t="s">
        <v>13</v>
      </c>
      <c r="B9" s="5" t="s">
        <v>437</v>
      </c>
      <c r="C9" s="3">
        <v>0.25</v>
      </c>
      <c r="D9" s="15" t="s">
        <v>290</v>
      </c>
      <c r="E9" s="3">
        <v>0.5</v>
      </c>
      <c r="F9" s="3" t="s">
        <v>52</v>
      </c>
      <c r="G9" s="3">
        <v>0.25</v>
      </c>
      <c r="H9" s="5"/>
      <c r="I9" s="3"/>
      <c r="J9" s="29"/>
      <c r="O9" t="s">
        <v>1409</v>
      </c>
      <c r="P9">
        <v>0</v>
      </c>
      <c r="R9">
        <v>0</v>
      </c>
      <c r="S9">
        <v>0</v>
      </c>
      <c r="T9">
        <v>0</v>
      </c>
      <c r="U9">
        <v>0</v>
      </c>
      <c r="Y9" t="s">
        <v>1409</v>
      </c>
      <c r="Z9">
        <v>1.9</v>
      </c>
      <c r="AB9">
        <v>0</v>
      </c>
      <c r="AC9">
        <v>0</v>
      </c>
      <c r="AD9">
        <v>0.66999999999999993</v>
      </c>
      <c r="AE9">
        <v>1.23</v>
      </c>
      <c r="AF9">
        <v>0</v>
      </c>
    </row>
    <row r="10" spans="1:32" x14ac:dyDescent="0.3">
      <c r="A10" s="2" t="s">
        <v>13</v>
      </c>
      <c r="B10" s="5" t="s">
        <v>214</v>
      </c>
      <c r="C10" s="3">
        <v>0.5</v>
      </c>
      <c r="D10" s="15" t="s">
        <v>54</v>
      </c>
      <c r="E10" s="3">
        <v>1.5</v>
      </c>
      <c r="F10" s="15" t="s">
        <v>54</v>
      </c>
      <c r="G10" s="3">
        <v>1.5</v>
      </c>
      <c r="O10" t="s">
        <v>437</v>
      </c>
      <c r="P10">
        <v>1</v>
      </c>
      <c r="R10">
        <v>0.25</v>
      </c>
      <c r="S10">
        <v>0.25</v>
      </c>
      <c r="T10">
        <v>0.25</v>
      </c>
      <c r="U10">
        <v>0.25</v>
      </c>
      <c r="Y10" t="s">
        <v>437</v>
      </c>
      <c r="Z10">
        <v>5.87</v>
      </c>
      <c r="AB10">
        <v>0</v>
      </c>
      <c r="AC10">
        <v>0.32</v>
      </c>
      <c r="AD10">
        <v>0.32</v>
      </c>
      <c r="AE10">
        <v>4.07</v>
      </c>
      <c r="AF10">
        <v>1.1600000000000001</v>
      </c>
    </row>
    <row r="11" spans="1:32" x14ac:dyDescent="0.3">
      <c r="A11" s="2" t="s">
        <v>13</v>
      </c>
      <c r="B11" s="5" t="s">
        <v>61</v>
      </c>
      <c r="C11" s="3">
        <v>0.25</v>
      </c>
      <c r="F11" s="3"/>
      <c r="G11" s="3"/>
      <c r="H11" s="5"/>
      <c r="I11" s="3"/>
      <c r="J11" s="29"/>
      <c r="O11" t="s">
        <v>185</v>
      </c>
      <c r="P11">
        <v>4</v>
      </c>
      <c r="R11">
        <v>1</v>
      </c>
      <c r="S11">
        <v>1</v>
      </c>
      <c r="T11">
        <v>1</v>
      </c>
      <c r="U11">
        <v>1</v>
      </c>
      <c r="Y11" t="s">
        <v>185</v>
      </c>
      <c r="Z11">
        <v>0.57999999999999996</v>
      </c>
      <c r="AB11">
        <v>0</v>
      </c>
      <c r="AC11">
        <v>0.57999999999999996</v>
      </c>
      <c r="AD11">
        <v>0</v>
      </c>
      <c r="AE11">
        <v>0</v>
      </c>
      <c r="AF11">
        <v>0</v>
      </c>
    </row>
    <row r="12" spans="1:32" x14ac:dyDescent="0.3">
      <c r="A12" s="2" t="s">
        <v>13</v>
      </c>
      <c r="B12" s="5" t="s">
        <v>62</v>
      </c>
      <c r="C12" s="3">
        <v>0.25</v>
      </c>
      <c r="D12" s="15"/>
      <c r="E12" s="3"/>
      <c r="F12" s="3"/>
      <c r="G12" s="3"/>
      <c r="H12" s="5"/>
      <c r="I12" s="3"/>
      <c r="J12" s="29"/>
      <c r="O12" t="s">
        <v>143</v>
      </c>
      <c r="P12">
        <v>2</v>
      </c>
      <c r="R12">
        <v>0.5</v>
      </c>
      <c r="S12">
        <v>0.5</v>
      </c>
      <c r="T12">
        <v>0.5</v>
      </c>
      <c r="U12">
        <v>0.5</v>
      </c>
      <c r="Y12" t="s">
        <v>143</v>
      </c>
      <c r="Z12">
        <v>5.41</v>
      </c>
      <c r="AB12">
        <v>0</v>
      </c>
      <c r="AC12">
        <v>2.46</v>
      </c>
      <c r="AD12">
        <v>1.51</v>
      </c>
      <c r="AE12">
        <v>0</v>
      </c>
      <c r="AF12">
        <v>1.44</v>
      </c>
    </row>
    <row r="13" spans="1:32" x14ac:dyDescent="0.3">
      <c r="A13" s="2" t="s">
        <v>13</v>
      </c>
      <c r="B13" s="5" t="s">
        <v>37</v>
      </c>
      <c r="C13" s="3">
        <v>0.5</v>
      </c>
      <c r="D13" s="15"/>
      <c r="E13" s="3"/>
      <c r="F13" s="3"/>
      <c r="G13" s="3"/>
      <c r="H13" s="5"/>
      <c r="I13" s="3"/>
      <c r="J13" s="29"/>
      <c r="O13" t="s">
        <v>114</v>
      </c>
      <c r="P13">
        <v>0</v>
      </c>
      <c r="R13">
        <v>0</v>
      </c>
      <c r="S13">
        <v>0</v>
      </c>
      <c r="T13">
        <v>0</v>
      </c>
      <c r="U13">
        <v>0</v>
      </c>
      <c r="Y13" t="s">
        <v>114</v>
      </c>
      <c r="Z13">
        <v>13.350000000000001</v>
      </c>
      <c r="AB13">
        <v>0.18</v>
      </c>
      <c r="AC13">
        <v>4.97</v>
      </c>
      <c r="AD13">
        <v>5.5200000000000005</v>
      </c>
      <c r="AE13">
        <v>1.22</v>
      </c>
      <c r="AF13">
        <v>1.46</v>
      </c>
    </row>
    <row r="14" spans="1:32" x14ac:dyDescent="0.3">
      <c r="A14" s="2" t="s">
        <v>13</v>
      </c>
      <c r="B14" s="5" t="s">
        <v>44</v>
      </c>
      <c r="C14" s="3">
        <v>0.25</v>
      </c>
      <c r="D14" s="15"/>
      <c r="E14" s="3"/>
      <c r="F14" s="3"/>
      <c r="G14" s="3"/>
      <c r="H14" s="5"/>
      <c r="I14" s="3"/>
      <c r="J14" s="29"/>
      <c r="O14" t="s">
        <v>37</v>
      </c>
      <c r="P14">
        <v>2</v>
      </c>
      <c r="R14">
        <v>0.5</v>
      </c>
      <c r="S14">
        <v>0.5</v>
      </c>
      <c r="T14">
        <v>0.5</v>
      </c>
      <c r="U14">
        <v>0.5</v>
      </c>
      <c r="Y14" t="s">
        <v>37</v>
      </c>
      <c r="Z14">
        <v>0.42</v>
      </c>
      <c r="AB14">
        <v>0</v>
      </c>
      <c r="AC14">
        <v>0</v>
      </c>
      <c r="AD14">
        <v>0</v>
      </c>
      <c r="AE14">
        <v>0</v>
      </c>
      <c r="AF14">
        <v>0.42</v>
      </c>
    </row>
    <row r="15" spans="1:32" x14ac:dyDescent="0.3">
      <c r="A15" s="2" t="s">
        <v>13</v>
      </c>
      <c r="B15" s="5" t="s">
        <v>54</v>
      </c>
      <c r="C15" s="3">
        <v>1.5</v>
      </c>
      <c r="D15" s="15"/>
      <c r="E15" s="3"/>
      <c r="F15" s="3"/>
      <c r="G15" s="3"/>
      <c r="H15" s="5"/>
      <c r="I15" s="3"/>
      <c r="J15" s="29"/>
      <c r="O15" t="s">
        <v>127</v>
      </c>
      <c r="P15">
        <v>12</v>
      </c>
      <c r="R15">
        <v>3</v>
      </c>
      <c r="S15">
        <v>3</v>
      </c>
      <c r="T15">
        <v>3</v>
      </c>
      <c r="U15">
        <v>3</v>
      </c>
      <c r="Y15" t="s">
        <v>127</v>
      </c>
      <c r="Z15">
        <v>11.22</v>
      </c>
      <c r="AB15">
        <v>0.85000000000000009</v>
      </c>
      <c r="AC15">
        <v>3.43</v>
      </c>
      <c r="AD15">
        <v>2.83</v>
      </c>
      <c r="AE15">
        <v>0.79</v>
      </c>
      <c r="AF15">
        <v>3.3200000000000003</v>
      </c>
    </row>
    <row r="16" spans="1:32" x14ac:dyDescent="0.3">
      <c r="A16" s="2"/>
      <c r="B16" s="5"/>
      <c r="C16" s="3"/>
      <c r="D16" s="15"/>
      <c r="E16" s="3"/>
      <c r="F16" s="3"/>
      <c r="G16" s="3"/>
      <c r="H16" s="5"/>
      <c r="I16" s="3"/>
      <c r="J16" s="29"/>
      <c r="O16" t="s">
        <v>52</v>
      </c>
      <c r="P16">
        <v>1</v>
      </c>
      <c r="R16">
        <v>0.25</v>
      </c>
      <c r="S16">
        <v>0.25</v>
      </c>
      <c r="T16">
        <v>0.25</v>
      </c>
      <c r="U16">
        <v>0.25</v>
      </c>
      <c r="Y16" t="s">
        <v>52</v>
      </c>
      <c r="Z16">
        <v>0.97</v>
      </c>
      <c r="AB16">
        <v>0</v>
      </c>
      <c r="AC16">
        <v>0</v>
      </c>
      <c r="AD16">
        <v>0</v>
      </c>
      <c r="AE16">
        <v>0.97</v>
      </c>
      <c r="AF16">
        <v>0</v>
      </c>
    </row>
    <row r="17" spans="1:32" x14ac:dyDescent="0.3">
      <c r="A17" s="2"/>
      <c r="B17" s="3"/>
      <c r="C17" s="3"/>
      <c r="D17" s="3"/>
      <c r="E17" s="3"/>
      <c r="F17" s="3"/>
      <c r="G17" s="3"/>
      <c r="H17" s="15"/>
      <c r="I17" s="3"/>
      <c r="J17" s="29"/>
      <c r="O17" t="s">
        <v>61</v>
      </c>
      <c r="P17">
        <v>1</v>
      </c>
      <c r="R17">
        <v>0.25</v>
      </c>
      <c r="S17">
        <v>0.25</v>
      </c>
      <c r="T17">
        <v>0.25</v>
      </c>
      <c r="U17">
        <v>0.25</v>
      </c>
      <c r="Y17" t="s">
        <v>61</v>
      </c>
      <c r="Z17">
        <v>3.8200000000000003</v>
      </c>
      <c r="AB17">
        <v>0.56000000000000005</v>
      </c>
      <c r="AC17">
        <v>0.13</v>
      </c>
      <c r="AD17">
        <v>0</v>
      </c>
      <c r="AE17">
        <v>0.3</v>
      </c>
      <c r="AF17">
        <v>2.83</v>
      </c>
    </row>
    <row r="18" spans="1:32" x14ac:dyDescent="0.3">
      <c r="A18" s="2" t="s">
        <v>14</v>
      </c>
      <c r="B18" s="5" t="s">
        <v>127</v>
      </c>
      <c r="C18" s="3">
        <v>1</v>
      </c>
      <c r="D18" s="15" t="s">
        <v>185</v>
      </c>
      <c r="E18" s="3">
        <v>1</v>
      </c>
      <c r="F18" s="51" t="s">
        <v>81</v>
      </c>
      <c r="G18" s="3">
        <v>1</v>
      </c>
      <c r="H18" s="51" t="s">
        <v>81</v>
      </c>
      <c r="I18" s="3">
        <v>7</v>
      </c>
      <c r="J18" s="5" t="s">
        <v>127</v>
      </c>
      <c r="K18">
        <v>1</v>
      </c>
      <c r="O18" t="s">
        <v>290</v>
      </c>
      <c r="P18">
        <v>2</v>
      </c>
      <c r="R18">
        <v>0.5</v>
      </c>
      <c r="S18">
        <v>0.5</v>
      </c>
      <c r="T18">
        <v>0.5</v>
      </c>
      <c r="U18">
        <v>0.5</v>
      </c>
      <c r="Y18" t="s">
        <v>290</v>
      </c>
      <c r="Z18">
        <v>0</v>
      </c>
      <c r="AB18">
        <v>0</v>
      </c>
      <c r="AC18">
        <v>0</v>
      </c>
      <c r="AD18">
        <v>0</v>
      </c>
      <c r="AE18">
        <v>0</v>
      </c>
      <c r="AF18">
        <v>0</v>
      </c>
    </row>
    <row r="19" spans="1:32" x14ac:dyDescent="0.3">
      <c r="A19" s="2" t="s">
        <v>14</v>
      </c>
      <c r="B19" s="5" t="s">
        <v>48</v>
      </c>
      <c r="C19" s="3">
        <v>0.5</v>
      </c>
      <c r="D19" s="51" t="s">
        <v>116</v>
      </c>
      <c r="E19" s="3">
        <v>1</v>
      </c>
      <c r="F19" s="5" t="s">
        <v>127</v>
      </c>
      <c r="G19" s="3">
        <v>1</v>
      </c>
      <c r="H19" s="15" t="s">
        <v>54</v>
      </c>
      <c r="I19" s="3">
        <v>0.5</v>
      </c>
      <c r="J19" s="29" t="s">
        <v>195</v>
      </c>
      <c r="K19">
        <v>2</v>
      </c>
      <c r="O19" t="s">
        <v>116</v>
      </c>
      <c r="P19">
        <v>4</v>
      </c>
      <c r="R19">
        <v>1</v>
      </c>
      <c r="S19">
        <v>1</v>
      </c>
      <c r="T19">
        <v>1</v>
      </c>
      <c r="U19">
        <v>1</v>
      </c>
      <c r="Y19" t="s">
        <v>116</v>
      </c>
      <c r="Z19">
        <v>4.4700000000000006</v>
      </c>
      <c r="AB19">
        <v>1.19</v>
      </c>
      <c r="AC19">
        <v>0.08</v>
      </c>
      <c r="AD19">
        <v>0</v>
      </c>
      <c r="AE19">
        <v>0</v>
      </c>
      <c r="AF19">
        <v>3.2</v>
      </c>
    </row>
    <row r="20" spans="1:32" x14ac:dyDescent="0.3">
      <c r="A20" s="2" t="s">
        <v>14</v>
      </c>
      <c r="B20" s="5" t="s">
        <v>3064</v>
      </c>
      <c r="C20" s="3">
        <v>0.5</v>
      </c>
      <c r="D20" s="51" t="s">
        <v>3064</v>
      </c>
      <c r="E20" s="3">
        <v>1</v>
      </c>
      <c r="F20" s="15" t="s">
        <v>195</v>
      </c>
      <c r="G20" s="3">
        <v>1</v>
      </c>
      <c r="H20" s="15"/>
      <c r="I20" s="3"/>
      <c r="J20" s="5" t="s">
        <v>3064</v>
      </c>
      <c r="K20">
        <v>0.5</v>
      </c>
      <c r="O20" t="s">
        <v>195</v>
      </c>
      <c r="P20">
        <v>12</v>
      </c>
      <c r="R20">
        <v>3</v>
      </c>
      <c r="S20">
        <v>3</v>
      </c>
      <c r="T20">
        <v>3</v>
      </c>
      <c r="U20">
        <v>3</v>
      </c>
      <c r="Y20" t="s">
        <v>195</v>
      </c>
      <c r="Z20">
        <v>8.2100000000000009</v>
      </c>
      <c r="AB20">
        <v>0</v>
      </c>
      <c r="AC20">
        <v>5.36</v>
      </c>
      <c r="AD20">
        <v>2.3800000000000003</v>
      </c>
      <c r="AE20">
        <v>0.47</v>
      </c>
      <c r="AF20">
        <v>0</v>
      </c>
    </row>
    <row r="21" spans="1:32" x14ac:dyDescent="0.3">
      <c r="A21" s="2" t="s">
        <v>14</v>
      </c>
      <c r="B21" s="5" t="s">
        <v>143</v>
      </c>
      <c r="C21" s="3">
        <v>0.5</v>
      </c>
      <c r="D21" s="15" t="s">
        <v>137</v>
      </c>
      <c r="E21" s="3">
        <v>0.5</v>
      </c>
      <c r="F21" s="5" t="s">
        <v>3064</v>
      </c>
      <c r="G21" s="3">
        <v>0.5</v>
      </c>
      <c r="H21" s="15"/>
      <c r="I21" s="3"/>
      <c r="J21" s="15" t="s">
        <v>54</v>
      </c>
      <c r="K21">
        <v>3</v>
      </c>
      <c r="O21" t="s">
        <v>62</v>
      </c>
      <c r="P21">
        <v>1</v>
      </c>
      <c r="R21">
        <v>0.25</v>
      </c>
      <c r="S21">
        <v>0.25</v>
      </c>
      <c r="T21">
        <v>0.25</v>
      </c>
      <c r="U21">
        <v>0.25</v>
      </c>
      <c r="Y21" t="s">
        <v>62</v>
      </c>
      <c r="Z21">
        <v>0</v>
      </c>
      <c r="AB21">
        <v>0</v>
      </c>
      <c r="AC21">
        <v>0</v>
      </c>
      <c r="AD21">
        <v>0</v>
      </c>
      <c r="AE21">
        <v>0</v>
      </c>
      <c r="AF21">
        <v>0</v>
      </c>
    </row>
    <row r="22" spans="1:32" x14ac:dyDescent="0.3">
      <c r="A22" s="2" t="s">
        <v>14</v>
      </c>
      <c r="B22" s="5" t="s">
        <v>151</v>
      </c>
      <c r="C22" s="3">
        <v>0.5</v>
      </c>
      <c r="D22" s="15" t="s">
        <v>291</v>
      </c>
      <c r="E22" s="3">
        <v>0.5</v>
      </c>
      <c r="F22" s="3" t="s">
        <v>45</v>
      </c>
      <c r="G22" s="3">
        <v>0.25</v>
      </c>
      <c r="H22" s="5"/>
      <c r="I22" s="3"/>
      <c r="O22" t="s">
        <v>44</v>
      </c>
      <c r="P22">
        <v>1</v>
      </c>
      <c r="R22">
        <v>0.25</v>
      </c>
      <c r="S22">
        <v>0.25</v>
      </c>
      <c r="T22">
        <v>0.25</v>
      </c>
      <c r="U22">
        <v>0.25</v>
      </c>
      <c r="Y22" t="s">
        <v>44</v>
      </c>
      <c r="Z22">
        <v>0</v>
      </c>
      <c r="AB22">
        <v>0</v>
      </c>
      <c r="AC22">
        <v>0</v>
      </c>
      <c r="AD22">
        <v>0</v>
      </c>
      <c r="AE22">
        <v>0</v>
      </c>
      <c r="AF22">
        <v>0</v>
      </c>
    </row>
    <row r="23" spans="1:32" x14ac:dyDescent="0.3">
      <c r="A23" s="2" t="s">
        <v>14</v>
      </c>
      <c r="B23" s="5" t="s">
        <v>437</v>
      </c>
      <c r="C23" s="3">
        <v>0.25</v>
      </c>
      <c r="D23" s="15" t="s">
        <v>290</v>
      </c>
      <c r="E23" s="3">
        <v>0.5</v>
      </c>
      <c r="F23" s="3" t="s">
        <v>52</v>
      </c>
      <c r="G23" s="3">
        <v>0.25</v>
      </c>
      <c r="H23" s="5"/>
      <c r="I23" s="3"/>
      <c r="J23" s="29"/>
      <c r="O23" t="s">
        <v>214</v>
      </c>
      <c r="P23">
        <v>2</v>
      </c>
      <c r="R23">
        <v>0.5</v>
      </c>
      <c r="S23">
        <v>0.5</v>
      </c>
      <c r="T23">
        <v>0.5</v>
      </c>
      <c r="U23">
        <v>0.5</v>
      </c>
      <c r="Y23" t="s">
        <v>214</v>
      </c>
      <c r="Z23">
        <v>1.26</v>
      </c>
      <c r="AB23">
        <v>0</v>
      </c>
      <c r="AC23">
        <v>0.98</v>
      </c>
      <c r="AD23">
        <v>0.28000000000000003</v>
      </c>
      <c r="AE23">
        <v>0</v>
      </c>
      <c r="AF23">
        <v>0</v>
      </c>
    </row>
    <row r="24" spans="1:32" x14ac:dyDescent="0.3">
      <c r="A24" s="2" t="s">
        <v>14</v>
      </c>
      <c r="B24" s="5" t="s">
        <v>214</v>
      </c>
      <c r="C24" s="3">
        <v>0.5</v>
      </c>
      <c r="D24" s="15" t="s">
        <v>54</v>
      </c>
      <c r="E24" s="3">
        <v>1.5</v>
      </c>
      <c r="F24" s="15" t="s">
        <v>54</v>
      </c>
      <c r="G24" s="3">
        <v>1.5</v>
      </c>
      <c r="O24" t="s">
        <v>48</v>
      </c>
      <c r="P24">
        <v>2</v>
      </c>
      <c r="R24">
        <v>0.5</v>
      </c>
      <c r="S24">
        <v>0.5</v>
      </c>
      <c r="T24">
        <v>0.5</v>
      </c>
      <c r="U24">
        <v>0.5</v>
      </c>
      <c r="Y24" t="s">
        <v>48</v>
      </c>
      <c r="Z24">
        <v>1.1199999999999999</v>
      </c>
      <c r="AB24">
        <v>0</v>
      </c>
      <c r="AC24">
        <v>0.45</v>
      </c>
      <c r="AD24">
        <v>0.25</v>
      </c>
      <c r="AE24">
        <v>0</v>
      </c>
      <c r="AF24">
        <v>0.42</v>
      </c>
    </row>
    <row r="25" spans="1:32" x14ac:dyDescent="0.3">
      <c r="A25" s="2" t="s">
        <v>14</v>
      </c>
      <c r="B25" s="5" t="s">
        <v>61</v>
      </c>
      <c r="C25" s="3">
        <v>0.25</v>
      </c>
      <c r="F25" s="3"/>
      <c r="G25" s="3"/>
      <c r="H25" s="5"/>
      <c r="I25" s="3"/>
      <c r="J25" s="29"/>
    </row>
    <row r="26" spans="1:32" x14ac:dyDescent="0.3">
      <c r="A26" s="2" t="s">
        <v>14</v>
      </c>
      <c r="B26" s="5" t="s">
        <v>62</v>
      </c>
      <c r="C26" s="3">
        <v>0.25</v>
      </c>
      <c r="D26" s="15"/>
      <c r="E26" s="3"/>
      <c r="F26" s="3"/>
      <c r="G26" s="3"/>
      <c r="H26" s="5"/>
      <c r="I26" s="3"/>
      <c r="J26" s="29"/>
    </row>
    <row r="27" spans="1:32" x14ac:dyDescent="0.3">
      <c r="A27" s="2" t="s">
        <v>14</v>
      </c>
      <c r="B27" s="5" t="s">
        <v>37</v>
      </c>
      <c r="C27" s="3">
        <v>0.5</v>
      </c>
      <c r="D27" s="15"/>
      <c r="E27" s="3"/>
      <c r="F27" s="3"/>
      <c r="G27" s="3"/>
      <c r="H27" s="5"/>
      <c r="I27" s="3"/>
      <c r="J27" s="29"/>
    </row>
    <row r="28" spans="1:32" x14ac:dyDescent="0.3">
      <c r="A28" s="2" t="s">
        <v>14</v>
      </c>
      <c r="B28" s="5" t="s">
        <v>44</v>
      </c>
      <c r="C28" s="3">
        <v>0.25</v>
      </c>
      <c r="D28" s="15"/>
      <c r="E28" s="3"/>
      <c r="F28" s="3"/>
      <c r="G28" s="3"/>
      <c r="H28" s="5"/>
      <c r="I28" s="3"/>
      <c r="J28" s="29"/>
    </row>
    <row r="29" spans="1:32" x14ac:dyDescent="0.3">
      <c r="A29" s="2" t="s">
        <v>14</v>
      </c>
      <c r="B29" s="5" t="s">
        <v>54</v>
      </c>
      <c r="C29" s="3">
        <v>1.5</v>
      </c>
      <c r="D29" s="15"/>
      <c r="E29" s="3"/>
      <c r="F29" s="3"/>
      <c r="G29" s="3"/>
      <c r="H29" s="5"/>
      <c r="I29" s="3"/>
      <c r="J29" s="29"/>
    </row>
    <row r="30" spans="1:32" x14ac:dyDescent="0.3">
      <c r="A30" s="2"/>
      <c r="B30" s="5"/>
      <c r="C30" s="3"/>
      <c r="D30" s="15"/>
      <c r="E30" s="3"/>
      <c r="F30" s="3"/>
      <c r="G30" s="3"/>
      <c r="H30" s="5"/>
      <c r="I30" s="3"/>
      <c r="J30" s="29"/>
    </row>
    <row r="31" spans="1:32" x14ac:dyDescent="0.3">
      <c r="A31" s="2"/>
      <c r="B31" s="5"/>
      <c r="C31" s="3"/>
      <c r="D31" s="15"/>
      <c r="E31" s="3"/>
      <c r="F31" s="3"/>
      <c r="G31" s="3"/>
      <c r="H31" s="5"/>
      <c r="I31" s="3"/>
      <c r="J31" s="29"/>
    </row>
    <row r="32" spans="1:32" x14ac:dyDescent="0.3">
      <c r="A32" s="2" t="s">
        <v>15</v>
      </c>
      <c r="B32" s="5" t="s">
        <v>127</v>
      </c>
      <c r="C32" s="3">
        <v>1</v>
      </c>
      <c r="D32" s="15" t="s">
        <v>185</v>
      </c>
      <c r="E32" s="3">
        <v>1</v>
      </c>
      <c r="F32" s="51" t="s">
        <v>81</v>
      </c>
      <c r="G32" s="3">
        <v>1</v>
      </c>
      <c r="H32" s="51" t="s">
        <v>81</v>
      </c>
      <c r="I32" s="3">
        <v>7</v>
      </c>
      <c r="J32" s="5" t="s">
        <v>127</v>
      </c>
      <c r="K32">
        <v>1</v>
      </c>
    </row>
    <row r="33" spans="1:32" x14ac:dyDescent="0.3">
      <c r="A33" s="2" t="s">
        <v>15</v>
      </c>
      <c r="B33" s="5" t="s">
        <v>48</v>
      </c>
      <c r="C33" s="3">
        <v>0.5</v>
      </c>
      <c r="D33" s="51" t="s">
        <v>116</v>
      </c>
      <c r="E33" s="3">
        <v>1</v>
      </c>
      <c r="F33" s="5" t="s">
        <v>127</v>
      </c>
      <c r="G33" s="3">
        <v>1</v>
      </c>
      <c r="H33" s="15" t="s">
        <v>54</v>
      </c>
      <c r="I33" s="3">
        <v>0.5</v>
      </c>
      <c r="J33" s="29" t="s">
        <v>195</v>
      </c>
      <c r="K33">
        <v>2</v>
      </c>
    </row>
    <row r="34" spans="1:32" x14ac:dyDescent="0.3">
      <c r="A34" s="2" t="s">
        <v>15</v>
      </c>
      <c r="B34" s="5" t="s">
        <v>3064</v>
      </c>
      <c r="C34" s="3">
        <v>0.5</v>
      </c>
      <c r="D34" s="51" t="s">
        <v>3064</v>
      </c>
      <c r="E34" s="3">
        <v>1</v>
      </c>
      <c r="F34" s="15" t="s">
        <v>195</v>
      </c>
      <c r="G34" s="3">
        <v>1</v>
      </c>
      <c r="H34" s="15"/>
      <c r="I34" s="3"/>
      <c r="J34" s="5" t="s">
        <v>3064</v>
      </c>
      <c r="K34">
        <v>0.5</v>
      </c>
      <c r="O34" t="s">
        <v>3143</v>
      </c>
      <c r="P34">
        <f>SUM(P2:P33)</f>
        <v>128</v>
      </c>
      <c r="R34">
        <f>SUM(R2:R33)</f>
        <v>32</v>
      </c>
      <c r="S34">
        <f>SUM(S2:S33)</f>
        <v>32</v>
      </c>
      <c r="T34">
        <f>SUM(T2:T33)</f>
        <v>32</v>
      </c>
      <c r="U34">
        <f>SUM(U2:U33)</f>
        <v>32</v>
      </c>
      <c r="Y34" t="s">
        <v>3143</v>
      </c>
      <c r="Z34">
        <f>SUM(Z2:Z33)</f>
        <v>168.35</v>
      </c>
      <c r="AB34">
        <f>SUM(AB2:AB33)</f>
        <v>8</v>
      </c>
      <c r="AC34">
        <f>SUM(AC2:AC33)</f>
        <v>40.18</v>
      </c>
      <c r="AD34">
        <f>SUM(AD2:AD33)</f>
        <v>40.14</v>
      </c>
      <c r="AE34">
        <f>SUM(AE2:AE33)</f>
        <v>40.019999999999989</v>
      </c>
      <c r="AF34">
        <f>SUM(AF2:AF33)</f>
        <v>40.010000000000005</v>
      </c>
    </row>
    <row r="35" spans="1:32" x14ac:dyDescent="0.3">
      <c r="A35" s="2" t="s">
        <v>15</v>
      </c>
      <c r="B35" s="5" t="s">
        <v>143</v>
      </c>
      <c r="C35" s="3">
        <v>0.5</v>
      </c>
      <c r="D35" s="15" t="s">
        <v>137</v>
      </c>
      <c r="E35" s="3">
        <v>0.5</v>
      </c>
      <c r="F35" s="5" t="s">
        <v>3064</v>
      </c>
      <c r="G35" s="3">
        <v>0.5</v>
      </c>
      <c r="H35" s="15"/>
      <c r="I35" s="3"/>
      <c r="J35" s="15" t="s">
        <v>54</v>
      </c>
      <c r="K35">
        <v>3</v>
      </c>
    </row>
    <row r="36" spans="1:32" x14ac:dyDescent="0.3">
      <c r="A36" s="2" t="s">
        <v>15</v>
      </c>
      <c r="B36" s="5" t="s">
        <v>151</v>
      </c>
      <c r="C36" s="3">
        <v>0.5</v>
      </c>
      <c r="D36" s="15" t="s">
        <v>291</v>
      </c>
      <c r="E36" s="3">
        <v>0.5</v>
      </c>
      <c r="F36" s="3" t="s">
        <v>45</v>
      </c>
      <c r="G36" s="3">
        <v>0.25</v>
      </c>
      <c r="H36" s="5"/>
      <c r="I36" s="3"/>
    </row>
    <row r="37" spans="1:32" x14ac:dyDescent="0.3">
      <c r="A37" s="2" t="s">
        <v>15</v>
      </c>
      <c r="B37" s="5" t="s">
        <v>437</v>
      </c>
      <c r="C37" s="3">
        <v>0.25</v>
      </c>
      <c r="D37" s="15" t="s">
        <v>290</v>
      </c>
      <c r="E37" s="3">
        <v>0.5</v>
      </c>
      <c r="F37" s="3" t="s">
        <v>52</v>
      </c>
      <c r="G37" s="3">
        <v>0.25</v>
      </c>
      <c r="H37" s="5"/>
      <c r="I37" s="3"/>
      <c r="J37" s="29"/>
    </row>
    <row r="38" spans="1:32" x14ac:dyDescent="0.3">
      <c r="A38" s="2" t="s">
        <v>15</v>
      </c>
      <c r="B38" s="5" t="s">
        <v>214</v>
      </c>
      <c r="C38" s="3">
        <v>0.5</v>
      </c>
      <c r="D38" s="15" t="s">
        <v>54</v>
      </c>
      <c r="E38" s="3">
        <v>1.5</v>
      </c>
      <c r="F38" s="15" t="s">
        <v>54</v>
      </c>
      <c r="G38" s="3">
        <v>1.5</v>
      </c>
    </row>
    <row r="39" spans="1:32" x14ac:dyDescent="0.3">
      <c r="A39" s="2" t="s">
        <v>15</v>
      </c>
      <c r="B39" s="5" t="s">
        <v>61</v>
      </c>
      <c r="C39" s="3">
        <v>0.25</v>
      </c>
      <c r="F39" s="3"/>
      <c r="G39" s="3"/>
      <c r="H39" s="5"/>
      <c r="I39" s="3"/>
      <c r="J39" s="29"/>
    </row>
    <row r="40" spans="1:32" x14ac:dyDescent="0.3">
      <c r="A40" s="2" t="s">
        <v>15</v>
      </c>
      <c r="B40" s="5" t="s">
        <v>62</v>
      </c>
      <c r="C40" s="3">
        <v>0.25</v>
      </c>
      <c r="D40" s="15"/>
      <c r="E40" s="3"/>
      <c r="F40" s="3"/>
      <c r="G40" s="3"/>
      <c r="H40" s="5"/>
      <c r="I40" s="3"/>
      <c r="J40" s="29"/>
    </row>
    <row r="41" spans="1:32" x14ac:dyDescent="0.3">
      <c r="A41" s="2" t="s">
        <v>15</v>
      </c>
      <c r="B41" s="5" t="s">
        <v>37</v>
      </c>
      <c r="C41" s="3">
        <v>0.5</v>
      </c>
      <c r="D41" s="15"/>
      <c r="E41" s="3"/>
      <c r="F41" s="3"/>
      <c r="G41" s="3"/>
      <c r="H41" s="5"/>
      <c r="I41" s="3"/>
      <c r="J41" s="29"/>
    </row>
    <row r="42" spans="1:32" x14ac:dyDescent="0.3">
      <c r="A42" s="2" t="s">
        <v>15</v>
      </c>
      <c r="B42" s="5" t="s">
        <v>44</v>
      </c>
      <c r="C42" s="3">
        <v>0.25</v>
      </c>
      <c r="D42" s="15"/>
      <c r="E42" s="3"/>
      <c r="F42" s="3"/>
      <c r="G42" s="3"/>
      <c r="H42" s="5"/>
      <c r="I42" s="3"/>
      <c r="J42" s="29"/>
    </row>
    <row r="43" spans="1:32" x14ac:dyDescent="0.3">
      <c r="A43" s="2" t="s">
        <v>15</v>
      </c>
      <c r="B43" s="5" t="s">
        <v>54</v>
      </c>
      <c r="C43" s="3">
        <v>1.5</v>
      </c>
      <c r="D43" s="15"/>
      <c r="E43" s="3"/>
      <c r="F43" s="3"/>
      <c r="G43" s="3"/>
      <c r="H43" s="5"/>
      <c r="I43" s="3"/>
      <c r="J43" s="29"/>
    </row>
    <row r="44" spans="1:32" x14ac:dyDescent="0.3">
      <c r="A44" s="2"/>
      <c r="B44" s="5"/>
      <c r="C44" s="3"/>
      <c r="D44" s="3"/>
      <c r="E44" s="3"/>
      <c r="F44" s="3"/>
      <c r="G44" s="3"/>
      <c r="H44" s="5"/>
      <c r="I44" s="3"/>
      <c r="J44" s="29"/>
    </row>
    <row r="45" spans="1:32" x14ac:dyDescent="0.3">
      <c r="A45" s="2"/>
      <c r="B45" s="3"/>
      <c r="C45" s="3"/>
      <c r="D45" s="3"/>
      <c r="E45" s="3"/>
      <c r="F45" s="3"/>
      <c r="G45" s="3"/>
      <c r="H45" s="15"/>
      <c r="I45" s="3"/>
      <c r="J45" s="29"/>
    </row>
    <row r="46" spans="1:32" x14ac:dyDescent="0.3">
      <c r="A46" s="2" t="s">
        <v>16</v>
      </c>
      <c r="B46" s="5" t="s">
        <v>127</v>
      </c>
      <c r="C46" s="3">
        <v>1</v>
      </c>
      <c r="D46" s="15" t="s">
        <v>185</v>
      </c>
      <c r="E46" s="3">
        <v>1</v>
      </c>
      <c r="F46" s="51" t="s">
        <v>81</v>
      </c>
      <c r="G46" s="3">
        <v>1</v>
      </c>
      <c r="H46" s="51" t="s">
        <v>81</v>
      </c>
      <c r="I46" s="3">
        <v>7</v>
      </c>
      <c r="J46" s="5" t="s">
        <v>127</v>
      </c>
      <c r="K46">
        <v>1</v>
      </c>
    </row>
    <row r="47" spans="1:32" x14ac:dyDescent="0.3">
      <c r="A47" s="2" t="s">
        <v>16</v>
      </c>
      <c r="B47" s="5" t="s">
        <v>48</v>
      </c>
      <c r="C47" s="3">
        <v>0.5</v>
      </c>
      <c r="D47" s="51" t="s">
        <v>116</v>
      </c>
      <c r="E47" s="3">
        <v>1</v>
      </c>
      <c r="F47" s="5" t="s">
        <v>127</v>
      </c>
      <c r="G47" s="3">
        <v>1</v>
      </c>
      <c r="H47" s="15" t="s">
        <v>54</v>
      </c>
      <c r="I47" s="3">
        <v>0.5</v>
      </c>
      <c r="J47" s="29" t="s">
        <v>195</v>
      </c>
      <c r="K47">
        <v>2</v>
      </c>
    </row>
    <row r="48" spans="1:32" x14ac:dyDescent="0.3">
      <c r="A48" s="2" t="s">
        <v>16</v>
      </c>
      <c r="B48" s="5" t="s">
        <v>3064</v>
      </c>
      <c r="C48" s="3">
        <v>0.5</v>
      </c>
      <c r="D48" s="51" t="s">
        <v>3064</v>
      </c>
      <c r="E48" s="3">
        <v>1</v>
      </c>
      <c r="F48" s="15" t="s">
        <v>195</v>
      </c>
      <c r="G48" s="3">
        <v>1</v>
      </c>
      <c r="H48" s="15"/>
      <c r="I48" s="3"/>
      <c r="J48" s="5" t="s">
        <v>3064</v>
      </c>
      <c r="K48">
        <v>0.5</v>
      </c>
    </row>
    <row r="49" spans="1:13" x14ac:dyDescent="0.3">
      <c r="A49" s="2" t="s">
        <v>16</v>
      </c>
      <c r="B49" s="5" t="s">
        <v>143</v>
      </c>
      <c r="C49" s="3">
        <v>0.5</v>
      </c>
      <c r="D49" s="15" t="s">
        <v>137</v>
      </c>
      <c r="E49" s="3">
        <v>0.5</v>
      </c>
      <c r="F49" s="5" t="s">
        <v>3064</v>
      </c>
      <c r="G49" s="3">
        <v>0.5</v>
      </c>
      <c r="H49" s="15"/>
      <c r="I49" s="3"/>
      <c r="J49" s="15" t="s">
        <v>54</v>
      </c>
      <c r="K49">
        <v>3</v>
      </c>
    </row>
    <row r="50" spans="1:13" x14ac:dyDescent="0.3">
      <c r="A50" s="2" t="s">
        <v>16</v>
      </c>
      <c r="B50" s="5" t="s">
        <v>151</v>
      </c>
      <c r="C50" s="3">
        <v>0.5</v>
      </c>
      <c r="D50" s="15" t="s">
        <v>291</v>
      </c>
      <c r="E50" s="3">
        <v>0.5</v>
      </c>
      <c r="F50" s="3" t="s">
        <v>45</v>
      </c>
      <c r="G50" s="3">
        <v>0.25</v>
      </c>
      <c r="H50" s="5"/>
      <c r="I50" s="3"/>
    </row>
    <row r="51" spans="1:13" x14ac:dyDescent="0.3">
      <c r="A51" s="2" t="s">
        <v>16</v>
      </c>
      <c r="B51" s="5" t="s">
        <v>437</v>
      </c>
      <c r="C51" s="3">
        <v>0.25</v>
      </c>
      <c r="D51" s="15" t="s">
        <v>290</v>
      </c>
      <c r="E51" s="3">
        <v>0.5</v>
      </c>
      <c r="F51" s="3" t="s">
        <v>52</v>
      </c>
      <c r="G51" s="3">
        <v>0.25</v>
      </c>
      <c r="H51" s="5"/>
      <c r="I51" s="3"/>
      <c r="J51" s="29"/>
    </row>
    <row r="52" spans="1:13" x14ac:dyDescent="0.3">
      <c r="A52" s="2" t="s">
        <v>16</v>
      </c>
      <c r="B52" s="5" t="s">
        <v>214</v>
      </c>
      <c r="C52" s="3">
        <v>0.5</v>
      </c>
      <c r="D52" s="15" t="s">
        <v>54</v>
      </c>
      <c r="E52" s="3">
        <v>1.5</v>
      </c>
      <c r="F52" s="15" t="s">
        <v>54</v>
      </c>
      <c r="G52" s="3">
        <v>1.5</v>
      </c>
    </row>
    <row r="53" spans="1:13" x14ac:dyDescent="0.3">
      <c r="A53" s="2" t="s">
        <v>16</v>
      </c>
      <c r="B53" s="5" t="s">
        <v>61</v>
      </c>
      <c r="C53" s="3">
        <v>0.25</v>
      </c>
      <c r="F53" s="3"/>
      <c r="G53" s="3"/>
      <c r="H53" s="5"/>
      <c r="I53" s="3"/>
      <c r="J53" s="29"/>
    </row>
    <row r="54" spans="1:13" x14ac:dyDescent="0.3">
      <c r="A54" s="2" t="s">
        <v>16</v>
      </c>
      <c r="B54" s="5" t="s">
        <v>62</v>
      </c>
      <c r="C54" s="3">
        <v>0.25</v>
      </c>
      <c r="D54" s="15"/>
      <c r="E54" s="3"/>
      <c r="F54" s="3"/>
      <c r="G54" s="3"/>
      <c r="H54" s="5"/>
      <c r="I54" s="3"/>
      <c r="J54" s="29"/>
    </row>
    <row r="55" spans="1:13" x14ac:dyDescent="0.3">
      <c r="A55" s="2" t="s">
        <v>16</v>
      </c>
      <c r="B55" s="5" t="s">
        <v>37</v>
      </c>
      <c r="C55" s="3">
        <v>0.5</v>
      </c>
      <c r="D55" s="15"/>
      <c r="E55" s="3"/>
      <c r="F55" s="3"/>
      <c r="G55" s="3"/>
      <c r="H55" s="5"/>
      <c r="I55" s="3"/>
      <c r="J55" s="29"/>
    </row>
    <row r="56" spans="1:13" x14ac:dyDescent="0.3">
      <c r="A56" s="2" t="s">
        <v>16</v>
      </c>
      <c r="B56" s="5" t="s">
        <v>44</v>
      </c>
      <c r="C56" s="3">
        <v>0.25</v>
      </c>
      <c r="D56" s="15"/>
      <c r="E56" s="3"/>
      <c r="F56" s="3"/>
      <c r="G56" s="3"/>
      <c r="H56" s="5"/>
      <c r="I56" s="3"/>
      <c r="J56" s="29"/>
    </row>
    <row r="57" spans="1:13" x14ac:dyDescent="0.3">
      <c r="A57" s="2" t="s">
        <v>16</v>
      </c>
      <c r="B57" s="5" t="s">
        <v>54</v>
      </c>
      <c r="C57" s="3">
        <v>1.5</v>
      </c>
      <c r="D57" s="15"/>
      <c r="E57" s="3"/>
      <c r="F57" s="3"/>
      <c r="G57" s="3"/>
      <c r="H57" s="5"/>
      <c r="I57" s="3"/>
      <c r="J57" s="29"/>
    </row>
    <row r="58" spans="1:13" x14ac:dyDescent="0.3">
      <c r="A58" s="2"/>
      <c r="B58" s="5"/>
      <c r="C58" s="3"/>
      <c r="D58" s="3"/>
      <c r="E58" s="3"/>
      <c r="F58" s="3"/>
      <c r="G58" s="3"/>
      <c r="H58" s="5"/>
      <c r="I58" s="3"/>
      <c r="J58" s="29"/>
    </row>
    <row r="60" spans="1:13" x14ac:dyDescent="0.3">
      <c r="A60" s="19" t="s">
        <v>17</v>
      </c>
      <c r="L60" s="1" t="s">
        <v>3144</v>
      </c>
      <c r="M60" s="1">
        <v>168.35</v>
      </c>
    </row>
    <row r="61" spans="1:13" x14ac:dyDescent="0.3">
      <c r="B61" s="1" t="s">
        <v>378</v>
      </c>
      <c r="D61" s="1" t="s">
        <v>576</v>
      </c>
      <c r="F61" s="1" t="s">
        <v>747</v>
      </c>
      <c r="H61" s="17" t="s">
        <v>897</v>
      </c>
      <c r="J61" s="1" t="s">
        <v>33</v>
      </c>
    </row>
    <row r="62" spans="1:13" x14ac:dyDescent="0.3">
      <c r="A62" s="19" t="s">
        <v>13</v>
      </c>
      <c r="J62" t="s">
        <v>81</v>
      </c>
      <c r="K62">
        <v>0.47</v>
      </c>
    </row>
    <row r="63" spans="1:13" x14ac:dyDescent="0.3">
      <c r="A63" s="19" t="s">
        <v>13</v>
      </c>
      <c r="J63" t="s">
        <v>54</v>
      </c>
      <c r="K63">
        <v>4.75</v>
      </c>
    </row>
    <row r="64" spans="1:13" x14ac:dyDescent="0.3">
      <c r="A64" s="19" t="s">
        <v>13</v>
      </c>
      <c r="J64" t="s">
        <v>114</v>
      </c>
      <c r="K64">
        <v>0.18</v>
      </c>
    </row>
    <row r="65" spans="1:11" x14ac:dyDescent="0.3">
      <c r="A65" s="19" t="s">
        <v>13</v>
      </c>
      <c r="J65" t="s">
        <v>127</v>
      </c>
      <c r="K65">
        <v>0.85000000000000009</v>
      </c>
    </row>
    <row r="66" spans="1:11" x14ac:dyDescent="0.3">
      <c r="A66" s="19" t="s">
        <v>13</v>
      </c>
      <c r="J66" t="s">
        <v>61</v>
      </c>
      <c r="K66">
        <v>0.56000000000000005</v>
      </c>
    </row>
    <row r="67" spans="1:11" x14ac:dyDescent="0.3">
      <c r="A67" s="19" t="s">
        <v>13</v>
      </c>
      <c r="J67" t="s">
        <v>116</v>
      </c>
      <c r="K67">
        <v>1.19</v>
      </c>
    </row>
    <row r="70" spans="1:11" x14ac:dyDescent="0.3">
      <c r="A70" s="19" t="s">
        <v>14</v>
      </c>
      <c r="B70" t="s">
        <v>54</v>
      </c>
      <c r="C70">
        <v>1.5299999999999998</v>
      </c>
      <c r="D70" t="s">
        <v>54</v>
      </c>
      <c r="E70">
        <v>5.58</v>
      </c>
      <c r="F70" t="s">
        <v>54</v>
      </c>
      <c r="G70">
        <v>2.35</v>
      </c>
      <c r="H70" s="18" t="s">
        <v>81</v>
      </c>
      <c r="I70">
        <v>4.59</v>
      </c>
      <c r="J70" t="s">
        <v>54</v>
      </c>
      <c r="K70">
        <v>5.82</v>
      </c>
    </row>
    <row r="71" spans="1:11" x14ac:dyDescent="0.3">
      <c r="A71" s="19" t="s">
        <v>14</v>
      </c>
      <c r="B71" t="s">
        <v>185</v>
      </c>
      <c r="C71">
        <v>0.57999999999999996</v>
      </c>
      <c r="D71" t="s">
        <v>114</v>
      </c>
      <c r="E71">
        <v>0.37</v>
      </c>
      <c r="F71" t="s">
        <v>437</v>
      </c>
      <c r="G71">
        <v>0.32</v>
      </c>
      <c r="H71" s="18" t="s">
        <v>54</v>
      </c>
      <c r="I71">
        <v>1.5499999999999998</v>
      </c>
      <c r="J71" t="s">
        <v>143</v>
      </c>
      <c r="K71">
        <v>0.37</v>
      </c>
    </row>
    <row r="72" spans="1:11" x14ac:dyDescent="0.3">
      <c r="A72" s="19" t="s">
        <v>14</v>
      </c>
      <c r="B72" t="s">
        <v>143</v>
      </c>
      <c r="C72">
        <v>0.27</v>
      </c>
      <c r="D72" t="s">
        <v>127</v>
      </c>
      <c r="E72">
        <v>0.55000000000000004</v>
      </c>
      <c r="F72" t="s">
        <v>143</v>
      </c>
      <c r="G72">
        <v>1.5999999999999999</v>
      </c>
      <c r="H72" s="18" t="s">
        <v>143</v>
      </c>
      <c r="I72">
        <v>0.22</v>
      </c>
      <c r="J72" t="s">
        <v>114</v>
      </c>
      <c r="K72">
        <v>0.33</v>
      </c>
    </row>
    <row r="73" spans="1:11" x14ac:dyDescent="0.3">
      <c r="A73" s="19" t="s">
        <v>14</v>
      </c>
      <c r="B73" t="s">
        <v>114</v>
      </c>
      <c r="C73">
        <v>4.0199999999999996</v>
      </c>
      <c r="D73" t="s">
        <v>61</v>
      </c>
      <c r="E73">
        <v>0.13</v>
      </c>
      <c r="F73" t="s">
        <v>127</v>
      </c>
      <c r="G73">
        <v>0.27</v>
      </c>
      <c r="H73" s="18" t="s">
        <v>114</v>
      </c>
      <c r="I73">
        <v>0.25</v>
      </c>
      <c r="J73" t="s">
        <v>127</v>
      </c>
      <c r="K73">
        <v>0.98</v>
      </c>
    </row>
    <row r="74" spans="1:11" x14ac:dyDescent="0.3">
      <c r="A74" s="19" t="s">
        <v>14</v>
      </c>
      <c r="B74" t="s">
        <v>127</v>
      </c>
      <c r="C74">
        <v>1.3</v>
      </c>
      <c r="D74" t="s">
        <v>195</v>
      </c>
      <c r="E74">
        <v>1.37</v>
      </c>
      <c r="F74" t="s">
        <v>195</v>
      </c>
      <c r="G74">
        <v>3.4699999999999998</v>
      </c>
      <c r="H74" s="18" t="s">
        <v>127</v>
      </c>
      <c r="I74">
        <v>0.33</v>
      </c>
      <c r="J74" t="s">
        <v>195</v>
      </c>
      <c r="K74">
        <v>0.52</v>
      </c>
    </row>
    <row r="75" spans="1:11" x14ac:dyDescent="0.3">
      <c r="A75" s="19" t="s">
        <v>14</v>
      </c>
      <c r="B75" t="s">
        <v>48</v>
      </c>
      <c r="C75">
        <v>0.45</v>
      </c>
      <c r="H75" s="18" t="s">
        <v>116</v>
      </c>
      <c r="I75">
        <v>0.08</v>
      </c>
    </row>
    <row r="76" spans="1:11" x14ac:dyDescent="0.3">
      <c r="A76" s="19" t="s">
        <v>14</v>
      </c>
      <c r="H76" s="18" t="s">
        <v>214</v>
      </c>
      <c r="I76">
        <v>0.98</v>
      </c>
    </row>
    <row r="79" spans="1:11" x14ac:dyDescent="0.3">
      <c r="A79" s="19" t="s">
        <v>15</v>
      </c>
      <c r="B79" t="s">
        <v>137</v>
      </c>
      <c r="C79">
        <v>0.65</v>
      </c>
      <c r="D79" t="s">
        <v>137</v>
      </c>
      <c r="E79">
        <v>1.22</v>
      </c>
      <c r="F79" t="s">
        <v>81</v>
      </c>
      <c r="G79">
        <v>1.37</v>
      </c>
      <c r="H79" s="18" t="s">
        <v>81</v>
      </c>
      <c r="I79">
        <v>4.7700000000000005</v>
      </c>
      <c r="J79" t="s">
        <v>81</v>
      </c>
      <c r="K79">
        <v>0.92</v>
      </c>
    </row>
    <row r="80" spans="1:11" x14ac:dyDescent="0.3">
      <c r="A80" s="19" t="s">
        <v>15</v>
      </c>
      <c r="B80" t="s">
        <v>54</v>
      </c>
      <c r="C80">
        <v>3.17</v>
      </c>
      <c r="D80" t="s">
        <v>291</v>
      </c>
      <c r="E80">
        <v>0.22</v>
      </c>
      <c r="F80" t="s">
        <v>151</v>
      </c>
      <c r="G80">
        <v>0.37</v>
      </c>
      <c r="H80" s="18" t="s">
        <v>54</v>
      </c>
      <c r="I80">
        <v>1.9300000000000002</v>
      </c>
      <c r="J80" t="s">
        <v>54</v>
      </c>
      <c r="K80">
        <v>6.15</v>
      </c>
    </row>
    <row r="81" spans="1:11" x14ac:dyDescent="0.3">
      <c r="A81" s="19" t="s">
        <v>15</v>
      </c>
      <c r="B81" t="s">
        <v>143</v>
      </c>
      <c r="C81">
        <v>0.95</v>
      </c>
      <c r="D81" t="s">
        <v>54</v>
      </c>
      <c r="E81">
        <v>2.7600000000000002</v>
      </c>
      <c r="F81" t="s">
        <v>54</v>
      </c>
      <c r="G81">
        <v>2.85</v>
      </c>
      <c r="H81" s="18" t="s">
        <v>114</v>
      </c>
      <c r="I81">
        <v>1.23</v>
      </c>
      <c r="J81" t="s">
        <v>195</v>
      </c>
      <c r="K81">
        <v>0.93</v>
      </c>
    </row>
    <row r="82" spans="1:11" x14ac:dyDescent="0.3">
      <c r="A82" s="19" t="s">
        <v>15</v>
      </c>
      <c r="B82" t="s">
        <v>114</v>
      </c>
      <c r="C82">
        <v>2.34</v>
      </c>
      <c r="D82" t="s">
        <v>1409</v>
      </c>
      <c r="E82">
        <v>0.25</v>
      </c>
      <c r="F82" t="s">
        <v>1409</v>
      </c>
      <c r="G82">
        <v>0.42</v>
      </c>
      <c r="H82" s="18" t="s">
        <v>127</v>
      </c>
      <c r="I82">
        <v>0.2</v>
      </c>
    </row>
    <row r="83" spans="1:11" x14ac:dyDescent="0.3">
      <c r="A83" s="19" t="s">
        <v>15</v>
      </c>
      <c r="B83" t="s">
        <v>127</v>
      </c>
      <c r="C83">
        <v>0.45</v>
      </c>
      <c r="D83" t="s">
        <v>437</v>
      </c>
      <c r="E83">
        <v>0.32</v>
      </c>
      <c r="F83" t="s">
        <v>114</v>
      </c>
      <c r="G83">
        <v>1.17</v>
      </c>
    </row>
    <row r="84" spans="1:11" x14ac:dyDescent="0.3">
      <c r="A84" s="19" t="s">
        <v>15</v>
      </c>
      <c r="B84" t="s">
        <v>195</v>
      </c>
      <c r="C84">
        <v>0.2</v>
      </c>
      <c r="D84" t="s">
        <v>143</v>
      </c>
      <c r="E84">
        <v>0.56000000000000005</v>
      </c>
      <c r="F84" t="s">
        <v>127</v>
      </c>
      <c r="G84">
        <v>1.83</v>
      </c>
    </row>
    <row r="85" spans="1:11" x14ac:dyDescent="0.3">
      <c r="A85" s="19" t="s">
        <v>15</v>
      </c>
      <c r="B85" t="s">
        <v>48</v>
      </c>
      <c r="C85">
        <v>0.25</v>
      </c>
      <c r="D85" t="s">
        <v>114</v>
      </c>
      <c r="E85">
        <v>0.78</v>
      </c>
    </row>
    <row r="86" spans="1:11" x14ac:dyDescent="0.3">
      <c r="A86" s="19" t="s">
        <v>15</v>
      </c>
      <c r="D86" t="s">
        <v>127</v>
      </c>
      <c r="E86">
        <v>0.35</v>
      </c>
    </row>
    <row r="87" spans="1:11" x14ac:dyDescent="0.3">
      <c r="A87" s="19" t="s">
        <v>15</v>
      </c>
      <c r="D87" t="s">
        <v>195</v>
      </c>
      <c r="E87">
        <v>1.25</v>
      </c>
    </row>
    <row r="88" spans="1:11" x14ac:dyDescent="0.3">
      <c r="A88" s="19" t="s">
        <v>15</v>
      </c>
      <c r="D88" t="s">
        <v>214</v>
      </c>
      <c r="E88">
        <v>0.28000000000000003</v>
      </c>
    </row>
    <row r="91" spans="1:11" x14ac:dyDescent="0.3">
      <c r="A91" s="19" t="s">
        <v>16</v>
      </c>
      <c r="B91" t="s">
        <v>54</v>
      </c>
      <c r="C91">
        <v>6.8</v>
      </c>
      <c r="D91" t="s">
        <v>81</v>
      </c>
      <c r="E91">
        <v>2.35</v>
      </c>
      <c r="F91" t="s">
        <v>81</v>
      </c>
      <c r="G91">
        <v>3.06</v>
      </c>
      <c r="H91" s="18" t="s">
        <v>137</v>
      </c>
      <c r="I91">
        <v>0.45</v>
      </c>
      <c r="J91" t="s">
        <v>81</v>
      </c>
      <c r="K91">
        <v>0.65</v>
      </c>
    </row>
    <row r="92" spans="1:11" x14ac:dyDescent="0.3">
      <c r="A92" s="19" t="s">
        <v>16</v>
      </c>
      <c r="B92" t="s">
        <v>1409</v>
      </c>
      <c r="C92">
        <v>0.55000000000000004</v>
      </c>
      <c r="D92" t="s">
        <v>54</v>
      </c>
      <c r="E92">
        <v>2.1</v>
      </c>
      <c r="F92" t="s">
        <v>54</v>
      </c>
      <c r="G92">
        <v>2.0500000000000003</v>
      </c>
      <c r="H92" s="18" t="s">
        <v>81</v>
      </c>
      <c r="I92">
        <v>4.6999999999999993</v>
      </c>
      <c r="J92" t="s">
        <v>54</v>
      </c>
      <c r="K92">
        <v>6.9399999999999995</v>
      </c>
    </row>
    <row r="93" spans="1:11" x14ac:dyDescent="0.3">
      <c r="A93" s="19" t="s">
        <v>16</v>
      </c>
      <c r="B93" t="s">
        <v>114</v>
      </c>
      <c r="C93">
        <v>0.28000000000000003</v>
      </c>
      <c r="D93" t="s">
        <v>1409</v>
      </c>
      <c r="E93">
        <v>0.68</v>
      </c>
      <c r="F93" t="s">
        <v>437</v>
      </c>
      <c r="G93">
        <v>2.11</v>
      </c>
      <c r="H93" s="18" t="s">
        <v>54</v>
      </c>
      <c r="I93">
        <v>1.8699999999999999</v>
      </c>
      <c r="J93" t="s">
        <v>437</v>
      </c>
      <c r="K93">
        <v>0.42</v>
      </c>
    </row>
    <row r="94" spans="1:11" x14ac:dyDescent="0.3">
      <c r="A94" s="19" t="s">
        <v>16</v>
      </c>
      <c r="B94" t="s">
        <v>127</v>
      </c>
      <c r="C94">
        <v>0.37</v>
      </c>
      <c r="D94" t="s">
        <v>437</v>
      </c>
      <c r="E94">
        <v>1.54</v>
      </c>
      <c r="F94" t="s">
        <v>61</v>
      </c>
      <c r="G94">
        <v>0.3</v>
      </c>
      <c r="H94" s="18" t="s">
        <v>114</v>
      </c>
      <c r="I94">
        <v>0.56999999999999995</v>
      </c>
    </row>
    <row r="95" spans="1:11" x14ac:dyDescent="0.3">
      <c r="A95" s="19" t="s">
        <v>16</v>
      </c>
      <c r="D95" t="s">
        <v>114</v>
      </c>
      <c r="E95">
        <v>0.37</v>
      </c>
      <c r="F95" t="s">
        <v>195</v>
      </c>
      <c r="G95">
        <v>0.47</v>
      </c>
      <c r="H95" s="18" t="s">
        <v>127</v>
      </c>
      <c r="I95">
        <v>0.42</v>
      </c>
    </row>
    <row r="96" spans="1:11" x14ac:dyDescent="0.3">
      <c r="A96" s="19" t="s">
        <v>16</v>
      </c>
      <c r="D96" t="s">
        <v>52</v>
      </c>
      <c r="E96">
        <v>0.97</v>
      </c>
    </row>
    <row r="99" spans="1:13" x14ac:dyDescent="0.3">
      <c r="A99" s="19" t="s">
        <v>18</v>
      </c>
      <c r="B99" t="s">
        <v>81</v>
      </c>
      <c r="C99">
        <v>0.57000000000000006</v>
      </c>
      <c r="D99" t="s">
        <v>137</v>
      </c>
      <c r="E99">
        <v>1.3</v>
      </c>
      <c r="F99" t="s">
        <v>137</v>
      </c>
      <c r="G99">
        <v>0.23</v>
      </c>
      <c r="H99" s="18" t="s">
        <v>137</v>
      </c>
      <c r="I99">
        <v>0.28000000000000003</v>
      </c>
      <c r="J99" t="s">
        <v>54</v>
      </c>
      <c r="K99">
        <v>8</v>
      </c>
    </row>
    <row r="100" spans="1:13" x14ac:dyDescent="0.3">
      <c r="A100" s="19" t="s">
        <v>18</v>
      </c>
      <c r="B100" t="s">
        <v>291</v>
      </c>
      <c r="C100">
        <v>0.22</v>
      </c>
      <c r="D100" t="s">
        <v>81</v>
      </c>
      <c r="E100">
        <v>0.45</v>
      </c>
      <c r="F100" t="s">
        <v>81</v>
      </c>
      <c r="G100">
        <v>2.0099999999999998</v>
      </c>
      <c r="H100" s="18" t="s">
        <v>81</v>
      </c>
      <c r="I100">
        <v>4.7699999999999996</v>
      </c>
    </row>
    <row r="101" spans="1:13" x14ac:dyDescent="0.3">
      <c r="A101" s="19" t="s">
        <v>18</v>
      </c>
      <c r="B101" t="s">
        <v>54</v>
      </c>
      <c r="C101">
        <v>1.8599999999999999</v>
      </c>
      <c r="D101" t="s">
        <v>54</v>
      </c>
      <c r="E101">
        <v>2.2199999999999998</v>
      </c>
      <c r="F101" t="s">
        <v>54</v>
      </c>
      <c r="G101">
        <v>2.5300000000000002</v>
      </c>
      <c r="H101" s="18" t="s">
        <v>54</v>
      </c>
      <c r="I101">
        <v>1.3199999999999998</v>
      </c>
    </row>
    <row r="102" spans="1:13" x14ac:dyDescent="0.3">
      <c r="A102" s="19" t="s">
        <v>18</v>
      </c>
      <c r="B102" t="s">
        <v>143</v>
      </c>
      <c r="C102">
        <v>1.27</v>
      </c>
      <c r="D102" t="s">
        <v>114</v>
      </c>
      <c r="E102">
        <v>0.62</v>
      </c>
      <c r="F102" t="s">
        <v>437</v>
      </c>
      <c r="G102">
        <v>1.1600000000000001</v>
      </c>
      <c r="H102" s="18" t="s">
        <v>143</v>
      </c>
      <c r="I102">
        <v>0.17</v>
      </c>
    </row>
    <row r="103" spans="1:13" x14ac:dyDescent="0.3">
      <c r="A103" s="19" t="s">
        <v>18</v>
      </c>
      <c r="B103" t="s">
        <v>114</v>
      </c>
      <c r="C103">
        <v>0.47</v>
      </c>
      <c r="D103" t="s">
        <v>127</v>
      </c>
      <c r="E103">
        <v>1.35</v>
      </c>
      <c r="F103" t="s">
        <v>127</v>
      </c>
      <c r="G103">
        <v>0.48</v>
      </c>
      <c r="H103" s="18" t="s">
        <v>114</v>
      </c>
      <c r="I103">
        <v>0.37</v>
      </c>
    </row>
    <row r="104" spans="1:13" x14ac:dyDescent="0.3">
      <c r="A104" s="19" t="s">
        <v>18</v>
      </c>
      <c r="B104" t="s">
        <v>37</v>
      </c>
      <c r="C104">
        <v>0.42</v>
      </c>
      <c r="D104" t="s">
        <v>61</v>
      </c>
      <c r="E104">
        <v>1.2</v>
      </c>
      <c r="F104" t="s">
        <v>61</v>
      </c>
      <c r="G104">
        <v>1.5599999999999998</v>
      </c>
      <c r="H104" s="18" t="s">
        <v>127</v>
      </c>
      <c r="I104">
        <v>1.04</v>
      </c>
    </row>
    <row r="105" spans="1:13" x14ac:dyDescent="0.3">
      <c r="A105" s="19" t="s">
        <v>18</v>
      </c>
      <c r="B105" t="s">
        <v>127</v>
      </c>
      <c r="C105">
        <v>0.45</v>
      </c>
      <c r="D105" t="s">
        <v>116</v>
      </c>
      <c r="E105">
        <v>0.87</v>
      </c>
      <c r="H105" s="18" t="s">
        <v>61</v>
      </c>
      <c r="I105">
        <v>7.0000000000000007E-2</v>
      </c>
    </row>
    <row r="106" spans="1:13" x14ac:dyDescent="0.3">
      <c r="A106" s="19" t="s">
        <v>18</v>
      </c>
      <c r="B106" t="s">
        <v>116</v>
      </c>
      <c r="C106">
        <v>2.33</v>
      </c>
    </row>
    <row r="107" spans="1:13" x14ac:dyDescent="0.3">
      <c r="A107" s="19" t="s">
        <v>18</v>
      </c>
      <c r="B107" t="s">
        <v>48</v>
      </c>
      <c r="C107">
        <v>0.42</v>
      </c>
    </row>
    <row r="110" spans="1:13" x14ac:dyDescent="0.3">
      <c r="L110" s="1"/>
      <c r="M110" s="1"/>
    </row>
    <row r="111" spans="1:13" x14ac:dyDescent="0.3">
      <c r="B111" s="1"/>
      <c r="D111" s="1"/>
      <c r="F111" s="1"/>
      <c r="H111" s="17"/>
      <c r="J111" s="1"/>
    </row>
    <row r="160" spans="12:13" x14ac:dyDescent="0.3">
      <c r="L160" s="1"/>
      <c r="M160" s="1"/>
    </row>
    <row r="161" spans="2:10" x14ac:dyDescent="0.3">
      <c r="B161" s="1"/>
      <c r="D161" s="1"/>
      <c r="F161" s="1"/>
      <c r="H161" s="17"/>
      <c r="J161" s="1"/>
    </row>
    <row r="210" spans="2:13" x14ac:dyDescent="0.3">
      <c r="L210" s="1"/>
      <c r="M210" s="1"/>
    </row>
    <row r="211" spans="2:13" x14ac:dyDescent="0.3">
      <c r="B211" s="1"/>
      <c r="D211" s="1"/>
      <c r="F211" s="1"/>
      <c r="H211" s="17"/>
      <c r="J211" s="1"/>
    </row>
    <row r="260" spans="2:13" x14ac:dyDescent="0.3">
      <c r="L260" s="1"/>
      <c r="M260" s="1"/>
    </row>
    <row r="261" spans="2:13" x14ac:dyDescent="0.3">
      <c r="B261" s="1"/>
      <c r="D261" s="1"/>
      <c r="F261" s="1"/>
      <c r="H261" s="17"/>
      <c r="J261" s="1"/>
    </row>
    <row r="310" spans="2:13" x14ac:dyDescent="0.3">
      <c r="L310" s="1"/>
      <c r="M310" s="1"/>
    </row>
    <row r="311" spans="2:13" x14ac:dyDescent="0.3">
      <c r="B311" s="1"/>
      <c r="D311" s="1"/>
      <c r="F311" s="1"/>
      <c r="H311" s="17"/>
      <c r="J311" s="1"/>
    </row>
    <row r="360" spans="2:13" x14ac:dyDescent="0.3">
      <c r="L360" s="1"/>
      <c r="M360" s="1"/>
    </row>
    <row r="361" spans="2:13" x14ac:dyDescent="0.3">
      <c r="B361" s="1"/>
      <c r="D361" s="1"/>
      <c r="F361" s="1"/>
      <c r="H361" s="17"/>
      <c r="J361" s="1"/>
    </row>
    <row r="410" spans="2:13" x14ac:dyDescent="0.3">
      <c r="L410" s="1"/>
      <c r="M410" s="1"/>
    </row>
    <row r="411" spans="2:13" x14ac:dyDescent="0.3">
      <c r="B411" s="1"/>
      <c r="D411" s="1"/>
      <c r="F411" s="1"/>
      <c r="H411" s="17"/>
      <c r="J411" s="1"/>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C441AB1-6DFF-40AA-9B06-0A146C279C74}">
          <x14:formula1>
            <xm:f>'Client Name'!$A:$A</xm:f>
          </x14:formula1>
          <xm:sqref>H4:H9 J11:J21 D4:D10 J9 J4:J7 D12:D24 J23 J37 J51 D40:D52 J39:J49 D26:D38 J25:J35 B4:B58 D54:D58 H53:H58 J53:J58 H11:H23 H25:H37 F4:F58 H39:H51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CF1B7-7334-4E96-8DFC-F4FA74BD0AE6}">
  <sheetPr codeName="Sheet22"/>
  <dimension ref="A1:AF84"/>
  <sheetViews>
    <sheetView zoomScale="70" zoomScaleNormal="70" workbookViewId="0">
      <selection activeCell="L1" sqref="L1"/>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134</v>
      </c>
      <c r="C1" s="14"/>
      <c r="D1" s="14"/>
      <c r="E1" s="4"/>
      <c r="F1" s="14"/>
      <c r="G1" s="14"/>
      <c r="H1" s="4"/>
      <c r="I1" s="14"/>
      <c r="J1" s="14"/>
      <c r="K1" s="14"/>
      <c r="L1" s="1" t="s">
        <v>3144</v>
      </c>
      <c r="M1">
        <v>160</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137</v>
      </c>
      <c r="P2">
        <v>32</v>
      </c>
      <c r="R2">
        <v>8</v>
      </c>
      <c r="S2">
        <v>8</v>
      </c>
      <c r="T2">
        <v>8</v>
      </c>
      <c r="U2">
        <v>8</v>
      </c>
      <c r="Y2" t="s">
        <v>137</v>
      </c>
      <c r="Z2">
        <v>23.160000000000004</v>
      </c>
      <c r="AB2">
        <v>0.7</v>
      </c>
      <c r="AC2">
        <v>6.62</v>
      </c>
      <c r="AD2">
        <v>6.1099999999999994</v>
      </c>
      <c r="AE2">
        <v>5.8100000000000005</v>
      </c>
      <c r="AF2">
        <v>3.92</v>
      </c>
    </row>
    <row r="3" spans="1:32" x14ac:dyDescent="0.3">
      <c r="A3" s="2"/>
      <c r="B3" s="2" t="s">
        <v>378</v>
      </c>
      <c r="C3" s="2"/>
      <c r="D3" s="2" t="s">
        <v>576</v>
      </c>
      <c r="E3" s="2"/>
      <c r="F3" s="2" t="s">
        <v>747</v>
      </c>
      <c r="G3" s="2"/>
      <c r="H3" s="4" t="s">
        <v>897</v>
      </c>
      <c r="I3" s="2"/>
      <c r="J3" s="14" t="s">
        <v>33</v>
      </c>
      <c r="O3" t="s">
        <v>135</v>
      </c>
      <c r="P3">
        <v>20</v>
      </c>
      <c r="R3">
        <v>5</v>
      </c>
      <c r="S3">
        <v>5</v>
      </c>
      <c r="T3">
        <v>5</v>
      </c>
      <c r="U3">
        <v>5</v>
      </c>
      <c r="Y3" t="s">
        <v>135</v>
      </c>
      <c r="Z3">
        <v>22.68</v>
      </c>
      <c r="AB3">
        <v>0.48</v>
      </c>
      <c r="AC3">
        <v>7.4499999999999993</v>
      </c>
      <c r="AD3">
        <v>3.8</v>
      </c>
      <c r="AE3">
        <v>6.4499999999999993</v>
      </c>
      <c r="AF3">
        <v>4.5</v>
      </c>
    </row>
    <row r="4" spans="1:32" x14ac:dyDescent="0.3">
      <c r="A4" s="2" t="s">
        <v>13</v>
      </c>
      <c r="B4" s="5" t="s">
        <v>137</v>
      </c>
      <c r="C4" s="3">
        <v>1.5</v>
      </c>
      <c r="D4" s="51" t="s">
        <v>139</v>
      </c>
      <c r="E4" s="3">
        <v>1.5</v>
      </c>
      <c r="F4" s="5" t="s">
        <v>137</v>
      </c>
      <c r="G4" s="3">
        <v>3</v>
      </c>
      <c r="H4" s="5" t="s">
        <v>137</v>
      </c>
      <c r="I4" s="3">
        <v>1</v>
      </c>
      <c r="J4" s="5" t="s">
        <v>143</v>
      </c>
      <c r="K4">
        <v>2.5</v>
      </c>
      <c r="O4" t="s">
        <v>254</v>
      </c>
      <c r="P4">
        <v>0</v>
      </c>
      <c r="R4">
        <v>0</v>
      </c>
      <c r="S4">
        <v>0</v>
      </c>
      <c r="T4">
        <v>0</v>
      </c>
      <c r="U4">
        <v>0</v>
      </c>
      <c r="Y4" t="s">
        <v>254</v>
      </c>
      <c r="Z4">
        <v>0.25</v>
      </c>
      <c r="AB4">
        <v>0</v>
      </c>
      <c r="AC4">
        <v>0.25</v>
      </c>
      <c r="AD4">
        <v>0</v>
      </c>
      <c r="AE4">
        <v>0</v>
      </c>
      <c r="AF4">
        <v>0</v>
      </c>
    </row>
    <row r="5" spans="1:32" x14ac:dyDescent="0.3">
      <c r="A5" s="2" t="s">
        <v>13</v>
      </c>
      <c r="B5" s="5" t="s">
        <v>139</v>
      </c>
      <c r="C5" s="3">
        <v>0.5</v>
      </c>
      <c r="D5" s="15" t="s">
        <v>137</v>
      </c>
      <c r="E5" s="3">
        <v>1.5</v>
      </c>
      <c r="F5" s="5" t="s">
        <v>139</v>
      </c>
      <c r="G5" s="3">
        <v>1.5</v>
      </c>
      <c r="H5" s="5" t="s">
        <v>139</v>
      </c>
      <c r="I5" s="3">
        <v>1</v>
      </c>
      <c r="J5" s="5" t="s">
        <v>139</v>
      </c>
      <c r="K5">
        <v>0.5</v>
      </c>
      <c r="O5" t="s">
        <v>54</v>
      </c>
      <c r="P5">
        <v>18</v>
      </c>
      <c r="R5">
        <v>4.5</v>
      </c>
      <c r="S5">
        <v>4.5</v>
      </c>
      <c r="T5">
        <v>4.5</v>
      </c>
      <c r="U5">
        <v>4.5</v>
      </c>
      <c r="Y5" t="s">
        <v>54</v>
      </c>
      <c r="Z5">
        <v>34.47</v>
      </c>
      <c r="AB5">
        <v>3</v>
      </c>
      <c r="AC5">
        <v>4.45</v>
      </c>
      <c r="AD5">
        <v>3.65</v>
      </c>
      <c r="AE5">
        <v>5.3</v>
      </c>
      <c r="AF5">
        <v>18.07</v>
      </c>
    </row>
    <row r="6" spans="1:32" x14ac:dyDescent="0.3">
      <c r="A6" s="2" t="s">
        <v>13</v>
      </c>
      <c r="B6" s="5" t="s">
        <v>143</v>
      </c>
      <c r="C6" s="3">
        <v>1</v>
      </c>
      <c r="D6" s="51" t="s">
        <v>143</v>
      </c>
      <c r="E6" s="3">
        <v>1</v>
      </c>
      <c r="F6" s="15" t="s">
        <v>143</v>
      </c>
      <c r="G6" s="3">
        <v>1</v>
      </c>
      <c r="H6" s="15" t="s">
        <v>143</v>
      </c>
      <c r="I6" s="3">
        <v>0.5</v>
      </c>
      <c r="J6" s="29" t="s">
        <v>137</v>
      </c>
      <c r="K6">
        <v>1</v>
      </c>
      <c r="O6" t="s">
        <v>139</v>
      </c>
      <c r="P6">
        <v>20</v>
      </c>
      <c r="R6">
        <v>5</v>
      </c>
      <c r="S6">
        <v>5</v>
      </c>
      <c r="T6">
        <v>5</v>
      </c>
      <c r="U6">
        <v>5</v>
      </c>
      <c r="Y6" t="s">
        <v>139</v>
      </c>
      <c r="Z6">
        <v>28.869999999999997</v>
      </c>
      <c r="AB6">
        <v>1.88</v>
      </c>
      <c r="AC6">
        <v>8.11</v>
      </c>
      <c r="AD6">
        <v>6.7899999999999991</v>
      </c>
      <c r="AE6">
        <v>8.1900000000000013</v>
      </c>
      <c r="AF6">
        <v>3.9</v>
      </c>
    </row>
    <row r="7" spans="1:32" x14ac:dyDescent="0.3">
      <c r="A7" s="2" t="s">
        <v>13</v>
      </c>
      <c r="B7" s="5" t="s">
        <v>135</v>
      </c>
      <c r="C7" s="3">
        <v>1.5</v>
      </c>
      <c r="D7" s="51" t="s">
        <v>135</v>
      </c>
      <c r="E7" s="3">
        <v>0.5</v>
      </c>
      <c r="F7" s="5" t="s">
        <v>135</v>
      </c>
      <c r="G7" s="3">
        <v>1</v>
      </c>
      <c r="H7" s="15" t="s">
        <v>135</v>
      </c>
      <c r="I7" s="3">
        <v>1</v>
      </c>
      <c r="J7" s="5" t="s">
        <v>135</v>
      </c>
      <c r="K7">
        <v>1</v>
      </c>
      <c r="O7" t="s">
        <v>143</v>
      </c>
      <c r="P7">
        <v>24</v>
      </c>
      <c r="R7">
        <v>6</v>
      </c>
      <c r="S7">
        <v>6</v>
      </c>
      <c r="T7">
        <v>6</v>
      </c>
      <c r="U7">
        <v>6</v>
      </c>
      <c r="Y7" t="s">
        <v>143</v>
      </c>
      <c r="Z7">
        <v>25.7</v>
      </c>
      <c r="AB7">
        <v>1.9300000000000002</v>
      </c>
      <c r="AC7">
        <v>8.99</v>
      </c>
      <c r="AD7">
        <v>5.66</v>
      </c>
      <c r="AE7">
        <v>5.5</v>
      </c>
      <c r="AF7">
        <v>3.62</v>
      </c>
    </row>
    <row r="8" spans="1:32" x14ac:dyDescent="0.3">
      <c r="A8" s="2" t="s">
        <v>13</v>
      </c>
      <c r="B8" s="5" t="s">
        <v>420</v>
      </c>
      <c r="C8" s="3">
        <v>1.5</v>
      </c>
      <c r="D8" s="15" t="s">
        <v>420</v>
      </c>
      <c r="E8" s="3">
        <v>1.5</v>
      </c>
      <c r="F8" s="15" t="s">
        <v>420</v>
      </c>
      <c r="G8" s="3">
        <v>0.5</v>
      </c>
      <c r="H8" s="5" t="s">
        <v>420</v>
      </c>
      <c r="I8" s="3">
        <v>1</v>
      </c>
      <c r="J8" s="29" t="s">
        <v>420</v>
      </c>
      <c r="K8">
        <v>1</v>
      </c>
      <c r="O8" t="s">
        <v>337</v>
      </c>
      <c r="P8">
        <v>6</v>
      </c>
      <c r="R8">
        <v>1.5</v>
      </c>
      <c r="S8">
        <v>1.5</v>
      </c>
      <c r="T8">
        <v>1.5</v>
      </c>
      <c r="U8">
        <v>1.5</v>
      </c>
      <c r="Y8" t="s">
        <v>337</v>
      </c>
      <c r="Z8">
        <v>0</v>
      </c>
      <c r="AB8">
        <v>0</v>
      </c>
      <c r="AC8">
        <v>0</v>
      </c>
      <c r="AD8">
        <v>0</v>
      </c>
      <c r="AE8">
        <v>0</v>
      </c>
      <c r="AF8">
        <v>0</v>
      </c>
    </row>
    <row r="9" spans="1:32" x14ac:dyDescent="0.3">
      <c r="A9" s="2" t="s">
        <v>13</v>
      </c>
      <c r="B9" s="5" t="s">
        <v>423</v>
      </c>
      <c r="C9" s="3">
        <v>1</v>
      </c>
      <c r="D9" s="15" t="s">
        <v>423</v>
      </c>
      <c r="E9" s="3">
        <v>1</v>
      </c>
      <c r="F9" s="15" t="s">
        <v>423</v>
      </c>
      <c r="G9" s="3">
        <v>0.5</v>
      </c>
      <c r="H9" s="5" t="s">
        <v>423</v>
      </c>
      <c r="I9" s="3">
        <v>1</v>
      </c>
      <c r="J9" s="29" t="s">
        <v>423</v>
      </c>
      <c r="K9">
        <v>1</v>
      </c>
      <c r="O9" t="s">
        <v>420</v>
      </c>
      <c r="P9">
        <v>22</v>
      </c>
      <c r="R9">
        <v>5.5</v>
      </c>
      <c r="S9">
        <v>5.5</v>
      </c>
      <c r="T9">
        <v>5.5</v>
      </c>
      <c r="U9">
        <v>5.5</v>
      </c>
      <c r="Y9" t="s">
        <v>420</v>
      </c>
      <c r="Z9">
        <v>19.63</v>
      </c>
      <c r="AB9">
        <v>0</v>
      </c>
      <c r="AC9">
        <v>3.13</v>
      </c>
      <c r="AD9">
        <v>4.5999999999999996</v>
      </c>
      <c r="AE9">
        <v>7.86</v>
      </c>
      <c r="AF9">
        <v>4.04</v>
      </c>
    </row>
    <row r="10" spans="1:32" x14ac:dyDescent="0.3">
      <c r="A10" s="2" t="s">
        <v>13</v>
      </c>
      <c r="B10" s="5" t="s">
        <v>54</v>
      </c>
      <c r="C10" s="3">
        <v>1</v>
      </c>
      <c r="D10" s="15" t="s">
        <v>54</v>
      </c>
      <c r="E10" s="3">
        <v>1</v>
      </c>
      <c r="F10" s="15" t="s">
        <v>54</v>
      </c>
      <c r="G10" s="3">
        <v>0.5</v>
      </c>
      <c r="H10" s="5" t="s">
        <v>337</v>
      </c>
      <c r="I10" s="3">
        <v>1.5</v>
      </c>
      <c r="J10" s="29" t="s">
        <v>54</v>
      </c>
      <c r="K10">
        <v>1</v>
      </c>
      <c r="O10" t="s">
        <v>423</v>
      </c>
      <c r="P10">
        <v>18</v>
      </c>
      <c r="R10">
        <v>4.5</v>
      </c>
      <c r="S10">
        <v>4.5</v>
      </c>
      <c r="T10">
        <v>4.5</v>
      </c>
      <c r="U10">
        <v>4.5</v>
      </c>
      <c r="Y10" t="s">
        <v>423</v>
      </c>
      <c r="Z10">
        <v>13.23</v>
      </c>
      <c r="AB10">
        <v>0</v>
      </c>
      <c r="AC10">
        <v>1</v>
      </c>
      <c r="AD10">
        <v>9.379999999999999</v>
      </c>
      <c r="AE10">
        <v>0.89</v>
      </c>
      <c r="AF10">
        <v>1.96</v>
      </c>
    </row>
    <row r="11" spans="1:32" x14ac:dyDescent="0.3">
      <c r="A11" s="2" t="s">
        <v>13</v>
      </c>
      <c r="B11" s="5"/>
      <c r="C11" s="3"/>
      <c r="D11" s="15"/>
      <c r="E11" s="3"/>
      <c r="F11" s="3"/>
      <c r="G11" s="3"/>
      <c r="H11" s="5" t="s">
        <v>54</v>
      </c>
      <c r="I11" s="3">
        <v>1</v>
      </c>
      <c r="J11" s="29"/>
    </row>
    <row r="12" spans="1:32" x14ac:dyDescent="0.3">
      <c r="A12" s="2"/>
      <c r="B12" s="5"/>
      <c r="C12" s="3"/>
      <c r="D12" s="15"/>
      <c r="E12" s="3"/>
      <c r="F12" s="3"/>
      <c r="G12" s="3"/>
      <c r="H12" s="5"/>
      <c r="I12" s="3"/>
      <c r="J12" s="29"/>
    </row>
    <row r="13" spans="1:32" x14ac:dyDescent="0.3">
      <c r="A13" s="2"/>
      <c r="B13" s="3"/>
      <c r="C13" s="3"/>
      <c r="D13" s="3"/>
      <c r="E13" s="3"/>
      <c r="F13" s="3"/>
      <c r="G13" s="3"/>
      <c r="H13" s="15"/>
      <c r="I13" s="3"/>
      <c r="J13" s="29"/>
    </row>
    <row r="14" spans="1:32" x14ac:dyDescent="0.3">
      <c r="A14" s="2" t="s">
        <v>14</v>
      </c>
      <c r="B14" s="5" t="s">
        <v>137</v>
      </c>
      <c r="C14" s="3">
        <v>1.5</v>
      </c>
      <c r="D14" s="51" t="s">
        <v>139</v>
      </c>
      <c r="E14" s="3">
        <v>1.5</v>
      </c>
      <c r="F14" s="5" t="s">
        <v>137</v>
      </c>
      <c r="G14" s="3">
        <v>3</v>
      </c>
      <c r="H14" s="5" t="s">
        <v>137</v>
      </c>
      <c r="I14" s="3">
        <v>1</v>
      </c>
      <c r="J14" s="5" t="s">
        <v>143</v>
      </c>
      <c r="K14">
        <v>2.5</v>
      </c>
    </row>
    <row r="15" spans="1:32" x14ac:dyDescent="0.3">
      <c r="A15" s="2" t="s">
        <v>14</v>
      </c>
      <c r="B15" s="5" t="s">
        <v>139</v>
      </c>
      <c r="C15" s="3">
        <v>0.5</v>
      </c>
      <c r="D15" s="15" t="s">
        <v>137</v>
      </c>
      <c r="E15" s="3">
        <v>1.5</v>
      </c>
      <c r="F15" s="5" t="s">
        <v>139</v>
      </c>
      <c r="G15" s="3">
        <v>1.5</v>
      </c>
      <c r="H15" s="5" t="s">
        <v>139</v>
      </c>
      <c r="I15" s="3">
        <v>1</v>
      </c>
      <c r="J15" s="5" t="s">
        <v>139</v>
      </c>
      <c r="K15">
        <v>0.5</v>
      </c>
    </row>
    <row r="16" spans="1:32" x14ac:dyDescent="0.3">
      <c r="A16" s="2" t="s">
        <v>14</v>
      </c>
      <c r="B16" s="5" t="s">
        <v>143</v>
      </c>
      <c r="C16" s="3">
        <v>1</v>
      </c>
      <c r="D16" s="51" t="s">
        <v>143</v>
      </c>
      <c r="E16" s="3">
        <v>1</v>
      </c>
      <c r="F16" s="15" t="s">
        <v>143</v>
      </c>
      <c r="G16" s="3">
        <v>1</v>
      </c>
      <c r="H16" s="15" t="s">
        <v>143</v>
      </c>
      <c r="I16" s="3">
        <v>0.5</v>
      </c>
      <c r="J16" s="29" t="s">
        <v>137</v>
      </c>
      <c r="K16">
        <v>1</v>
      </c>
    </row>
    <row r="17" spans="1:32" x14ac:dyDescent="0.3">
      <c r="A17" s="2" t="s">
        <v>14</v>
      </c>
      <c r="B17" s="5" t="s">
        <v>135</v>
      </c>
      <c r="C17" s="3">
        <v>1.5</v>
      </c>
      <c r="D17" s="51" t="s">
        <v>135</v>
      </c>
      <c r="E17" s="3">
        <v>0.5</v>
      </c>
      <c r="F17" s="5" t="s">
        <v>135</v>
      </c>
      <c r="G17" s="3">
        <v>1</v>
      </c>
      <c r="H17" s="15" t="s">
        <v>135</v>
      </c>
      <c r="I17" s="3">
        <v>1</v>
      </c>
      <c r="J17" s="5" t="s">
        <v>135</v>
      </c>
      <c r="K17">
        <v>1</v>
      </c>
    </row>
    <row r="18" spans="1:32" x14ac:dyDescent="0.3">
      <c r="A18" s="2" t="s">
        <v>14</v>
      </c>
      <c r="B18" s="5" t="s">
        <v>420</v>
      </c>
      <c r="C18" s="3">
        <v>1.5</v>
      </c>
      <c r="D18" s="15" t="s">
        <v>420</v>
      </c>
      <c r="E18" s="3">
        <v>1.5</v>
      </c>
      <c r="F18" s="3" t="s">
        <v>420</v>
      </c>
      <c r="G18" s="3">
        <v>0.5</v>
      </c>
      <c r="H18" s="5" t="s">
        <v>420</v>
      </c>
      <c r="I18" s="3">
        <v>1</v>
      </c>
      <c r="J18" s="29" t="s">
        <v>420</v>
      </c>
      <c r="K18">
        <v>1</v>
      </c>
    </row>
    <row r="19" spans="1:32" x14ac:dyDescent="0.3">
      <c r="A19" s="2" t="s">
        <v>14</v>
      </c>
      <c r="B19" s="5" t="s">
        <v>423</v>
      </c>
      <c r="C19" s="3">
        <v>1</v>
      </c>
      <c r="D19" s="15" t="s">
        <v>423</v>
      </c>
      <c r="E19" s="3">
        <v>1</v>
      </c>
      <c r="F19" s="3" t="s">
        <v>423</v>
      </c>
      <c r="G19" s="3">
        <v>0.5</v>
      </c>
      <c r="H19" s="5" t="s">
        <v>423</v>
      </c>
      <c r="I19" s="3">
        <v>1</v>
      </c>
      <c r="J19" s="29" t="s">
        <v>423</v>
      </c>
      <c r="K19">
        <v>1</v>
      </c>
    </row>
    <row r="20" spans="1:32" x14ac:dyDescent="0.3">
      <c r="A20" s="2" t="s">
        <v>14</v>
      </c>
      <c r="B20" s="5" t="s">
        <v>54</v>
      </c>
      <c r="C20" s="3">
        <v>1</v>
      </c>
      <c r="D20" s="15" t="s">
        <v>54</v>
      </c>
      <c r="E20" s="3">
        <v>1</v>
      </c>
      <c r="F20" s="15" t="s">
        <v>54</v>
      </c>
      <c r="G20" s="3">
        <v>0.5</v>
      </c>
      <c r="H20" s="5" t="s">
        <v>337</v>
      </c>
      <c r="I20" s="3">
        <v>1.5</v>
      </c>
      <c r="J20" s="29" t="s">
        <v>54</v>
      </c>
      <c r="K20">
        <v>1</v>
      </c>
      <c r="O20" t="s">
        <v>3143</v>
      </c>
      <c r="P20">
        <f>SUM(P2:P19)</f>
        <v>160</v>
      </c>
      <c r="R20">
        <f>SUM(R2:R19)</f>
        <v>40</v>
      </c>
      <c r="S20">
        <f>SUM(S2:S19)</f>
        <v>40</v>
      </c>
      <c r="T20">
        <f>SUM(T2:T19)</f>
        <v>40</v>
      </c>
      <c r="U20">
        <f>SUM(U2:U19)</f>
        <v>40</v>
      </c>
      <c r="Y20" t="s">
        <v>3143</v>
      </c>
      <c r="Z20">
        <f>SUM(Z2:Z19)</f>
        <v>167.98999999999998</v>
      </c>
      <c r="AB20">
        <f>SUM(AB2:AB19)</f>
        <v>7.99</v>
      </c>
      <c r="AC20">
        <f>SUM(AC2:AC19)</f>
        <v>40</v>
      </c>
      <c r="AD20">
        <f>SUM(AD2:AD19)</f>
        <v>39.989999999999995</v>
      </c>
      <c r="AE20">
        <f>SUM(AE2:AE19)</f>
        <v>40</v>
      </c>
      <c r="AF20">
        <f>SUM(AF2:AF19)</f>
        <v>40.01</v>
      </c>
    </row>
    <row r="21" spans="1:32" x14ac:dyDescent="0.3">
      <c r="A21" s="2" t="s">
        <v>14</v>
      </c>
      <c r="B21" s="5"/>
      <c r="C21" s="3"/>
      <c r="D21" s="15"/>
      <c r="E21" s="3"/>
      <c r="F21" s="3"/>
      <c r="G21" s="3"/>
      <c r="H21" s="5" t="s">
        <v>54</v>
      </c>
      <c r="I21" s="3">
        <v>1</v>
      </c>
      <c r="J21" s="29"/>
    </row>
    <row r="22" spans="1:32" x14ac:dyDescent="0.3">
      <c r="A22" s="2"/>
      <c r="B22" s="5"/>
      <c r="C22" s="3"/>
      <c r="D22" s="15"/>
      <c r="E22" s="3"/>
      <c r="F22" s="3"/>
      <c r="G22" s="3"/>
      <c r="H22" s="5"/>
      <c r="I22" s="3"/>
      <c r="J22" s="29"/>
    </row>
    <row r="23" spans="1:32" x14ac:dyDescent="0.3">
      <c r="A23" s="2" t="s">
        <v>15</v>
      </c>
      <c r="B23" s="5" t="s">
        <v>137</v>
      </c>
      <c r="C23" s="3">
        <v>1.5</v>
      </c>
      <c r="D23" s="51" t="s">
        <v>139</v>
      </c>
      <c r="E23" s="3">
        <v>1.5</v>
      </c>
      <c r="F23" s="5" t="s">
        <v>137</v>
      </c>
      <c r="G23" s="3">
        <v>3</v>
      </c>
      <c r="H23" s="5" t="s">
        <v>137</v>
      </c>
      <c r="I23" s="3">
        <v>1</v>
      </c>
      <c r="J23" s="5" t="s">
        <v>143</v>
      </c>
      <c r="K23">
        <v>2.5</v>
      </c>
    </row>
    <row r="24" spans="1:32" x14ac:dyDescent="0.3">
      <c r="A24" s="2" t="s">
        <v>15</v>
      </c>
      <c r="B24" s="5" t="s">
        <v>139</v>
      </c>
      <c r="C24" s="3">
        <v>0.5</v>
      </c>
      <c r="D24" s="15" t="s">
        <v>137</v>
      </c>
      <c r="E24" s="3">
        <v>1.5</v>
      </c>
      <c r="F24" s="5" t="s">
        <v>139</v>
      </c>
      <c r="G24" s="3">
        <v>1.5</v>
      </c>
      <c r="H24" s="5" t="s">
        <v>139</v>
      </c>
      <c r="I24" s="3">
        <v>1</v>
      </c>
      <c r="J24" s="5" t="s">
        <v>139</v>
      </c>
      <c r="K24">
        <v>0.5</v>
      </c>
    </row>
    <row r="25" spans="1:32" x14ac:dyDescent="0.3">
      <c r="A25" s="2" t="s">
        <v>15</v>
      </c>
      <c r="B25" s="5" t="s">
        <v>143</v>
      </c>
      <c r="C25" s="3">
        <v>1</v>
      </c>
      <c r="D25" s="51" t="s">
        <v>143</v>
      </c>
      <c r="E25" s="3">
        <v>1</v>
      </c>
      <c r="F25" s="15" t="s">
        <v>143</v>
      </c>
      <c r="G25" s="3">
        <v>1</v>
      </c>
      <c r="H25" s="15" t="s">
        <v>143</v>
      </c>
      <c r="I25" s="3">
        <v>0.5</v>
      </c>
      <c r="J25" s="29" t="s">
        <v>137</v>
      </c>
      <c r="K25">
        <v>1</v>
      </c>
    </row>
    <row r="26" spans="1:32" x14ac:dyDescent="0.3">
      <c r="A26" s="2" t="s">
        <v>15</v>
      </c>
      <c r="B26" s="5" t="s">
        <v>135</v>
      </c>
      <c r="C26" s="3">
        <v>1.5</v>
      </c>
      <c r="D26" s="51" t="s">
        <v>135</v>
      </c>
      <c r="E26" s="3">
        <v>0.5</v>
      </c>
      <c r="F26" s="5" t="s">
        <v>135</v>
      </c>
      <c r="G26" s="3">
        <v>1</v>
      </c>
      <c r="H26" s="15" t="s">
        <v>135</v>
      </c>
      <c r="I26" s="3">
        <v>1</v>
      </c>
      <c r="J26" s="5" t="s">
        <v>135</v>
      </c>
      <c r="K26">
        <v>1</v>
      </c>
    </row>
    <row r="27" spans="1:32" x14ac:dyDescent="0.3">
      <c r="A27" s="2" t="s">
        <v>15</v>
      </c>
      <c r="B27" s="5" t="s">
        <v>420</v>
      </c>
      <c r="C27" s="3">
        <v>1.5</v>
      </c>
      <c r="D27" s="15" t="s">
        <v>420</v>
      </c>
      <c r="E27" s="3">
        <v>1.5</v>
      </c>
      <c r="F27" s="3" t="s">
        <v>420</v>
      </c>
      <c r="G27" s="3">
        <v>0.5</v>
      </c>
      <c r="H27" s="5" t="s">
        <v>420</v>
      </c>
      <c r="I27" s="3">
        <v>1</v>
      </c>
      <c r="J27" s="29" t="s">
        <v>420</v>
      </c>
      <c r="K27">
        <v>1</v>
      </c>
    </row>
    <row r="28" spans="1:32" x14ac:dyDescent="0.3">
      <c r="A28" s="2" t="s">
        <v>15</v>
      </c>
      <c r="B28" s="5" t="s">
        <v>423</v>
      </c>
      <c r="C28" s="3">
        <v>1</v>
      </c>
      <c r="D28" s="15" t="s">
        <v>423</v>
      </c>
      <c r="E28" s="3">
        <v>1</v>
      </c>
      <c r="F28" s="3" t="s">
        <v>423</v>
      </c>
      <c r="G28" s="3">
        <v>0.5</v>
      </c>
      <c r="H28" s="5" t="s">
        <v>423</v>
      </c>
      <c r="I28" s="3">
        <v>1</v>
      </c>
      <c r="J28" s="29" t="s">
        <v>423</v>
      </c>
      <c r="K28">
        <v>1</v>
      </c>
    </row>
    <row r="29" spans="1:32" x14ac:dyDescent="0.3">
      <c r="A29" s="2" t="s">
        <v>15</v>
      </c>
      <c r="B29" s="5" t="s">
        <v>54</v>
      </c>
      <c r="C29" s="3">
        <v>1</v>
      </c>
      <c r="D29" s="15" t="s">
        <v>54</v>
      </c>
      <c r="E29" s="3">
        <v>1</v>
      </c>
      <c r="F29" s="15" t="s">
        <v>54</v>
      </c>
      <c r="G29" s="3">
        <v>0.5</v>
      </c>
      <c r="H29" s="5" t="s">
        <v>337</v>
      </c>
      <c r="I29" s="3">
        <v>1.5</v>
      </c>
      <c r="J29" s="29" t="s">
        <v>54</v>
      </c>
      <c r="K29">
        <v>1</v>
      </c>
    </row>
    <row r="30" spans="1:32" x14ac:dyDescent="0.3">
      <c r="A30" s="2" t="s">
        <v>15</v>
      </c>
      <c r="B30" s="5"/>
      <c r="C30" s="3"/>
      <c r="D30" s="15"/>
      <c r="E30" s="3"/>
      <c r="F30" s="3"/>
      <c r="G30" s="3"/>
      <c r="H30" s="5" t="s">
        <v>54</v>
      </c>
      <c r="I30" s="3">
        <v>1</v>
      </c>
      <c r="J30" s="29"/>
    </row>
    <row r="31" spans="1:32" x14ac:dyDescent="0.3">
      <c r="A31" s="2"/>
      <c r="B31" s="5"/>
      <c r="C31" s="3"/>
      <c r="D31" s="3"/>
      <c r="E31" s="3"/>
      <c r="F31" s="3"/>
      <c r="G31" s="3"/>
      <c r="H31" s="5"/>
      <c r="I31" s="3"/>
      <c r="J31" s="29"/>
    </row>
    <row r="32" spans="1:32" x14ac:dyDescent="0.3">
      <c r="A32" s="2"/>
      <c r="B32" s="3"/>
      <c r="C32" s="3"/>
      <c r="D32" s="3"/>
      <c r="E32" s="3"/>
      <c r="F32" s="3"/>
      <c r="G32" s="3"/>
      <c r="H32" s="15"/>
      <c r="I32" s="3"/>
      <c r="J32" s="29"/>
    </row>
    <row r="33" spans="1:13" x14ac:dyDescent="0.3">
      <c r="A33" s="2" t="s">
        <v>16</v>
      </c>
      <c r="B33" s="5" t="s">
        <v>137</v>
      </c>
      <c r="C33" s="3">
        <v>1.5</v>
      </c>
      <c r="D33" s="51" t="s">
        <v>139</v>
      </c>
      <c r="E33" s="3">
        <v>1.5</v>
      </c>
      <c r="F33" s="5" t="s">
        <v>137</v>
      </c>
      <c r="G33" s="3">
        <v>3</v>
      </c>
      <c r="H33" s="5" t="s">
        <v>137</v>
      </c>
      <c r="I33" s="3">
        <v>1</v>
      </c>
      <c r="J33" s="5" t="s">
        <v>143</v>
      </c>
      <c r="K33">
        <v>2.5</v>
      </c>
    </row>
    <row r="34" spans="1:13" x14ac:dyDescent="0.3">
      <c r="A34" s="2" t="s">
        <v>16</v>
      </c>
      <c r="B34" s="5" t="s">
        <v>139</v>
      </c>
      <c r="C34" s="3">
        <v>0.5</v>
      </c>
      <c r="D34" s="15" t="s">
        <v>137</v>
      </c>
      <c r="E34" s="3">
        <v>1.5</v>
      </c>
      <c r="F34" s="5" t="s">
        <v>139</v>
      </c>
      <c r="G34" s="3">
        <v>1.5</v>
      </c>
      <c r="H34" s="5" t="s">
        <v>139</v>
      </c>
      <c r="I34" s="3">
        <v>1</v>
      </c>
      <c r="J34" s="5" t="s">
        <v>139</v>
      </c>
      <c r="K34">
        <v>0.5</v>
      </c>
    </row>
    <row r="35" spans="1:13" x14ac:dyDescent="0.3">
      <c r="A35" s="2" t="s">
        <v>16</v>
      </c>
      <c r="B35" s="5" t="s">
        <v>143</v>
      </c>
      <c r="C35" s="3">
        <v>1</v>
      </c>
      <c r="D35" s="51" t="s">
        <v>143</v>
      </c>
      <c r="E35" s="3">
        <v>1</v>
      </c>
      <c r="F35" s="15" t="s">
        <v>143</v>
      </c>
      <c r="G35" s="3">
        <v>1</v>
      </c>
      <c r="H35" s="15" t="s">
        <v>143</v>
      </c>
      <c r="I35" s="3">
        <v>0.5</v>
      </c>
      <c r="J35" s="29" t="s">
        <v>137</v>
      </c>
      <c r="K35">
        <v>1</v>
      </c>
    </row>
    <row r="36" spans="1:13" x14ac:dyDescent="0.3">
      <c r="A36" s="2" t="s">
        <v>16</v>
      </c>
      <c r="B36" s="5" t="s">
        <v>135</v>
      </c>
      <c r="C36" s="3">
        <v>1.5</v>
      </c>
      <c r="D36" s="51" t="s">
        <v>135</v>
      </c>
      <c r="E36" s="3">
        <v>0.5</v>
      </c>
      <c r="F36" s="5" t="s">
        <v>135</v>
      </c>
      <c r="G36" s="3">
        <v>1</v>
      </c>
      <c r="H36" s="15" t="s">
        <v>135</v>
      </c>
      <c r="I36" s="3">
        <v>1</v>
      </c>
      <c r="J36" s="5" t="s">
        <v>135</v>
      </c>
      <c r="K36">
        <v>1</v>
      </c>
    </row>
    <row r="37" spans="1:13" x14ac:dyDescent="0.3">
      <c r="A37" s="2" t="s">
        <v>16</v>
      </c>
      <c r="B37" s="5" t="s">
        <v>420</v>
      </c>
      <c r="C37" s="3">
        <v>1.5</v>
      </c>
      <c r="D37" s="15" t="s">
        <v>420</v>
      </c>
      <c r="E37" s="3">
        <v>1.5</v>
      </c>
      <c r="F37" s="3" t="s">
        <v>420</v>
      </c>
      <c r="G37" s="3">
        <v>0.5</v>
      </c>
      <c r="H37" s="5" t="s">
        <v>420</v>
      </c>
      <c r="I37" s="3">
        <v>1</v>
      </c>
      <c r="J37" s="29" t="s">
        <v>420</v>
      </c>
      <c r="K37">
        <v>1</v>
      </c>
    </row>
    <row r="38" spans="1:13" x14ac:dyDescent="0.3">
      <c r="A38" s="2" t="s">
        <v>16</v>
      </c>
      <c r="B38" s="5" t="s">
        <v>423</v>
      </c>
      <c r="C38" s="3">
        <v>1</v>
      </c>
      <c r="D38" s="15" t="s">
        <v>423</v>
      </c>
      <c r="E38" s="3">
        <v>1</v>
      </c>
      <c r="F38" s="3" t="s">
        <v>423</v>
      </c>
      <c r="G38" s="3">
        <v>0.5</v>
      </c>
      <c r="H38" s="5" t="s">
        <v>423</v>
      </c>
      <c r="I38" s="3">
        <v>1</v>
      </c>
      <c r="J38" s="29" t="s">
        <v>423</v>
      </c>
      <c r="K38">
        <v>1</v>
      </c>
    </row>
    <row r="39" spans="1:13" x14ac:dyDescent="0.3">
      <c r="A39" s="2" t="s">
        <v>16</v>
      </c>
      <c r="B39" s="5" t="s">
        <v>54</v>
      </c>
      <c r="C39" s="3">
        <v>1</v>
      </c>
      <c r="D39" s="15" t="s">
        <v>54</v>
      </c>
      <c r="E39" s="3">
        <v>1</v>
      </c>
      <c r="F39" s="15" t="s">
        <v>54</v>
      </c>
      <c r="G39" s="3">
        <v>0.5</v>
      </c>
      <c r="H39" s="5" t="s">
        <v>337</v>
      </c>
      <c r="I39" s="3">
        <v>1.5</v>
      </c>
      <c r="J39" s="29" t="s">
        <v>54</v>
      </c>
      <c r="K39">
        <v>1</v>
      </c>
    </row>
    <row r="40" spans="1:13" x14ac:dyDescent="0.3">
      <c r="A40" s="2" t="s">
        <v>16</v>
      </c>
      <c r="B40" s="5"/>
      <c r="C40" s="3"/>
      <c r="D40" s="15"/>
      <c r="E40" s="3"/>
      <c r="F40" s="3"/>
      <c r="G40" s="3"/>
      <c r="H40" s="5" t="s">
        <v>54</v>
      </c>
      <c r="I40" s="3">
        <v>1</v>
      </c>
      <c r="J40" s="29"/>
    </row>
    <row r="41" spans="1:13" x14ac:dyDescent="0.3">
      <c r="A41" s="2"/>
      <c r="B41" s="5"/>
      <c r="C41" s="3"/>
      <c r="D41" s="3"/>
      <c r="E41" s="3"/>
      <c r="F41" s="3"/>
      <c r="G41" s="3"/>
      <c r="H41" s="5"/>
      <c r="I41" s="3"/>
      <c r="J41" s="29"/>
    </row>
    <row r="43" spans="1:13" x14ac:dyDescent="0.3">
      <c r="A43" s="2" t="s">
        <v>17</v>
      </c>
      <c r="L43" s="1" t="s">
        <v>3144</v>
      </c>
      <c r="M43" s="1">
        <v>167.98999999999998</v>
      </c>
    </row>
    <row r="44" spans="1:13" x14ac:dyDescent="0.3">
      <c r="B44" s="1" t="s">
        <v>378</v>
      </c>
      <c r="D44" s="1" t="s">
        <v>576</v>
      </c>
      <c r="F44" s="1" t="s">
        <v>747</v>
      </c>
      <c r="H44" s="17" t="s">
        <v>897</v>
      </c>
      <c r="J44" s="1" t="s">
        <v>33</v>
      </c>
    </row>
    <row r="45" spans="1:13" x14ac:dyDescent="0.3">
      <c r="A45" s="19" t="s">
        <v>13</v>
      </c>
      <c r="J45" t="s">
        <v>137</v>
      </c>
      <c r="K45">
        <v>0.7</v>
      </c>
    </row>
    <row r="46" spans="1:13" x14ac:dyDescent="0.3">
      <c r="A46" s="19" t="s">
        <v>13</v>
      </c>
      <c r="J46" t="s">
        <v>135</v>
      </c>
      <c r="K46">
        <v>0.48</v>
      </c>
    </row>
    <row r="47" spans="1:13" x14ac:dyDescent="0.3">
      <c r="A47" s="19" t="s">
        <v>13</v>
      </c>
      <c r="J47" t="s">
        <v>54</v>
      </c>
      <c r="K47">
        <v>3</v>
      </c>
    </row>
    <row r="48" spans="1:13" x14ac:dyDescent="0.3">
      <c r="A48" s="19" t="s">
        <v>13</v>
      </c>
      <c r="J48" t="s">
        <v>139</v>
      </c>
      <c r="K48">
        <v>1.88</v>
      </c>
    </row>
    <row r="49" spans="1:11" x14ac:dyDescent="0.3">
      <c r="A49" s="19" t="s">
        <v>13</v>
      </c>
      <c r="J49" t="s">
        <v>143</v>
      </c>
      <c r="K49">
        <v>1.9300000000000002</v>
      </c>
    </row>
    <row r="52" spans="1:11" x14ac:dyDescent="0.3">
      <c r="A52" s="19" t="s">
        <v>14</v>
      </c>
      <c r="B52" t="s">
        <v>137</v>
      </c>
      <c r="C52">
        <v>2.2000000000000002</v>
      </c>
      <c r="D52" t="s">
        <v>137</v>
      </c>
      <c r="E52">
        <v>0.87</v>
      </c>
      <c r="F52" t="s">
        <v>137</v>
      </c>
      <c r="G52">
        <v>3</v>
      </c>
      <c r="H52" s="18" t="s">
        <v>137</v>
      </c>
      <c r="I52">
        <v>0.55000000000000004</v>
      </c>
      <c r="J52" t="s">
        <v>135</v>
      </c>
      <c r="K52">
        <v>2.0499999999999998</v>
      </c>
    </row>
    <row r="53" spans="1:11" x14ac:dyDescent="0.3">
      <c r="A53" s="19" t="s">
        <v>14</v>
      </c>
      <c r="B53" t="s">
        <v>135</v>
      </c>
      <c r="C53">
        <v>0.73</v>
      </c>
      <c r="D53" t="s">
        <v>135</v>
      </c>
      <c r="E53">
        <v>1.5</v>
      </c>
      <c r="F53" t="s">
        <v>135</v>
      </c>
      <c r="G53">
        <v>1.62</v>
      </c>
      <c r="H53" s="18" t="s">
        <v>135</v>
      </c>
      <c r="I53">
        <v>1.55</v>
      </c>
      <c r="J53" t="s">
        <v>54</v>
      </c>
      <c r="K53">
        <v>0.83000000000000007</v>
      </c>
    </row>
    <row r="54" spans="1:11" x14ac:dyDescent="0.3">
      <c r="A54" s="19" t="s">
        <v>14</v>
      </c>
      <c r="B54" t="s">
        <v>54</v>
      </c>
      <c r="C54">
        <v>0.5</v>
      </c>
      <c r="D54" t="s">
        <v>54</v>
      </c>
      <c r="E54">
        <v>1.57</v>
      </c>
      <c r="F54" t="s">
        <v>254</v>
      </c>
      <c r="G54">
        <v>0.25</v>
      </c>
      <c r="H54" s="18" t="s">
        <v>54</v>
      </c>
      <c r="I54">
        <v>1.03</v>
      </c>
      <c r="J54" t="s">
        <v>139</v>
      </c>
      <c r="K54">
        <v>2.1399999999999997</v>
      </c>
    </row>
    <row r="55" spans="1:11" x14ac:dyDescent="0.3">
      <c r="A55" s="19" t="s">
        <v>14</v>
      </c>
      <c r="B55" t="s">
        <v>139</v>
      </c>
      <c r="C55">
        <v>1.32</v>
      </c>
      <c r="D55" t="s">
        <v>139</v>
      </c>
      <c r="E55">
        <v>0.93</v>
      </c>
      <c r="F55" t="s">
        <v>54</v>
      </c>
      <c r="G55">
        <v>0.52</v>
      </c>
      <c r="H55" s="18" t="s">
        <v>139</v>
      </c>
      <c r="I55">
        <v>1.9400000000000002</v>
      </c>
      <c r="J55" t="s">
        <v>143</v>
      </c>
      <c r="K55">
        <v>2.97</v>
      </c>
    </row>
    <row r="56" spans="1:11" x14ac:dyDescent="0.3">
      <c r="A56" s="19" t="s">
        <v>14</v>
      </c>
      <c r="B56" t="s">
        <v>143</v>
      </c>
      <c r="C56">
        <v>1.75</v>
      </c>
      <c r="D56" t="s">
        <v>143</v>
      </c>
      <c r="E56">
        <v>1.44</v>
      </c>
      <c r="F56" t="s">
        <v>139</v>
      </c>
      <c r="G56">
        <v>1.78</v>
      </c>
      <c r="H56" s="18" t="s">
        <v>143</v>
      </c>
      <c r="I56">
        <v>2</v>
      </c>
    </row>
    <row r="57" spans="1:11" x14ac:dyDescent="0.3">
      <c r="A57" s="19" t="s">
        <v>14</v>
      </c>
      <c r="B57" t="s">
        <v>420</v>
      </c>
      <c r="C57">
        <v>0.5</v>
      </c>
      <c r="D57" t="s">
        <v>420</v>
      </c>
      <c r="E57">
        <v>1.7</v>
      </c>
      <c r="F57" t="s">
        <v>143</v>
      </c>
      <c r="G57">
        <v>0.83000000000000007</v>
      </c>
      <c r="H57" s="18" t="s">
        <v>420</v>
      </c>
      <c r="I57">
        <v>0.93</v>
      </c>
    </row>
    <row r="58" spans="1:11" x14ac:dyDescent="0.3">
      <c r="A58" s="19" t="s">
        <v>14</v>
      </c>
      <c r="B58" t="s">
        <v>423</v>
      </c>
      <c r="C58">
        <v>1</v>
      </c>
    </row>
    <row r="61" spans="1:11" x14ac:dyDescent="0.3">
      <c r="A61" s="19" t="s">
        <v>15</v>
      </c>
      <c r="B61" t="s">
        <v>135</v>
      </c>
      <c r="C61">
        <v>1.37</v>
      </c>
      <c r="D61" t="s">
        <v>137</v>
      </c>
      <c r="E61">
        <v>2.35</v>
      </c>
      <c r="F61" t="s">
        <v>137</v>
      </c>
      <c r="G61">
        <v>2.0299999999999998</v>
      </c>
      <c r="H61" s="18" t="s">
        <v>137</v>
      </c>
      <c r="I61">
        <v>1.1299999999999999</v>
      </c>
      <c r="J61" t="s">
        <v>137</v>
      </c>
      <c r="K61">
        <v>0.6</v>
      </c>
    </row>
    <row r="62" spans="1:11" x14ac:dyDescent="0.3">
      <c r="A62" s="19" t="s">
        <v>15</v>
      </c>
      <c r="B62" t="s">
        <v>54</v>
      </c>
      <c r="C62">
        <v>1.63</v>
      </c>
      <c r="D62" t="s">
        <v>54</v>
      </c>
      <c r="E62">
        <v>0.25</v>
      </c>
      <c r="F62" t="s">
        <v>135</v>
      </c>
      <c r="G62">
        <v>1.1499999999999999</v>
      </c>
      <c r="H62" s="18" t="s">
        <v>54</v>
      </c>
      <c r="I62">
        <v>0.77</v>
      </c>
      <c r="J62" t="s">
        <v>135</v>
      </c>
      <c r="K62">
        <v>1.28</v>
      </c>
    </row>
    <row r="63" spans="1:11" x14ac:dyDescent="0.3">
      <c r="A63" s="19" t="s">
        <v>15</v>
      </c>
      <c r="B63" t="s">
        <v>139</v>
      </c>
      <c r="C63">
        <v>1.18</v>
      </c>
      <c r="D63" t="s">
        <v>139</v>
      </c>
      <c r="E63">
        <v>1.42</v>
      </c>
      <c r="F63" t="s">
        <v>54</v>
      </c>
      <c r="G63">
        <v>0.5</v>
      </c>
      <c r="H63" s="18" t="s">
        <v>139</v>
      </c>
      <c r="I63">
        <v>0.73</v>
      </c>
      <c r="J63" t="s">
        <v>54</v>
      </c>
      <c r="K63">
        <v>0.5</v>
      </c>
    </row>
    <row r="64" spans="1:11" x14ac:dyDescent="0.3">
      <c r="A64" s="19" t="s">
        <v>15</v>
      </c>
      <c r="B64" t="s">
        <v>143</v>
      </c>
      <c r="C64">
        <v>0.5</v>
      </c>
      <c r="D64" t="s">
        <v>420</v>
      </c>
      <c r="E64">
        <v>1.43</v>
      </c>
      <c r="F64" t="s">
        <v>139</v>
      </c>
      <c r="G64">
        <v>1.85</v>
      </c>
      <c r="H64" s="18" t="s">
        <v>143</v>
      </c>
      <c r="I64">
        <v>0.95</v>
      </c>
      <c r="J64" t="s">
        <v>139</v>
      </c>
      <c r="K64">
        <v>1.6099999999999999</v>
      </c>
    </row>
    <row r="65" spans="1:11" x14ac:dyDescent="0.3">
      <c r="A65" s="19" t="s">
        <v>15</v>
      </c>
      <c r="B65" t="s">
        <v>420</v>
      </c>
      <c r="C65">
        <v>0.67</v>
      </c>
      <c r="D65" t="s">
        <v>423</v>
      </c>
      <c r="E65">
        <v>2.5499999999999998</v>
      </c>
      <c r="F65" t="s">
        <v>143</v>
      </c>
      <c r="G65">
        <v>2.4700000000000002</v>
      </c>
      <c r="H65" s="18" t="s">
        <v>420</v>
      </c>
      <c r="I65">
        <v>1.53</v>
      </c>
      <c r="J65" t="s">
        <v>143</v>
      </c>
      <c r="K65">
        <v>1.74</v>
      </c>
    </row>
    <row r="66" spans="1:11" x14ac:dyDescent="0.3">
      <c r="A66" s="19" t="s">
        <v>15</v>
      </c>
      <c r="B66" t="s">
        <v>423</v>
      </c>
      <c r="C66">
        <v>2.65</v>
      </c>
      <c r="H66" s="18" t="s">
        <v>423</v>
      </c>
      <c r="I66">
        <v>2.88</v>
      </c>
      <c r="J66" t="s">
        <v>420</v>
      </c>
      <c r="K66">
        <v>0.97</v>
      </c>
    </row>
    <row r="67" spans="1:11" x14ac:dyDescent="0.3">
      <c r="A67" s="19" t="s">
        <v>15</v>
      </c>
      <c r="J67" t="s">
        <v>423</v>
      </c>
      <c r="K67">
        <v>1.3</v>
      </c>
    </row>
    <row r="70" spans="1:11" x14ac:dyDescent="0.3">
      <c r="A70" s="19" t="s">
        <v>16</v>
      </c>
      <c r="B70" t="s">
        <v>137</v>
      </c>
      <c r="C70">
        <v>1.2</v>
      </c>
      <c r="D70" t="s">
        <v>137</v>
      </c>
      <c r="E70">
        <v>1.37</v>
      </c>
      <c r="F70" t="s">
        <v>137</v>
      </c>
      <c r="G70">
        <v>1.76</v>
      </c>
      <c r="H70" s="18" t="s">
        <v>137</v>
      </c>
      <c r="I70">
        <v>0.6</v>
      </c>
      <c r="J70" t="s">
        <v>137</v>
      </c>
      <c r="K70">
        <v>0.88</v>
      </c>
    </row>
    <row r="71" spans="1:11" x14ac:dyDescent="0.3">
      <c r="A71" s="19" t="s">
        <v>16</v>
      </c>
      <c r="B71" t="s">
        <v>135</v>
      </c>
      <c r="C71">
        <v>2</v>
      </c>
      <c r="D71" t="s">
        <v>135</v>
      </c>
      <c r="E71">
        <v>3.55</v>
      </c>
      <c r="F71" t="s">
        <v>54</v>
      </c>
      <c r="G71">
        <v>0.87</v>
      </c>
      <c r="H71" s="18" t="s">
        <v>135</v>
      </c>
      <c r="I71">
        <v>0.89999999999999991</v>
      </c>
      <c r="J71" t="s">
        <v>54</v>
      </c>
      <c r="K71">
        <v>2.0499999999999998</v>
      </c>
    </row>
    <row r="72" spans="1:11" x14ac:dyDescent="0.3">
      <c r="A72" s="19" t="s">
        <v>16</v>
      </c>
      <c r="B72" t="s">
        <v>54</v>
      </c>
      <c r="C72">
        <v>1.88</v>
      </c>
      <c r="D72" t="s">
        <v>139</v>
      </c>
      <c r="E72">
        <v>3.08</v>
      </c>
      <c r="F72" t="s">
        <v>139</v>
      </c>
      <c r="G72">
        <v>2</v>
      </c>
      <c r="H72" s="18" t="s">
        <v>54</v>
      </c>
      <c r="I72">
        <v>0.5</v>
      </c>
      <c r="J72" t="s">
        <v>139</v>
      </c>
      <c r="K72">
        <v>1.48</v>
      </c>
    </row>
    <row r="73" spans="1:11" x14ac:dyDescent="0.3">
      <c r="A73" s="19" t="s">
        <v>16</v>
      </c>
      <c r="B73" t="s">
        <v>420</v>
      </c>
      <c r="C73">
        <v>2.92</v>
      </c>
      <c r="F73" t="s">
        <v>143</v>
      </c>
      <c r="G73">
        <v>3.1</v>
      </c>
      <c r="H73" s="18" t="s">
        <v>139</v>
      </c>
      <c r="I73">
        <v>1.6300000000000001</v>
      </c>
      <c r="J73" t="s">
        <v>143</v>
      </c>
      <c r="K73">
        <v>2.13</v>
      </c>
    </row>
    <row r="74" spans="1:11" x14ac:dyDescent="0.3">
      <c r="A74" s="19" t="s">
        <v>16</v>
      </c>
      <c r="F74" t="s">
        <v>423</v>
      </c>
      <c r="G74">
        <v>0.27</v>
      </c>
      <c r="H74" s="18" t="s">
        <v>143</v>
      </c>
      <c r="I74">
        <v>0.27</v>
      </c>
      <c r="J74" t="s">
        <v>420</v>
      </c>
      <c r="K74">
        <v>1.45</v>
      </c>
    </row>
    <row r="75" spans="1:11" x14ac:dyDescent="0.3">
      <c r="A75" s="19" t="s">
        <v>16</v>
      </c>
      <c r="H75" s="18" t="s">
        <v>420</v>
      </c>
      <c r="I75">
        <v>3.4899999999999998</v>
      </c>
    </row>
    <row r="76" spans="1:11" x14ac:dyDescent="0.3">
      <c r="A76" s="19" t="s">
        <v>16</v>
      </c>
      <c r="H76" s="18" t="s">
        <v>423</v>
      </c>
      <c r="I76">
        <v>0.62</v>
      </c>
    </row>
    <row r="79" spans="1:11" x14ac:dyDescent="0.3">
      <c r="A79" s="19" t="s">
        <v>18</v>
      </c>
      <c r="B79" t="s">
        <v>54</v>
      </c>
      <c r="C79">
        <v>8</v>
      </c>
      <c r="D79" t="s">
        <v>137</v>
      </c>
      <c r="E79">
        <v>1</v>
      </c>
      <c r="F79" t="s">
        <v>137</v>
      </c>
      <c r="G79">
        <v>1.97</v>
      </c>
      <c r="H79" s="18" t="s">
        <v>137</v>
      </c>
      <c r="I79">
        <v>0.95</v>
      </c>
      <c r="J79" t="s">
        <v>54</v>
      </c>
      <c r="K79">
        <v>8</v>
      </c>
    </row>
    <row r="80" spans="1:11" x14ac:dyDescent="0.3">
      <c r="A80" s="19" t="s">
        <v>18</v>
      </c>
      <c r="D80" t="s">
        <v>135</v>
      </c>
      <c r="E80">
        <v>1.68</v>
      </c>
      <c r="F80" t="s">
        <v>135</v>
      </c>
      <c r="G80">
        <v>1</v>
      </c>
      <c r="H80" s="18" t="s">
        <v>135</v>
      </c>
      <c r="I80">
        <v>1.82</v>
      </c>
    </row>
    <row r="81" spans="1:9" x14ac:dyDescent="0.3">
      <c r="A81" s="19" t="s">
        <v>18</v>
      </c>
      <c r="D81" t="s">
        <v>54</v>
      </c>
      <c r="E81">
        <v>1.57</v>
      </c>
      <c r="F81" t="s">
        <v>139</v>
      </c>
      <c r="G81">
        <v>1.3</v>
      </c>
      <c r="H81" s="18" t="s">
        <v>54</v>
      </c>
      <c r="I81">
        <v>0.5</v>
      </c>
    </row>
    <row r="82" spans="1:9" x14ac:dyDescent="0.3">
      <c r="A82" s="19" t="s">
        <v>18</v>
      </c>
      <c r="D82" t="s">
        <v>139</v>
      </c>
      <c r="E82">
        <v>1.1299999999999999</v>
      </c>
      <c r="F82" t="s">
        <v>143</v>
      </c>
      <c r="G82">
        <v>1.37</v>
      </c>
      <c r="H82" s="18" t="s">
        <v>139</v>
      </c>
      <c r="I82">
        <v>1.47</v>
      </c>
    </row>
    <row r="83" spans="1:9" x14ac:dyDescent="0.3">
      <c r="A83" s="19" t="s">
        <v>18</v>
      </c>
      <c r="D83" t="s">
        <v>420</v>
      </c>
      <c r="E83">
        <v>0.65</v>
      </c>
      <c r="F83" t="s">
        <v>420</v>
      </c>
      <c r="G83">
        <v>2.37</v>
      </c>
      <c r="H83" s="18" t="s">
        <v>143</v>
      </c>
      <c r="I83">
        <v>2.25</v>
      </c>
    </row>
    <row r="84" spans="1:9" x14ac:dyDescent="0.3">
      <c r="A84" s="19" t="s">
        <v>18</v>
      </c>
      <c r="D84" t="s">
        <v>423</v>
      </c>
      <c r="E84">
        <v>1.96</v>
      </c>
      <c r="H84" s="18" t="s">
        <v>420</v>
      </c>
      <c r="I84">
        <v>1.02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4F9873D-0288-4CEE-999B-0F9B0EA783C6}">
          <x14:formula1>
            <xm:f>'Client Name'!$A:$A</xm:f>
          </x14:formula1>
          <xm:sqref>B4:B41 D4:D41 H4:H41 J4:J41 F4:F41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7C371-F73E-4E15-AA50-DBEBCCB83CF5}">
  <sheetPr codeName="Sheet21"/>
  <dimension ref="A1:AF65"/>
  <sheetViews>
    <sheetView zoomScale="85" zoomScaleNormal="85" workbookViewId="0">
      <selection activeCell="L1" sqref="L1"/>
    </sheetView>
  </sheetViews>
  <sheetFormatPr defaultRowHeight="14.4" x14ac:dyDescent="0.3"/>
  <cols>
    <col min="1" max="1" width="9.109375" style="19"/>
    <col min="2" max="2" width="26.88671875" bestFit="1" customWidth="1"/>
    <col min="3" max="3" width="5" customWidth="1"/>
    <col min="4" max="4" width="26.88671875" bestFit="1" customWidth="1"/>
    <col min="5" max="5" width="5" customWidth="1"/>
    <col min="6" max="6" width="26.88671875" bestFit="1" customWidth="1"/>
    <col min="7" max="7" width="5" customWidth="1"/>
    <col min="8" max="8" width="26.88671875" style="18" bestFit="1" customWidth="1"/>
    <col min="9" max="9" width="5" customWidth="1"/>
    <col min="10" max="10" width="26.88671875" bestFit="1" customWidth="1"/>
    <col min="11" max="11" width="5" customWidth="1"/>
  </cols>
  <sheetData>
    <row r="1" spans="1:32" ht="37.200000000000003" customHeight="1" thickBot="1" x14ac:dyDescent="0.35">
      <c r="A1" s="47" t="s">
        <v>3051</v>
      </c>
      <c r="B1" s="48" t="s">
        <v>269</v>
      </c>
      <c r="C1" s="14"/>
      <c r="D1" s="14"/>
      <c r="E1" s="14"/>
      <c r="F1" s="14"/>
      <c r="G1" s="14"/>
      <c r="H1" s="4"/>
      <c r="I1" s="14"/>
      <c r="J1" s="14"/>
      <c r="K1" s="14"/>
      <c r="L1" s="1" t="s">
        <v>3144</v>
      </c>
      <c r="M1">
        <v>130</v>
      </c>
      <c r="O1" s="32" t="s">
        <v>0</v>
      </c>
      <c r="P1" s="33" t="s">
        <v>3141</v>
      </c>
      <c r="Q1" s="44"/>
      <c r="R1" s="33" t="s">
        <v>2</v>
      </c>
      <c r="S1" s="33" t="s">
        <v>3</v>
      </c>
      <c r="T1" s="33" t="s">
        <v>4</v>
      </c>
      <c r="U1" s="46" t="s">
        <v>5</v>
      </c>
      <c r="Y1" s="32" t="s">
        <v>0</v>
      </c>
      <c r="Z1" s="33" t="s">
        <v>3142</v>
      </c>
      <c r="AA1" s="44"/>
      <c r="AB1" s="33" t="s">
        <v>2</v>
      </c>
      <c r="AC1" s="33" t="s">
        <v>3</v>
      </c>
      <c r="AD1" s="33" t="s">
        <v>4</v>
      </c>
      <c r="AE1" s="33" t="s">
        <v>5</v>
      </c>
      <c r="AF1" s="46" t="s">
        <v>9</v>
      </c>
    </row>
    <row r="2" spans="1:32" x14ac:dyDescent="0.3">
      <c r="A2" s="2"/>
      <c r="B2" s="4"/>
      <c r="C2" s="4"/>
      <c r="D2" s="4"/>
      <c r="E2" s="4"/>
      <c r="F2" s="4"/>
      <c r="G2" s="4"/>
      <c r="H2" s="4"/>
      <c r="I2" s="4"/>
      <c r="J2" s="14"/>
      <c r="K2" s="4"/>
      <c r="O2" t="s">
        <v>203</v>
      </c>
      <c r="P2">
        <v>4</v>
      </c>
      <c r="R2">
        <v>1</v>
      </c>
      <c r="S2">
        <v>1</v>
      </c>
      <c r="T2">
        <v>1</v>
      </c>
      <c r="U2">
        <v>1</v>
      </c>
      <c r="Y2" t="s">
        <v>203</v>
      </c>
      <c r="Z2">
        <v>3.4899999999999998</v>
      </c>
      <c r="AB2">
        <v>0</v>
      </c>
      <c r="AC2">
        <v>2.5599999999999996</v>
      </c>
      <c r="AD2">
        <v>0</v>
      </c>
      <c r="AE2">
        <v>0.2</v>
      </c>
      <c r="AF2">
        <v>0.73</v>
      </c>
    </row>
    <row r="3" spans="1:32" x14ac:dyDescent="0.3">
      <c r="A3" s="2"/>
      <c r="B3" s="2" t="s">
        <v>378</v>
      </c>
      <c r="C3" s="2"/>
      <c r="D3" s="2" t="s">
        <v>576</v>
      </c>
      <c r="E3" s="2"/>
      <c r="F3" s="2" t="s">
        <v>747</v>
      </c>
      <c r="G3" s="2"/>
      <c r="H3" s="4" t="s">
        <v>897</v>
      </c>
      <c r="I3" s="2"/>
      <c r="J3" s="14" t="s">
        <v>33</v>
      </c>
      <c r="O3" t="s">
        <v>54</v>
      </c>
      <c r="P3">
        <v>18</v>
      </c>
      <c r="R3">
        <v>4.5</v>
      </c>
      <c r="S3">
        <v>4.5</v>
      </c>
      <c r="T3">
        <v>4.5</v>
      </c>
      <c r="U3">
        <v>4.5</v>
      </c>
      <c r="Y3" t="s">
        <v>54</v>
      </c>
      <c r="Z3">
        <v>74.97999999999999</v>
      </c>
      <c r="AB3">
        <v>3.3000000000000003</v>
      </c>
      <c r="AC3">
        <v>10.51</v>
      </c>
      <c r="AD3">
        <v>33.47</v>
      </c>
      <c r="AE3">
        <v>10.269999999999998</v>
      </c>
      <c r="AF3">
        <v>17.43</v>
      </c>
    </row>
    <row r="4" spans="1:32" x14ac:dyDescent="0.3">
      <c r="A4" s="2" t="s">
        <v>13</v>
      </c>
      <c r="B4" s="5" t="s">
        <v>271</v>
      </c>
      <c r="C4" s="3">
        <v>3</v>
      </c>
      <c r="D4" s="51" t="s">
        <v>271</v>
      </c>
      <c r="E4" s="3">
        <v>3</v>
      </c>
      <c r="F4" s="5" t="s">
        <v>271</v>
      </c>
      <c r="G4" s="3">
        <v>4</v>
      </c>
      <c r="H4" s="5" t="s">
        <v>271</v>
      </c>
      <c r="I4" s="3">
        <v>1.5</v>
      </c>
      <c r="J4" s="5" t="s">
        <v>271</v>
      </c>
      <c r="K4">
        <v>2.5</v>
      </c>
      <c r="O4" t="s">
        <v>271</v>
      </c>
      <c r="P4">
        <v>56</v>
      </c>
      <c r="R4">
        <v>14</v>
      </c>
      <c r="S4">
        <v>14</v>
      </c>
      <c r="T4">
        <v>14</v>
      </c>
      <c r="U4">
        <v>14</v>
      </c>
      <c r="Y4" t="s">
        <v>271</v>
      </c>
      <c r="Z4">
        <v>57.029999999999994</v>
      </c>
      <c r="AB4">
        <v>3.1799999999999997</v>
      </c>
      <c r="AC4">
        <v>16.47</v>
      </c>
      <c r="AD4">
        <v>6.55</v>
      </c>
      <c r="AE4">
        <v>20.399999999999999</v>
      </c>
      <c r="AF4">
        <v>10.43</v>
      </c>
    </row>
    <row r="5" spans="1:32" x14ac:dyDescent="0.3">
      <c r="A5" s="2" t="s">
        <v>13</v>
      </c>
      <c r="B5" s="5" t="s">
        <v>203</v>
      </c>
      <c r="C5" s="3">
        <v>0.5</v>
      </c>
      <c r="D5" s="15" t="s">
        <v>30</v>
      </c>
      <c r="E5" s="3">
        <v>1.5</v>
      </c>
      <c r="F5" s="5" t="s">
        <v>116</v>
      </c>
      <c r="G5" s="3">
        <v>1</v>
      </c>
      <c r="H5" s="5" t="s">
        <v>42</v>
      </c>
      <c r="I5" s="3">
        <v>1</v>
      </c>
      <c r="J5" s="5" t="s">
        <v>116</v>
      </c>
      <c r="K5">
        <v>1</v>
      </c>
      <c r="O5" t="s">
        <v>116</v>
      </c>
      <c r="P5">
        <v>24</v>
      </c>
      <c r="R5">
        <v>6</v>
      </c>
      <c r="S5">
        <v>6</v>
      </c>
      <c r="T5">
        <v>6</v>
      </c>
      <c r="U5">
        <v>6</v>
      </c>
      <c r="Y5" t="s">
        <v>116</v>
      </c>
      <c r="Z5">
        <v>22.05</v>
      </c>
      <c r="AB5">
        <v>1.3900000000000001</v>
      </c>
      <c r="AC5">
        <v>7.29</v>
      </c>
      <c r="AD5">
        <v>0</v>
      </c>
      <c r="AE5">
        <v>7.84</v>
      </c>
      <c r="AF5">
        <v>5.53</v>
      </c>
    </row>
    <row r="6" spans="1:32" x14ac:dyDescent="0.3">
      <c r="A6" s="2" t="s">
        <v>13</v>
      </c>
      <c r="B6" s="5" t="s">
        <v>116</v>
      </c>
      <c r="C6" s="3">
        <v>1.5</v>
      </c>
      <c r="D6" s="51" t="s">
        <v>116</v>
      </c>
      <c r="E6" s="3">
        <v>1.5</v>
      </c>
      <c r="F6" s="15" t="s">
        <v>42</v>
      </c>
      <c r="G6" s="3">
        <v>0.5</v>
      </c>
      <c r="H6" s="15" t="s">
        <v>30</v>
      </c>
      <c r="I6" s="3">
        <v>1.5</v>
      </c>
      <c r="J6" s="5" t="s">
        <v>42</v>
      </c>
      <c r="K6">
        <v>1</v>
      </c>
      <c r="O6" t="s">
        <v>30</v>
      </c>
      <c r="P6">
        <v>12</v>
      </c>
      <c r="R6">
        <v>3</v>
      </c>
      <c r="S6">
        <v>3</v>
      </c>
      <c r="T6">
        <v>3</v>
      </c>
      <c r="U6">
        <v>3</v>
      </c>
      <c r="Y6" t="s">
        <v>30</v>
      </c>
      <c r="Z6">
        <v>1.77</v>
      </c>
      <c r="AB6">
        <v>0</v>
      </c>
      <c r="AC6">
        <v>0</v>
      </c>
      <c r="AD6">
        <v>0</v>
      </c>
      <c r="AE6">
        <v>0</v>
      </c>
      <c r="AF6">
        <v>1.77</v>
      </c>
    </row>
    <row r="7" spans="1:32" x14ac:dyDescent="0.3">
      <c r="A7" s="2" t="s">
        <v>13</v>
      </c>
      <c r="B7" s="5" t="s">
        <v>460</v>
      </c>
      <c r="C7" s="3">
        <v>0.5</v>
      </c>
      <c r="D7" s="5" t="s">
        <v>54</v>
      </c>
      <c r="E7" s="3">
        <v>1</v>
      </c>
      <c r="F7" s="5" t="s">
        <v>54</v>
      </c>
      <c r="G7" s="3">
        <v>1</v>
      </c>
      <c r="H7" s="15" t="s">
        <v>116</v>
      </c>
      <c r="I7" s="3">
        <v>1</v>
      </c>
      <c r="J7" s="29" t="s">
        <v>203</v>
      </c>
      <c r="K7">
        <v>0.5</v>
      </c>
      <c r="O7" t="s">
        <v>42</v>
      </c>
      <c r="P7">
        <v>12</v>
      </c>
      <c r="R7">
        <v>3</v>
      </c>
      <c r="S7">
        <v>3</v>
      </c>
      <c r="T7">
        <v>3</v>
      </c>
      <c r="U7">
        <v>3</v>
      </c>
      <c r="Y7" t="s">
        <v>42</v>
      </c>
      <c r="Z7">
        <v>6.26</v>
      </c>
      <c r="AB7">
        <v>0.2</v>
      </c>
      <c r="AC7">
        <v>2.3000000000000003</v>
      </c>
      <c r="AD7">
        <v>0</v>
      </c>
      <c r="AE7">
        <v>0.38</v>
      </c>
      <c r="AF7">
        <v>3.38</v>
      </c>
    </row>
    <row r="8" spans="1:32" x14ac:dyDescent="0.3">
      <c r="A8" s="2" t="s">
        <v>13</v>
      </c>
      <c r="B8" s="5" t="s">
        <v>42</v>
      </c>
      <c r="C8" s="3">
        <v>0.5</v>
      </c>
      <c r="F8" s="3"/>
      <c r="G8" s="3"/>
      <c r="H8" s="5" t="s">
        <v>460</v>
      </c>
      <c r="I8" s="3">
        <v>0.5</v>
      </c>
      <c r="J8" s="29" t="s">
        <v>54</v>
      </c>
      <c r="K8">
        <v>1</v>
      </c>
      <c r="O8" t="s">
        <v>460</v>
      </c>
      <c r="P8">
        <v>4</v>
      </c>
      <c r="R8">
        <v>1</v>
      </c>
      <c r="S8">
        <v>1</v>
      </c>
      <c r="T8">
        <v>1</v>
      </c>
      <c r="U8">
        <v>1</v>
      </c>
      <c r="Y8" t="s">
        <v>460</v>
      </c>
      <c r="Z8">
        <v>3.55</v>
      </c>
      <c r="AB8">
        <v>0</v>
      </c>
      <c r="AC8">
        <v>1.1000000000000001</v>
      </c>
      <c r="AD8">
        <v>0</v>
      </c>
      <c r="AE8">
        <v>1.4</v>
      </c>
      <c r="AF8">
        <v>1.05</v>
      </c>
    </row>
    <row r="9" spans="1:32" x14ac:dyDescent="0.3">
      <c r="A9" s="2" t="s">
        <v>13</v>
      </c>
      <c r="B9" s="5" t="s">
        <v>54</v>
      </c>
      <c r="C9" s="3">
        <v>0.5</v>
      </c>
      <c r="D9" s="15"/>
      <c r="E9" s="3"/>
      <c r="F9" s="3"/>
      <c r="G9" s="3"/>
      <c r="H9" s="5" t="s">
        <v>54</v>
      </c>
      <c r="I9" s="3">
        <v>1</v>
      </c>
    </row>
    <row r="10" spans="1:32" x14ac:dyDescent="0.3">
      <c r="A10" s="2"/>
      <c r="B10" s="3"/>
      <c r="C10" s="3"/>
      <c r="D10" s="3"/>
      <c r="E10" s="3"/>
      <c r="F10" s="3"/>
      <c r="G10" s="3"/>
      <c r="H10" s="15"/>
      <c r="I10" s="3"/>
      <c r="J10" s="29"/>
    </row>
    <row r="11" spans="1:32" x14ac:dyDescent="0.3">
      <c r="A11" s="2" t="s">
        <v>14</v>
      </c>
      <c r="B11" s="5" t="s">
        <v>271</v>
      </c>
      <c r="C11" s="3">
        <v>3</v>
      </c>
      <c r="D11" s="51" t="s">
        <v>271</v>
      </c>
      <c r="E11" s="3">
        <v>3</v>
      </c>
      <c r="F11" s="5" t="s">
        <v>271</v>
      </c>
      <c r="G11" s="3">
        <v>4</v>
      </c>
      <c r="H11" s="5" t="s">
        <v>271</v>
      </c>
      <c r="I11" s="3">
        <v>1.5</v>
      </c>
      <c r="J11" s="5" t="s">
        <v>271</v>
      </c>
      <c r="K11">
        <v>2.5</v>
      </c>
    </row>
    <row r="12" spans="1:32" x14ac:dyDescent="0.3">
      <c r="A12" s="2" t="s">
        <v>14</v>
      </c>
      <c r="B12" s="5" t="s">
        <v>203</v>
      </c>
      <c r="C12" s="3">
        <v>0.5</v>
      </c>
      <c r="D12" s="15" t="s">
        <v>30</v>
      </c>
      <c r="E12" s="3">
        <v>1.5</v>
      </c>
      <c r="F12" s="5" t="s">
        <v>116</v>
      </c>
      <c r="G12" s="3">
        <v>1</v>
      </c>
      <c r="H12" s="5" t="s">
        <v>42</v>
      </c>
      <c r="I12" s="3">
        <v>1</v>
      </c>
      <c r="J12" s="5" t="s">
        <v>116</v>
      </c>
      <c r="K12">
        <v>1</v>
      </c>
    </row>
    <row r="13" spans="1:32" x14ac:dyDescent="0.3">
      <c r="A13" s="2" t="s">
        <v>14</v>
      </c>
      <c r="B13" s="5" t="s">
        <v>116</v>
      </c>
      <c r="C13" s="3">
        <v>1.5</v>
      </c>
      <c r="D13" s="51" t="s">
        <v>116</v>
      </c>
      <c r="E13" s="3">
        <v>1.5</v>
      </c>
      <c r="F13" s="15" t="s">
        <v>42</v>
      </c>
      <c r="G13" s="3">
        <v>0.5</v>
      </c>
      <c r="H13" s="15" t="s">
        <v>30</v>
      </c>
      <c r="I13" s="3">
        <v>1.5</v>
      </c>
      <c r="J13" s="5" t="s">
        <v>42</v>
      </c>
      <c r="K13">
        <v>1</v>
      </c>
    </row>
    <row r="14" spans="1:32" x14ac:dyDescent="0.3">
      <c r="A14" s="2" t="s">
        <v>14</v>
      </c>
      <c r="B14" s="5" t="s">
        <v>460</v>
      </c>
      <c r="C14" s="3">
        <v>0.5</v>
      </c>
      <c r="D14" s="5" t="s">
        <v>54</v>
      </c>
      <c r="E14" s="3">
        <v>1</v>
      </c>
      <c r="F14" s="5" t="s">
        <v>54</v>
      </c>
      <c r="G14" s="3">
        <v>1</v>
      </c>
      <c r="H14" s="15" t="s">
        <v>116</v>
      </c>
      <c r="I14" s="3">
        <v>1</v>
      </c>
      <c r="J14" s="29" t="s">
        <v>203</v>
      </c>
      <c r="K14">
        <v>0.5</v>
      </c>
    </row>
    <row r="15" spans="1:32" x14ac:dyDescent="0.3">
      <c r="A15" s="2" t="s">
        <v>14</v>
      </c>
      <c r="B15" s="5" t="s">
        <v>42</v>
      </c>
      <c r="C15" s="3">
        <v>0.5</v>
      </c>
      <c r="F15" s="3"/>
      <c r="G15" s="3"/>
      <c r="H15" s="5" t="s">
        <v>460</v>
      </c>
      <c r="I15" s="3">
        <v>0.5</v>
      </c>
      <c r="J15" s="29" t="s">
        <v>54</v>
      </c>
      <c r="K15">
        <v>1</v>
      </c>
    </row>
    <row r="16" spans="1:32" x14ac:dyDescent="0.3">
      <c r="A16" s="2" t="s">
        <v>14</v>
      </c>
      <c r="B16" s="5" t="s">
        <v>54</v>
      </c>
      <c r="C16" s="3">
        <v>0.5</v>
      </c>
      <c r="D16" s="15"/>
      <c r="E16" s="3"/>
      <c r="F16" s="3"/>
      <c r="G16" s="3"/>
      <c r="H16" s="5" t="s">
        <v>54</v>
      </c>
      <c r="I16" s="3">
        <v>1</v>
      </c>
    </row>
    <row r="17" spans="1:32" x14ac:dyDescent="0.3">
      <c r="A17" s="2"/>
      <c r="B17" s="5"/>
      <c r="C17" s="3"/>
      <c r="D17" s="15"/>
      <c r="E17" s="3"/>
      <c r="F17" s="3"/>
      <c r="G17" s="3"/>
      <c r="H17" s="5"/>
      <c r="I17" s="3"/>
      <c r="J17" s="29"/>
    </row>
    <row r="18" spans="1:32" x14ac:dyDescent="0.3">
      <c r="A18" s="2"/>
      <c r="B18" s="5"/>
      <c r="C18" s="3"/>
      <c r="D18" s="15"/>
      <c r="E18" s="3"/>
      <c r="F18" s="3"/>
      <c r="G18" s="3"/>
      <c r="H18" s="5"/>
      <c r="I18" s="3"/>
      <c r="J18" s="29"/>
      <c r="O18" t="s">
        <v>3143</v>
      </c>
      <c r="P18">
        <f>SUM(P2:P17)</f>
        <v>130</v>
      </c>
      <c r="R18">
        <f>SUM(R2:R17)</f>
        <v>32.5</v>
      </c>
      <c r="S18">
        <f>SUM(S2:S17)</f>
        <v>32.5</v>
      </c>
      <c r="T18">
        <f>SUM(T2:T17)</f>
        <v>32.5</v>
      </c>
      <c r="U18">
        <f>SUM(U2:U17)</f>
        <v>32.5</v>
      </c>
      <c r="Y18" t="s">
        <v>3143</v>
      </c>
      <c r="Z18">
        <f>SUM(Z2:Z17)</f>
        <v>169.13</v>
      </c>
      <c r="AB18">
        <f>SUM(AB2:AB17)</f>
        <v>8.07</v>
      </c>
      <c r="AC18">
        <f>SUM(AC2:AC17)</f>
        <v>40.229999999999997</v>
      </c>
      <c r="AD18">
        <f>SUM(AD2:AD17)</f>
        <v>40.019999999999996</v>
      </c>
      <c r="AE18">
        <f>SUM(AE2:AE17)</f>
        <v>40.489999999999995</v>
      </c>
      <c r="AF18">
        <f>SUM(AF2:AF17)</f>
        <v>40.32</v>
      </c>
    </row>
    <row r="19" spans="1:32" x14ac:dyDescent="0.3">
      <c r="A19" s="2" t="s">
        <v>15</v>
      </c>
      <c r="B19" s="5" t="s">
        <v>271</v>
      </c>
      <c r="C19" s="3">
        <v>3</v>
      </c>
      <c r="D19" s="51" t="s">
        <v>271</v>
      </c>
      <c r="E19" s="3">
        <v>3</v>
      </c>
      <c r="F19" s="5" t="s">
        <v>271</v>
      </c>
      <c r="G19" s="3">
        <v>4</v>
      </c>
      <c r="H19" s="5" t="s">
        <v>271</v>
      </c>
      <c r="I19" s="3">
        <v>1.5</v>
      </c>
      <c r="J19" s="5" t="s">
        <v>271</v>
      </c>
      <c r="K19">
        <v>2.5</v>
      </c>
    </row>
    <row r="20" spans="1:32" x14ac:dyDescent="0.3">
      <c r="A20" s="2" t="s">
        <v>15</v>
      </c>
      <c r="B20" s="5" t="s">
        <v>203</v>
      </c>
      <c r="C20" s="3">
        <v>0.5</v>
      </c>
      <c r="D20" s="15" t="s">
        <v>30</v>
      </c>
      <c r="E20" s="3">
        <v>1.5</v>
      </c>
      <c r="F20" s="5" t="s">
        <v>116</v>
      </c>
      <c r="G20" s="3">
        <v>1</v>
      </c>
      <c r="H20" s="5" t="s">
        <v>42</v>
      </c>
      <c r="I20" s="3">
        <v>1</v>
      </c>
      <c r="J20" s="5" t="s">
        <v>116</v>
      </c>
      <c r="K20">
        <v>1</v>
      </c>
    </row>
    <row r="21" spans="1:32" x14ac:dyDescent="0.3">
      <c r="A21" s="2" t="s">
        <v>15</v>
      </c>
      <c r="B21" s="5" t="s">
        <v>116</v>
      </c>
      <c r="C21" s="3">
        <v>1.5</v>
      </c>
      <c r="D21" s="51" t="s">
        <v>116</v>
      </c>
      <c r="E21" s="3">
        <v>1.5</v>
      </c>
      <c r="F21" s="15" t="s">
        <v>42</v>
      </c>
      <c r="G21" s="3">
        <v>0.5</v>
      </c>
      <c r="H21" s="15" t="s">
        <v>30</v>
      </c>
      <c r="I21" s="3">
        <v>1.5</v>
      </c>
      <c r="J21" s="5" t="s">
        <v>42</v>
      </c>
      <c r="K21">
        <v>1</v>
      </c>
    </row>
    <row r="22" spans="1:32" x14ac:dyDescent="0.3">
      <c r="A22" s="2" t="s">
        <v>15</v>
      </c>
      <c r="B22" s="5" t="s">
        <v>460</v>
      </c>
      <c r="C22" s="3">
        <v>0.5</v>
      </c>
      <c r="D22" s="5" t="s">
        <v>54</v>
      </c>
      <c r="E22" s="3">
        <v>1</v>
      </c>
      <c r="F22" s="5" t="s">
        <v>54</v>
      </c>
      <c r="G22" s="3">
        <v>1</v>
      </c>
      <c r="H22" s="15" t="s">
        <v>116</v>
      </c>
      <c r="I22" s="3">
        <v>1</v>
      </c>
      <c r="J22" s="29" t="s">
        <v>203</v>
      </c>
      <c r="K22">
        <v>0.5</v>
      </c>
    </row>
    <row r="23" spans="1:32" x14ac:dyDescent="0.3">
      <c r="A23" s="2" t="s">
        <v>15</v>
      </c>
      <c r="B23" s="5" t="s">
        <v>42</v>
      </c>
      <c r="C23" s="3">
        <v>0.5</v>
      </c>
      <c r="F23" s="3"/>
      <c r="G23" s="3"/>
      <c r="H23" s="5" t="s">
        <v>460</v>
      </c>
      <c r="I23" s="3">
        <v>0.5</v>
      </c>
      <c r="J23" s="29" t="s">
        <v>54</v>
      </c>
      <c r="K23">
        <v>1</v>
      </c>
    </row>
    <row r="24" spans="1:32" x14ac:dyDescent="0.3">
      <c r="A24" s="2" t="s">
        <v>15</v>
      </c>
      <c r="B24" s="5" t="s">
        <v>54</v>
      </c>
      <c r="C24" s="3">
        <v>0.5</v>
      </c>
      <c r="D24" s="15"/>
      <c r="E24" s="3"/>
      <c r="F24" s="3"/>
      <c r="G24" s="3"/>
      <c r="H24" s="5" t="s">
        <v>54</v>
      </c>
      <c r="I24" s="3">
        <v>1</v>
      </c>
    </row>
    <row r="25" spans="1:32" x14ac:dyDescent="0.3">
      <c r="A25" s="2"/>
      <c r="B25" s="5"/>
      <c r="C25" s="3"/>
      <c r="D25" s="3"/>
      <c r="E25" s="3"/>
      <c r="F25" s="3"/>
      <c r="G25" s="3"/>
      <c r="H25" s="5"/>
      <c r="I25" s="3"/>
      <c r="J25" s="29"/>
    </row>
    <row r="26" spans="1:32" x14ac:dyDescent="0.3">
      <c r="A26" s="2"/>
      <c r="B26" s="3"/>
      <c r="C26" s="3"/>
      <c r="D26" s="3"/>
      <c r="E26" s="3"/>
      <c r="F26" s="3"/>
      <c r="G26" s="3"/>
      <c r="H26" s="15"/>
      <c r="I26" s="3"/>
      <c r="J26" s="29"/>
    </row>
    <row r="27" spans="1:32" x14ac:dyDescent="0.3">
      <c r="A27" s="2" t="s">
        <v>16</v>
      </c>
      <c r="B27" s="5" t="s">
        <v>271</v>
      </c>
      <c r="C27" s="3">
        <v>3</v>
      </c>
      <c r="D27" s="51" t="s">
        <v>271</v>
      </c>
      <c r="E27" s="3">
        <v>3</v>
      </c>
      <c r="F27" s="5" t="s">
        <v>271</v>
      </c>
      <c r="G27" s="3">
        <v>4</v>
      </c>
      <c r="H27" s="5" t="s">
        <v>271</v>
      </c>
      <c r="I27" s="3">
        <v>1.5</v>
      </c>
      <c r="J27" s="5" t="s">
        <v>271</v>
      </c>
      <c r="K27">
        <v>2.5</v>
      </c>
    </row>
    <row r="28" spans="1:32" x14ac:dyDescent="0.3">
      <c r="A28" s="2" t="s">
        <v>16</v>
      </c>
      <c r="B28" s="5" t="s">
        <v>203</v>
      </c>
      <c r="C28" s="3">
        <v>0.5</v>
      </c>
      <c r="D28" s="15" t="s">
        <v>30</v>
      </c>
      <c r="E28" s="3">
        <v>1.5</v>
      </c>
      <c r="F28" s="5" t="s">
        <v>116</v>
      </c>
      <c r="G28" s="3">
        <v>1</v>
      </c>
      <c r="H28" s="5" t="s">
        <v>42</v>
      </c>
      <c r="I28" s="3">
        <v>1</v>
      </c>
      <c r="J28" s="5" t="s">
        <v>116</v>
      </c>
      <c r="K28">
        <v>1</v>
      </c>
    </row>
    <row r="29" spans="1:32" x14ac:dyDescent="0.3">
      <c r="A29" s="2" t="s">
        <v>16</v>
      </c>
      <c r="B29" s="5" t="s">
        <v>116</v>
      </c>
      <c r="C29" s="3">
        <v>1.5</v>
      </c>
      <c r="D29" s="51" t="s">
        <v>116</v>
      </c>
      <c r="E29" s="3">
        <v>1.5</v>
      </c>
      <c r="F29" s="15" t="s">
        <v>42</v>
      </c>
      <c r="G29" s="3">
        <v>0.5</v>
      </c>
      <c r="H29" s="15" t="s">
        <v>30</v>
      </c>
      <c r="I29" s="3">
        <v>1.5</v>
      </c>
      <c r="J29" s="5" t="s">
        <v>42</v>
      </c>
      <c r="K29">
        <v>1</v>
      </c>
    </row>
    <row r="30" spans="1:32" x14ac:dyDescent="0.3">
      <c r="A30" s="2" t="s">
        <v>16</v>
      </c>
      <c r="B30" s="5" t="s">
        <v>460</v>
      </c>
      <c r="C30" s="3">
        <v>0.5</v>
      </c>
      <c r="D30" s="5" t="s">
        <v>54</v>
      </c>
      <c r="E30" s="3">
        <v>1</v>
      </c>
      <c r="F30" s="5" t="s">
        <v>54</v>
      </c>
      <c r="G30" s="3">
        <v>1</v>
      </c>
      <c r="H30" s="15" t="s">
        <v>116</v>
      </c>
      <c r="I30" s="3">
        <v>1</v>
      </c>
      <c r="J30" s="29" t="s">
        <v>203</v>
      </c>
      <c r="K30">
        <v>0.5</v>
      </c>
    </row>
    <row r="31" spans="1:32" x14ac:dyDescent="0.3">
      <c r="A31" s="2" t="s">
        <v>16</v>
      </c>
      <c r="B31" s="5" t="s">
        <v>42</v>
      </c>
      <c r="C31" s="3">
        <v>0.5</v>
      </c>
      <c r="F31" s="3"/>
      <c r="G31" s="3"/>
      <c r="H31" s="5" t="s">
        <v>460</v>
      </c>
      <c r="I31" s="3">
        <v>0.5</v>
      </c>
      <c r="J31" s="29" t="s">
        <v>54</v>
      </c>
      <c r="K31">
        <v>1</v>
      </c>
    </row>
    <row r="32" spans="1:32" x14ac:dyDescent="0.3">
      <c r="A32" s="2" t="s">
        <v>16</v>
      </c>
      <c r="B32" s="5" t="s">
        <v>54</v>
      </c>
      <c r="C32" s="3">
        <v>0.5</v>
      </c>
      <c r="D32" s="15"/>
      <c r="E32" s="3"/>
      <c r="F32" s="3"/>
      <c r="G32" s="3"/>
      <c r="H32" s="5" t="s">
        <v>54</v>
      </c>
      <c r="I32" s="3">
        <v>1</v>
      </c>
    </row>
    <row r="33" spans="1:13" x14ac:dyDescent="0.3">
      <c r="A33" s="2"/>
      <c r="B33" s="5"/>
      <c r="C33" s="3"/>
      <c r="D33" s="3"/>
      <c r="E33" s="3"/>
      <c r="F33" s="3"/>
      <c r="G33" s="3"/>
      <c r="H33" s="5"/>
      <c r="I33" s="3"/>
      <c r="J33" s="29"/>
    </row>
    <row r="35" spans="1:13" x14ac:dyDescent="0.3">
      <c r="A35" s="2" t="s">
        <v>17</v>
      </c>
      <c r="L35" s="1" t="s">
        <v>3144</v>
      </c>
      <c r="M35" s="1">
        <v>169.13</v>
      </c>
    </row>
    <row r="36" spans="1:13" x14ac:dyDescent="0.3">
      <c r="B36" s="1" t="s">
        <v>378</v>
      </c>
      <c r="D36" s="1" t="s">
        <v>576</v>
      </c>
      <c r="F36" s="1" t="s">
        <v>747</v>
      </c>
      <c r="H36" s="17" t="s">
        <v>897</v>
      </c>
      <c r="J36" s="1" t="s">
        <v>33</v>
      </c>
    </row>
    <row r="37" spans="1:13" x14ac:dyDescent="0.3">
      <c r="A37" s="19" t="s">
        <v>13</v>
      </c>
      <c r="J37" t="s">
        <v>54</v>
      </c>
      <c r="K37">
        <v>3.3000000000000003</v>
      </c>
    </row>
    <row r="38" spans="1:13" x14ac:dyDescent="0.3">
      <c r="A38" s="19" t="s">
        <v>13</v>
      </c>
      <c r="J38" t="s">
        <v>271</v>
      </c>
      <c r="K38">
        <v>3.1799999999999997</v>
      </c>
    </row>
    <row r="39" spans="1:13" x14ac:dyDescent="0.3">
      <c r="A39" s="19" t="s">
        <v>13</v>
      </c>
      <c r="J39" t="s">
        <v>116</v>
      </c>
      <c r="K39">
        <v>1.3900000000000001</v>
      </c>
    </row>
    <row r="40" spans="1:13" x14ac:dyDescent="0.3">
      <c r="A40" s="19" t="s">
        <v>13</v>
      </c>
      <c r="J40" t="s">
        <v>42</v>
      </c>
      <c r="K40">
        <v>0.2</v>
      </c>
    </row>
    <row r="43" spans="1:13" x14ac:dyDescent="0.3">
      <c r="A43" s="19" t="s">
        <v>14</v>
      </c>
      <c r="B43" t="s">
        <v>203</v>
      </c>
      <c r="C43">
        <v>0.72</v>
      </c>
      <c r="D43" t="s">
        <v>203</v>
      </c>
      <c r="E43">
        <v>1.67</v>
      </c>
      <c r="F43" t="s">
        <v>54</v>
      </c>
      <c r="G43">
        <v>8</v>
      </c>
      <c r="H43" s="18" t="s">
        <v>203</v>
      </c>
      <c r="I43">
        <v>0.17</v>
      </c>
      <c r="J43" t="s">
        <v>271</v>
      </c>
      <c r="K43">
        <v>2.13</v>
      </c>
    </row>
    <row r="44" spans="1:13" x14ac:dyDescent="0.3">
      <c r="A44" s="19" t="s">
        <v>14</v>
      </c>
      <c r="B44" t="s">
        <v>271</v>
      </c>
      <c r="C44">
        <v>4.2699999999999996</v>
      </c>
      <c r="D44" t="s">
        <v>54</v>
      </c>
      <c r="E44">
        <v>1.79</v>
      </c>
      <c r="H44" s="18" t="s">
        <v>54</v>
      </c>
      <c r="I44">
        <v>0.72</v>
      </c>
      <c r="J44" t="s">
        <v>116</v>
      </c>
      <c r="K44">
        <v>5.28</v>
      </c>
    </row>
    <row r="45" spans="1:13" x14ac:dyDescent="0.3">
      <c r="A45" s="19" t="s">
        <v>14</v>
      </c>
      <c r="B45" t="s">
        <v>116</v>
      </c>
      <c r="C45">
        <v>1.38</v>
      </c>
      <c r="D45" t="s">
        <v>271</v>
      </c>
      <c r="E45">
        <v>4.55</v>
      </c>
      <c r="H45" s="18" t="s">
        <v>271</v>
      </c>
      <c r="I45">
        <v>5.52</v>
      </c>
      <c r="J45" t="s">
        <v>460</v>
      </c>
      <c r="K45">
        <v>0.62</v>
      </c>
    </row>
    <row r="46" spans="1:13" x14ac:dyDescent="0.3">
      <c r="A46" s="19" t="s">
        <v>14</v>
      </c>
      <c r="B46" t="s">
        <v>42</v>
      </c>
      <c r="C46">
        <v>1.75</v>
      </c>
      <c r="H46" s="18" t="s">
        <v>116</v>
      </c>
      <c r="I46">
        <v>0.63</v>
      </c>
    </row>
    <row r="47" spans="1:13" x14ac:dyDescent="0.3">
      <c r="A47" s="19" t="s">
        <v>14</v>
      </c>
      <c r="H47" s="18" t="s">
        <v>42</v>
      </c>
      <c r="I47">
        <v>0.55000000000000004</v>
      </c>
    </row>
    <row r="48" spans="1:13" x14ac:dyDescent="0.3">
      <c r="A48" s="19" t="s">
        <v>14</v>
      </c>
      <c r="H48" s="18" t="s">
        <v>460</v>
      </c>
      <c r="I48">
        <v>0.48</v>
      </c>
    </row>
    <row r="51" spans="1:11" x14ac:dyDescent="0.3">
      <c r="A51" s="19" t="s">
        <v>15</v>
      </c>
      <c r="B51" t="s">
        <v>54</v>
      </c>
      <c r="C51">
        <v>8</v>
      </c>
      <c r="D51" t="s">
        <v>54</v>
      </c>
      <c r="E51">
        <v>8</v>
      </c>
      <c r="F51" t="s">
        <v>54</v>
      </c>
      <c r="G51">
        <v>8</v>
      </c>
      <c r="H51" s="18" t="s">
        <v>54</v>
      </c>
      <c r="I51">
        <v>8</v>
      </c>
      <c r="J51" t="s">
        <v>54</v>
      </c>
      <c r="K51">
        <v>1.47</v>
      </c>
    </row>
    <row r="52" spans="1:11" x14ac:dyDescent="0.3">
      <c r="A52" s="19" t="s">
        <v>15</v>
      </c>
      <c r="J52" t="s">
        <v>271</v>
      </c>
      <c r="K52">
        <v>6.55</v>
      </c>
    </row>
    <row r="55" spans="1:11" x14ac:dyDescent="0.3">
      <c r="A55" s="19" t="s">
        <v>16</v>
      </c>
      <c r="B55" t="s">
        <v>54</v>
      </c>
      <c r="C55">
        <v>2.79</v>
      </c>
      <c r="D55" t="s">
        <v>54</v>
      </c>
      <c r="E55">
        <v>2.02</v>
      </c>
      <c r="F55" t="s">
        <v>54</v>
      </c>
      <c r="G55">
        <v>2.8499999999999996</v>
      </c>
      <c r="H55" s="18" t="s">
        <v>203</v>
      </c>
      <c r="I55">
        <v>0.2</v>
      </c>
      <c r="J55" t="s">
        <v>54</v>
      </c>
      <c r="K55">
        <v>2.08</v>
      </c>
    </row>
    <row r="56" spans="1:11" x14ac:dyDescent="0.3">
      <c r="A56" s="19" t="s">
        <v>16</v>
      </c>
      <c r="B56" t="s">
        <v>271</v>
      </c>
      <c r="C56">
        <v>5.38</v>
      </c>
      <c r="D56" t="s">
        <v>271</v>
      </c>
      <c r="E56">
        <v>4.38</v>
      </c>
      <c r="F56" t="s">
        <v>271</v>
      </c>
      <c r="G56">
        <v>3.82</v>
      </c>
      <c r="H56" s="18" t="s">
        <v>54</v>
      </c>
      <c r="I56">
        <v>0.53</v>
      </c>
      <c r="J56" t="s">
        <v>271</v>
      </c>
      <c r="K56">
        <v>3.05</v>
      </c>
    </row>
    <row r="57" spans="1:11" x14ac:dyDescent="0.3">
      <c r="A57" s="19" t="s">
        <v>16</v>
      </c>
      <c r="D57" t="s">
        <v>116</v>
      </c>
      <c r="E57">
        <v>1.33</v>
      </c>
      <c r="F57" t="s">
        <v>460</v>
      </c>
      <c r="G57">
        <v>1.4</v>
      </c>
      <c r="H57" s="18" t="s">
        <v>271</v>
      </c>
      <c r="I57">
        <v>3.77</v>
      </c>
      <c r="J57" t="s">
        <v>116</v>
      </c>
      <c r="K57">
        <v>2.98</v>
      </c>
    </row>
    <row r="58" spans="1:11" x14ac:dyDescent="0.3">
      <c r="A58" s="19" t="s">
        <v>16</v>
      </c>
      <c r="D58" t="s">
        <v>42</v>
      </c>
      <c r="E58">
        <v>0.38</v>
      </c>
      <c r="H58" s="18" t="s">
        <v>116</v>
      </c>
      <c r="I58">
        <v>3.53</v>
      </c>
    </row>
    <row r="61" spans="1:11" x14ac:dyDescent="0.3">
      <c r="A61" s="19" t="s">
        <v>18</v>
      </c>
      <c r="B61" t="s">
        <v>203</v>
      </c>
      <c r="C61">
        <v>0.2</v>
      </c>
      <c r="D61" t="s">
        <v>203</v>
      </c>
      <c r="E61">
        <v>0.53</v>
      </c>
      <c r="F61" t="s">
        <v>54</v>
      </c>
      <c r="G61">
        <v>0.25</v>
      </c>
      <c r="H61" s="18" t="s">
        <v>54</v>
      </c>
      <c r="I61">
        <v>4.63</v>
      </c>
      <c r="J61" t="s">
        <v>54</v>
      </c>
      <c r="K61">
        <v>8</v>
      </c>
    </row>
    <row r="62" spans="1:11" x14ac:dyDescent="0.3">
      <c r="A62" s="19" t="s">
        <v>18</v>
      </c>
      <c r="B62" t="s">
        <v>54</v>
      </c>
      <c r="C62">
        <v>1.67</v>
      </c>
      <c r="D62" t="s">
        <v>54</v>
      </c>
      <c r="E62">
        <v>2.88</v>
      </c>
      <c r="F62" t="s">
        <v>271</v>
      </c>
      <c r="G62">
        <v>4.12</v>
      </c>
      <c r="H62" s="18" t="s">
        <v>271</v>
      </c>
      <c r="I62">
        <v>1.73</v>
      </c>
    </row>
    <row r="63" spans="1:11" x14ac:dyDescent="0.3">
      <c r="A63" s="19" t="s">
        <v>18</v>
      </c>
      <c r="B63" t="s">
        <v>271</v>
      </c>
      <c r="C63">
        <v>2.5299999999999998</v>
      </c>
      <c r="D63" t="s">
        <v>271</v>
      </c>
      <c r="E63">
        <v>2.0499999999999998</v>
      </c>
      <c r="F63" t="s">
        <v>116</v>
      </c>
      <c r="G63">
        <v>0.38</v>
      </c>
      <c r="H63" s="18" t="s">
        <v>30</v>
      </c>
      <c r="I63">
        <v>1.77</v>
      </c>
    </row>
    <row r="64" spans="1:11" x14ac:dyDescent="0.3">
      <c r="A64" s="19" t="s">
        <v>18</v>
      </c>
      <c r="B64" t="s">
        <v>116</v>
      </c>
      <c r="C64">
        <v>3.62</v>
      </c>
      <c r="D64" t="s">
        <v>116</v>
      </c>
      <c r="E64">
        <v>1.53</v>
      </c>
      <c r="F64" t="s">
        <v>42</v>
      </c>
      <c r="G64">
        <v>3.38</v>
      </c>
    </row>
    <row r="65" spans="1:5" x14ac:dyDescent="0.3">
      <c r="A65" s="19" t="s">
        <v>18</v>
      </c>
      <c r="D65" t="s">
        <v>460</v>
      </c>
      <c r="E65">
        <v>1.05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958C07B-916E-4EA2-B73A-B1F88D096533}">
          <x14:formula1>
            <xm:f>'Client Name'!$A:$A</xm:f>
          </x14:formula1>
          <xm:sqref>D4:D7 J4:J8 D9:D14 J10:J15 J33 D16:D22 J17:J23 J25:J31 F4:F33 B4:B33 H4:H33 D24:D30 D32:D33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FFB13-CF61-41A3-B1AA-B60CF1FF5AA5}">
  <sheetPr codeName="Sheet2"/>
  <dimension ref="A3:H130"/>
  <sheetViews>
    <sheetView workbookViewId="0">
      <selection activeCell="B8" sqref="B8"/>
    </sheetView>
  </sheetViews>
  <sheetFormatPr defaultRowHeight="14.4" x14ac:dyDescent="0.3"/>
  <cols>
    <col min="1" max="1" width="49.6640625" bestFit="1" customWidth="1"/>
    <col min="2" max="2" width="15.5546875" bestFit="1" customWidth="1"/>
    <col min="3" max="3" width="8" bestFit="1" customWidth="1"/>
    <col min="4" max="4" width="7.21875" bestFit="1" customWidth="1"/>
    <col min="5" max="6" width="8" bestFit="1" customWidth="1"/>
    <col min="7" max="7" width="7" bestFit="1" customWidth="1"/>
    <col min="8" max="8" width="10.77734375" bestFit="1" customWidth="1"/>
    <col min="9" max="9" width="7" bestFit="1" customWidth="1"/>
    <col min="10" max="10" width="10.77734375" bestFit="1" customWidth="1"/>
    <col min="11" max="11" width="11.88671875" bestFit="1" customWidth="1"/>
    <col min="12" max="12" width="9.33203125" bestFit="1" customWidth="1"/>
    <col min="13" max="13" width="8" bestFit="1" customWidth="1"/>
    <col min="14" max="14" width="10.88671875" bestFit="1" customWidth="1"/>
    <col min="15" max="15" width="8.6640625" bestFit="1" customWidth="1"/>
    <col min="16" max="16" width="7" bestFit="1" customWidth="1"/>
    <col min="17" max="17" width="7.33203125" bestFit="1" customWidth="1"/>
    <col min="18" max="18" width="11.88671875" bestFit="1" customWidth="1"/>
    <col min="19" max="19" width="9.33203125" bestFit="1" customWidth="1"/>
    <col min="20" max="20" width="8" bestFit="1" customWidth="1"/>
    <col min="21" max="21" width="10.88671875" bestFit="1" customWidth="1"/>
    <col min="22" max="22" width="8.6640625" bestFit="1" customWidth="1"/>
    <col min="23" max="23" width="7" bestFit="1" customWidth="1"/>
    <col min="24" max="24" width="11.88671875" bestFit="1" customWidth="1"/>
    <col min="25" max="25" width="9.33203125" bestFit="1" customWidth="1"/>
    <col min="26" max="26" width="8" bestFit="1" customWidth="1"/>
    <col min="27" max="27" width="10.88671875" bestFit="1" customWidth="1"/>
    <col min="28" max="28" width="8.6640625" bestFit="1" customWidth="1"/>
    <col min="29" max="29" width="7.33203125" bestFit="1" customWidth="1"/>
    <col min="30" max="30" width="11.88671875" bestFit="1" customWidth="1"/>
    <col min="31" max="31" width="9" bestFit="1" customWidth="1"/>
    <col min="32" max="32" width="11.6640625" bestFit="1" customWidth="1"/>
    <col min="33" max="33" width="10.6640625" bestFit="1" customWidth="1"/>
    <col min="34" max="34" width="11.44140625" bestFit="1" customWidth="1"/>
    <col min="35" max="35" width="15.6640625" bestFit="1" customWidth="1"/>
    <col min="36" max="36" width="10.33203125" bestFit="1" customWidth="1"/>
    <col min="37" max="37" width="15.33203125" bestFit="1" customWidth="1"/>
    <col min="38" max="38" width="12.88671875" bestFit="1" customWidth="1"/>
    <col min="39" max="40" width="13.33203125" bestFit="1" customWidth="1"/>
    <col min="41" max="41" width="15.33203125" bestFit="1" customWidth="1"/>
    <col min="42" max="42" width="12.33203125" bestFit="1" customWidth="1"/>
    <col min="43" max="43" width="19" bestFit="1" customWidth="1"/>
    <col min="44" max="44" width="14.33203125" bestFit="1" customWidth="1"/>
    <col min="45" max="45" width="14.6640625" bestFit="1" customWidth="1"/>
    <col min="46" max="46" width="21.5546875" bestFit="1" customWidth="1"/>
    <col min="47" max="47" width="12.6640625" bestFit="1" customWidth="1"/>
    <col min="48" max="48" width="21.88671875" bestFit="1" customWidth="1"/>
    <col min="49" max="49" width="12.5546875" bestFit="1" customWidth="1"/>
    <col min="50" max="50" width="15.44140625" bestFit="1" customWidth="1"/>
    <col min="51" max="51" width="13.109375" bestFit="1" customWidth="1"/>
    <col min="52" max="52" width="15.33203125" bestFit="1" customWidth="1"/>
    <col min="53" max="53" width="11.88671875" bestFit="1" customWidth="1"/>
    <col min="54" max="54" width="13.109375" bestFit="1" customWidth="1"/>
    <col min="55" max="55" width="11.33203125" bestFit="1" customWidth="1"/>
    <col min="56" max="56" width="15.44140625" bestFit="1" customWidth="1"/>
    <col min="57" max="57" width="14.6640625" bestFit="1" customWidth="1"/>
    <col min="58" max="58" width="18.33203125" bestFit="1" customWidth="1"/>
    <col min="59" max="59" width="10.6640625" bestFit="1" customWidth="1"/>
    <col min="60" max="60" width="13.6640625" bestFit="1" customWidth="1"/>
    <col min="61" max="61" width="13.33203125" bestFit="1" customWidth="1"/>
    <col min="62" max="62" width="13.6640625" bestFit="1" customWidth="1"/>
    <col min="63" max="63" width="17.33203125" bestFit="1" customWidth="1"/>
    <col min="64" max="64" width="17.6640625" bestFit="1" customWidth="1"/>
    <col min="65" max="65" width="11.5546875" bestFit="1" customWidth="1"/>
    <col min="66" max="66" width="11.6640625" bestFit="1" customWidth="1"/>
    <col min="67" max="67" width="8.6640625" bestFit="1" customWidth="1"/>
    <col min="68" max="68" width="15.33203125" bestFit="1" customWidth="1"/>
    <col min="69" max="69" width="17" bestFit="1" customWidth="1"/>
    <col min="70" max="70" width="16.33203125" bestFit="1" customWidth="1"/>
    <col min="71" max="71" width="14.6640625" bestFit="1" customWidth="1"/>
    <col min="72" max="72" width="12.5546875" bestFit="1" customWidth="1"/>
    <col min="73" max="73" width="10.33203125" bestFit="1" customWidth="1"/>
    <col min="74" max="74" width="13.109375" bestFit="1" customWidth="1"/>
    <col min="75" max="75" width="13.44140625" bestFit="1" customWidth="1"/>
    <col min="76" max="76" width="14.44140625" bestFit="1" customWidth="1"/>
    <col min="77" max="77" width="14.6640625" bestFit="1" customWidth="1"/>
    <col min="78" max="78" width="17.44140625" bestFit="1" customWidth="1"/>
    <col min="79" max="79" width="9" bestFit="1" customWidth="1"/>
    <col min="80" max="80" width="14.33203125" bestFit="1" customWidth="1"/>
    <col min="81" max="81" width="16.109375" bestFit="1" customWidth="1"/>
    <col min="82" max="82" width="13.6640625" bestFit="1" customWidth="1"/>
    <col min="83" max="83" width="13.5546875" bestFit="1" customWidth="1"/>
    <col min="84" max="84" width="19.44140625" bestFit="1" customWidth="1"/>
    <col min="85" max="85" width="16.109375" bestFit="1" customWidth="1"/>
    <col min="86" max="86" width="11.44140625" bestFit="1" customWidth="1"/>
    <col min="87" max="87" width="15.6640625" bestFit="1" customWidth="1"/>
    <col min="88" max="88" width="10.33203125" bestFit="1" customWidth="1"/>
    <col min="89" max="89" width="15.33203125" bestFit="1" customWidth="1"/>
    <col min="90" max="90" width="12.88671875" bestFit="1" customWidth="1"/>
    <col min="91" max="92" width="13.33203125" bestFit="1" customWidth="1"/>
    <col min="93" max="93" width="15.33203125" bestFit="1" customWidth="1"/>
    <col min="94" max="94" width="12.33203125" bestFit="1" customWidth="1"/>
    <col min="95" max="95" width="19" bestFit="1" customWidth="1"/>
    <col min="96" max="96" width="14.33203125" bestFit="1" customWidth="1"/>
    <col min="97" max="97" width="14.6640625" bestFit="1" customWidth="1"/>
    <col min="98" max="98" width="21.5546875" bestFit="1" customWidth="1"/>
    <col min="99" max="99" width="12.6640625" bestFit="1" customWidth="1"/>
    <col min="100" max="100" width="21.88671875" bestFit="1" customWidth="1"/>
    <col min="101" max="101" width="12.5546875" bestFit="1" customWidth="1"/>
    <col min="102" max="102" width="15.44140625" bestFit="1" customWidth="1"/>
    <col min="103" max="103" width="13.109375" bestFit="1" customWidth="1"/>
    <col min="104" max="105" width="15.33203125" bestFit="1" customWidth="1"/>
    <col min="106" max="106" width="11.88671875" bestFit="1" customWidth="1"/>
    <col min="107" max="107" width="13.109375" bestFit="1" customWidth="1"/>
    <col min="108" max="108" width="11.33203125" bestFit="1" customWidth="1"/>
    <col min="109" max="109" width="15.44140625" bestFit="1" customWidth="1"/>
    <col min="110" max="110" width="14.6640625" bestFit="1" customWidth="1"/>
    <col min="111" max="111" width="18.33203125" bestFit="1" customWidth="1"/>
    <col min="112" max="112" width="10.6640625" bestFit="1" customWidth="1"/>
    <col min="113" max="113" width="13.6640625" bestFit="1" customWidth="1"/>
    <col min="114" max="114" width="13.33203125" bestFit="1" customWidth="1"/>
    <col min="115" max="115" width="13.6640625" bestFit="1" customWidth="1"/>
    <col min="116" max="116" width="15.33203125" bestFit="1" customWidth="1"/>
    <col min="117" max="117" width="17.33203125" bestFit="1" customWidth="1"/>
    <col min="118" max="118" width="17.6640625" bestFit="1" customWidth="1"/>
    <col min="119" max="119" width="11.5546875" bestFit="1" customWidth="1"/>
    <col min="120" max="120" width="11.6640625" bestFit="1" customWidth="1"/>
    <col min="121" max="121" width="8.6640625" bestFit="1" customWidth="1"/>
    <col min="122" max="122" width="15.33203125" bestFit="1" customWidth="1"/>
    <col min="123" max="123" width="17" bestFit="1" customWidth="1"/>
    <col min="124" max="124" width="16.33203125" bestFit="1" customWidth="1"/>
    <col min="125" max="125" width="14.6640625" bestFit="1" customWidth="1"/>
    <col min="126" max="126" width="12.5546875" bestFit="1" customWidth="1"/>
    <col min="127" max="127" width="10.33203125" bestFit="1" customWidth="1"/>
    <col min="128" max="128" width="13.109375" bestFit="1" customWidth="1"/>
    <col min="129" max="129" width="13.44140625" bestFit="1" customWidth="1"/>
    <col min="130" max="130" width="14.44140625" bestFit="1" customWidth="1"/>
    <col min="131" max="131" width="14.6640625" bestFit="1" customWidth="1"/>
    <col min="132" max="132" width="17.44140625" bestFit="1" customWidth="1"/>
    <col min="133" max="133" width="9" bestFit="1" customWidth="1"/>
    <col min="134" max="134" width="14.33203125" bestFit="1" customWidth="1"/>
    <col min="135" max="135" width="16.109375" bestFit="1" customWidth="1"/>
    <col min="136" max="136" width="13.6640625" bestFit="1" customWidth="1"/>
    <col min="137" max="137" width="13.5546875" bestFit="1" customWidth="1"/>
    <col min="138" max="138" width="16.109375" bestFit="1" customWidth="1"/>
    <col min="139" max="139" width="11.44140625" bestFit="1" customWidth="1"/>
    <col min="140" max="140" width="15.6640625" bestFit="1" customWidth="1"/>
    <col min="141" max="141" width="10.33203125" bestFit="1" customWidth="1"/>
    <col min="142" max="142" width="15.33203125" bestFit="1" customWidth="1"/>
    <col min="143" max="143" width="12.88671875" bestFit="1" customWidth="1"/>
    <col min="144" max="145" width="13.33203125" bestFit="1" customWidth="1"/>
    <col min="146" max="146" width="15.33203125" bestFit="1" customWidth="1"/>
    <col min="147" max="147" width="12.33203125" bestFit="1" customWidth="1"/>
    <col min="148" max="148" width="19" bestFit="1" customWidth="1"/>
    <col min="149" max="149" width="14.33203125" bestFit="1" customWidth="1"/>
    <col min="150" max="150" width="14.6640625" bestFit="1" customWidth="1"/>
    <col min="151" max="151" width="21.5546875" bestFit="1" customWidth="1"/>
    <col min="152" max="152" width="12.6640625" bestFit="1" customWidth="1"/>
    <col min="153" max="153" width="21.88671875" bestFit="1" customWidth="1"/>
    <col min="154" max="154" width="12.5546875" bestFit="1" customWidth="1"/>
    <col min="155" max="155" width="9.6640625" bestFit="1" customWidth="1"/>
    <col min="156" max="156" width="13.109375" bestFit="1" customWidth="1"/>
    <col min="157" max="158" width="15.33203125" bestFit="1" customWidth="1"/>
    <col min="159" max="159" width="11.88671875" bestFit="1" customWidth="1"/>
    <col min="160" max="160" width="13.109375" bestFit="1" customWidth="1"/>
    <col min="161" max="161" width="11.33203125" bestFit="1" customWidth="1"/>
    <col min="162" max="162" width="15.44140625" bestFit="1" customWidth="1"/>
    <col min="163" max="163" width="18.33203125" bestFit="1" customWidth="1"/>
    <col min="164" max="164" width="10.6640625" bestFit="1" customWidth="1"/>
    <col min="165" max="165" width="13.6640625" bestFit="1" customWidth="1"/>
    <col min="166" max="166" width="13.33203125" bestFit="1" customWidth="1"/>
    <col min="167" max="167" width="13.6640625" bestFit="1" customWidth="1"/>
    <col min="168" max="168" width="15.33203125" bestFit="1" customWidth="1"/>
    <col min="169" max="169" width="17.33203125" bestFit="1" customWidth="1"/>
    <col min="170" max="170" width="17.6640625" bestFit="1" customWidth="1"/>
    <col min="171" max="171" width="11.5546875" bestFit="1" customWidth="1"/>
    <col min="172" max="172" width="11.6640625" bestFit="1" customWidth="1"/>
    <col min="173" max="173" width="15.33203125" bestFit="1" customWidth="1"/>
    <col min="174" max="174" width="17" bestFit="1" customWidth="1"/>
    <col min="175" max="175" width="16.33203125" bestFit="1" customWidth="1"/>
    <col min="176" max="176" width="14.6640625" bestFit="1" customWidth="1"/>
    <col min="177" max="177" width="12.5546875" bestFit="1" customWidth="1"/>
    <col min="178" max="178" width="10.33203125" bestFit="1" customWidth="1"/>
    <col min="179" max="179" width="13.109375" bestFit="1" customWidth="1"/>
    <col min="180" max="180" width="13.44140625" bestFit="1" customWidth="1"/>
    <col min="181" max="181" width="14.44140625" bestFit="1" customWidth="1"/>
    <col min="182" max="182" width="14.6640625" bestFit="1" customWidth="1"/>
    <col min="183" max="183" width="17.44140625" bestFit="1" customWidth="1"/>
    <col min="184" max="184" width="9" bestFit="1" customWidth="1"/>
    <col min="185" max="185" width="14.33203125" bestFit="1" customWidth="1"/>
    <col min="186" max="186" width="16.109375" bestFit="1" customWidth="1"/>
    <col min="187" max="187" width="13.6640625" bestFit="1" customWidth="1"/>
    <col min="188" max="188" width="13.5546875" bestFit="1" customWidth="1"/>
    <col min="189" max="189" width="19.44140625" bestFit="1" customWidth="1"/>
    <col min="190" max="190" width="16.109375" bestFit="1" customWidth="1"/>
    <col min="191" max="191" width="11.44140625" bestFit="1" customWidth="1"/>
    <col min="192" max="192" width="15.6640625" bestFit="1" customWidth="1"/>
    <col min="193" max="193" width="10.33203125" bestFit="1" customWidth="1"/>
    <col min="194" max="194" width="15.33203125" bestFit="1" customWidth="1"/>
    <col min="195" max="195" width="12.88671875" bestFit="1" customWidth="1"/>
    <col min="196" max="197" width="13.33203125" bestFit="1" customWidth="1"/>
    <col min="198" max="198" width="15.33203125" bestFit="1" customWidth="1"/>
    <col min="199" max="199" width="12.33203125" bestFit="1" customWidth="1"/>
    <col min="200" max="200" width="19" bestFit="1" customWidth="1"/>
    <col min="201" max="201" width="14.33203125" bestFit="1" customWidth="1"/>
    <col min="202" max="202" width="14.6640625" bestFit="1" customWidth="1"/>
    <col min="203" max="203" width="21.5546875" bestFit="1" customWidth="1"/>
    <col min="204" max="204" width="12.6640625" bestFit="1" customWidth="1"/>
    <col min="205" max="205" width="21.88671875" bestFit="1" customWidth="1"/>
    <col min="206" max="206" width="12.5546875" bestFit="1" customWidth="1"/>
    <col min="207" max="207" width="9.6640625" bestFit="1" customWidth="1"/>
    <col min="208" max="208" width="13.109375" bestFit="1" customWidth="1"/>
    <col min="209" max="210" width="15.33203125" bestFit="1" customWidth="1"/>
    <col min="211" max="211" width="11.88671875" bestFit="1" customWidth="1"/>
    <col min="212" max="212" width="13.109375" bestFit="1" customWidth="1"/>
    <col min="213" max="213" width="11.33203125" bestFit="1" customWidth="1"/>
    <col min="214" max="214" width="15.44140625" bestFit="1" customWidth="1"/>
    <col min="215" max="215" width="18.33203125" bestFit="1" customWidth="1"/>
    <col min="216" max="216" width="10.6640625" bestFit="1" customWidth="1"/>
    <col min="217" max="218" width="13.6640625" bestFit="1" customWidth="1"/>
    <col min="219" max="219" width="15.33203125" bestFit="1" customWidth="1"/>
    <col min="220" max="220" width="17.33203125" bestFit="1" customWidth="1"/>
    <col min="221" max="221" width="17.6640625" bestFit="1" customWidth="1"/>
    <col min="222" max="222" width="11.5546875" bestFit="1" customWidth="1"/>
    <col min="223" max="223" width="11.6640625" bestFit="1" customWidth="1"/>
    <col min="224" max="224" width="8.6640625" bestFit="1" customWidth="1"/>
    <col min="225" max="225" width="15.33203125" bestFit="1" customWidth="1"/>
    <col min="226" max="226" width="17" bestFit="1" customWidth="1"/>
    <col min="227" max="227" width="16.33203125" bestFit="1" customWidth="1"/>
    <col min="228" max="228" width="14.6640625" bestFit="1" customWidth="1"/>
    <col min="229" max="229" width="12.5546875" bestFit="1" customWidth="1"/>
    <col min="230" max="230" width="10.33203125" bestFit="1" customWidth="1"/>
    <col min="231" max="231" width="13.109375" bestFit="1" customWidth="1"/>
    <col min="232" max="232" width="13.44140625" bestFit="1" customWidth="1"/>
    <col min="233" max="233" width="14.44140625" bestFit="1" customWidth="1"/>
    <col min="234" max="234" width="14.6640625" bestFit="1" customWidth="1"/>
    <col min="235" max="235" width="17.44140625" bestFit="1" customWidth="1"/>
    <col min="236" max="236" width="9" bestFit="1" customWidth="1"/>
    <col min="237" max="237" width="14.33203125" bestFit="1" customWidth="1"/>
    <col min="238" max="238" width="16.109375" bestFit="1" customWidth="1"/>
    <col min="239" max="239" width="13.6640625" bestFit="1" customWidth="1"/>
    <col min="240" max="240" width="13.5546875" bestFit="1" customWidth="1"/>
    <col min="241" max="241" width="19.44140625" bestFit="1" customWidth="1"/>
    <col min="242" max="242" width="16.109375" bestFit="1" customWidth="1"/>
    <col min="243" max="243" width="11.44140625" bestFit="1" customWidth="1"/>
    <col min="244" max="244" width="15.6640625" bestFit="1" customWidth="1"/>
    <col min="245" max="245" width="10.33203125" bestFit="1" customWidth="1"/>
    <col min="246" max="246" width="15.33203125" bestFit="1" customWidth="1"/>
    <col min="247" max="247" width="12.88671875" bestFit="1" customWidth="1"/>
    <col min="248" max="249" width="13.33203125" bestFit="1" customWidth="1"/>
    <col min="250" max="250" width="15.33203125" bestFit="1" customWidth="1"/>
    <col min="251" max="251" width="12.33203125" bestFit="1" customWidth="1"/>
    <col min="252" max="252" width="19" bestFit="1" customWidth="1"/>
    <col min="253" max="253" width="14.33203125" bestFit="1" customWidth="1"/>
    <col min="254" max="254" width="14.6640625" bestFit="1" customWidth="1"/>
    <col min="255" max="255" width="21.5546875" bestFit="1" customWidth="1"/>
    <col min="256" max="256" width="12.6640625" bestFit="1" customWidth="1"/>
    <col min="257" max="257" width="21.88671875" bestFit="1" customWidth="1"/>
    <col min="258" max="258" width="12.5546875" bestFit="1" customWidth="1"/>
    <col min="259" max="259" width="9.6640625" bestFit="1" customWidth="1"/>
    <col min="260" max="260" width="13.109375" bestFit="1" customWidth="1"/>
    <col min="261" max="261" width="15.33203125" bestFit="1" customWidth="1"/>
    <col min="262" max="262" width="11.88671875" bestFit="1" customWidth="1"/>
    <col min="263" max="263" width="9" bestFit="1" customWidth="1"/>
    <col min="264" max="264" width="11.6640625" bestFit="1" customWidth="1"/>
    <col min="265" max="265" width="10.6640625" bestFit="1" customWidth="1"/>
  </cols>
  <sheetData>
    <row r="3" spans="1:8" x14ac:dyDescent="0.3">
      <c r="A3" s="25" t="s">
        <v>3065</v>
      </c>
      <c r="B3" s="25" t="s">
        <v>3066</v>
      </c>
    </row>
    <row r="4" spans="1:8" x14ac:dyDescent="0.3">
      <c r="A4" s="25" t="s">
        <v>3067</v>
      </c>
      <c r="B4" t="s">
        <v>13</v>
      </c>
      <c r="C4" t="s">
        <v>14</v>
      </c>
      <c r="D4" t="s">
        <v>15</v>
      </c>
      <c r="E4" t="s">
        <v>16</v>
      </c>
      <c r="F4" t="s">
        <v>18</v>
      </c>
      <c r="G4" t="s">
        <v>3068</v>
      </c>
      <c r="H4" t="s">
        <v>3069</v>
      </c>
    </row>
    <row r="5" spans="1:8" x14ac:dyDescent="0.3">
      <c r="A5" s="18" t="s">
        <v>697</v>
      </c>
      <c r="C5">
        <v>0.05</v>
      </c>
      <c r="E5">
        <v>0.3</v>
      </c>
      <c r="F5">
        <v>0.17</v>
      </c>
      <c r="H5">
        <v>0.52</v>
      </c>
    </row>
    <row r="6" spans="1:8" x14ac:dyDescent="0.3">
      <c r="A6" s="18" t="s">
        <v>1605</v>
      </c>
      <c r="D6">
        <v>3.16</v>
      </c>
      <c r="H6">
        <v>3.16</v>
      </c>
    </row>
    <row r="7" spans="1:8" x14ac:dyDescent="0.3">
      <c r="A7" s="18" t="s">
        <v>409</v>
      </c>
      <c r="C7">
        <v>1.5</v>
      </c>
      <c r="D7">
        <v>1.5</v>
      </c>
      <c r="H7">
        <v>3</v>
      </c>
    </row>
    <row r="8" spans="1:8" x14ac:dyDescent="0.3">
      <c r="A8" s="18" t="s">
        <v>821</v>
      </c>
      <c r="C8">
        <v>0.17</v>
      </c>
      <c r="D8">
        <v>0.17</v>
      </c>
      <c r="H8">
        <v>0.34</v>
      </c>
    </row>
    <row r="9" spans="1:8" x14ac:dyDescent="0.3">
      <c r="A9" s="18" t="s">
        <v>828</v>
      </c>
      <c r="C9">
        <v>0.15000000000000002</v>
      </c>
      <c r="D9">
        <v>0.17</v>
      </c>
      <c r="H9">
        <v>0.32000000000000006</v>
      </c>
    </row>
    <row r="10" spans="1:8" x14ac:dyDescent="0.3">
      <c r="A10" s="18" t="s">
        <v>137</v>
      </c>
      <c r="B10">
        <v>0.7</v>
      </c>
      <c r="C10">
        <v>6.62</v>
      </c>
      <c r="D10">
        <v>10.33</v>
      </c>
      <c r="E10">
        <v>6.26</v>
      </c>
      <c r="F10">
        <v>8.6999999999999993</v>
      </c>
      <c r="H10">
        <v>32.61</v>
      </c>
    </row>
    <row r="11" spans="1:8" x14ac:dyDescent="0.3">
      <c r="A11" s="18" t="s">
        <v>81</v>
      </c>
      <c r="B11">
        <v>25.75</v>
      </c>
      <c r="C11">
        <v>187.16</v>
      </c>
      <c r="D11">
        <v>228.56</v>
      </c>
      <c r="E11">
        <v>184.53</v>
      </c>
      <c r="F11">
        <v>107.52000000000001</v>
      </c>
      <c r="H11">
        <v>733.52</v>
      </c>
    </row>
    <row r="12" spans="1:8" x14ac:dyDescent="0.3">
      <c r="A12" s="18" t="s">
        <v>657</v>
      </c>
      <c r="C12">
        <v>1.08</v>
      </c>
      <c r="D12">
        <v>1.73</v>
      </c>
      <c r="E12">
        <v>0.82000000000000006</v>
      </c>
      <c r="H12">
        <v>3.63</v>
      </c>
    </row>
    <row r="13" spans="1:8" x14ac:dyDescent="0.3">
      <c r="A13" s="18" t="s">
        <v>666</v>
      </c>
      <c r="C13">
        <v>0.15</v>
      </c>
      <c r="D13">
        <v>0.35</v>
      </c>
      <c r="H13">
        <v>0.5</v>
      </c>
    </row>
    <row r="14" spans="1:8" x14ac:dyDescent="0.3">
      <c r="A14" s="18" t="s">
        <v>966</v>
      </c>
      <c r="C14">
        <v>0.08</v>
      </c>
      <c r="H14">
        <v>0.08</v>
      </c>
    </row>
    <row r="15" spans="1:8" x14ac:dyDescent="0.3">
      <c r="A15" s="18" t="s">
        <v>291</v>
      </c>
      <c r="B15">
        <v>1</v>
      </c>
      <c r="C15">
        <v>5</v>
      </c>
      <c r="D15">
        <v>4.22</v>
      </c>
      <c r="E15">
        <v>2.75</v>
      </c>
      <c r="F15">
        <v>1.72</v>
      </c>
      <c r="H15">
        <v>14.69</v>
      </c>
    </row>
    <row r="16" spans="1:8" x14ac:dyDescent="0.3">
      <c r="A16" s="18" t="s">
        <v>91</v>
      </c>
      <c r="B16">
        <v>13.43</v>
      </c>
      <c r="C16">
        <v>51.83</v>
      </c>
      <c r="D16">
        <v>49.259999999999991</v>
      </c>
      <c r="E16">
        <v>22.979999999999997</v>
      </c>
      <c r="F16">
        <v>46.66</v>
      </c>
      <c r="H16">
        <v>184.15999999999997</v>
      </c>
    </row>
    <row r="17" spans="1:8" x14ac:dyDescent="0.3">
      <c r="A17" s="18" t="s">
        <v>1170</v>
      </c>
      <c r="C17">
        <v>0.23</v>
      </c>
      <c r="D17">
        <v>3.7600000000000002</v>
      </c>
      <c r="F17">
        <v>0.13</v>
      </c>
      <c r="H17">
        <v>4.12</v>
      </c>
    </row>
    <row r="18" spans="1:8" x14ac:dyDescent="0.3">
      <c r="A18" s="18" t="s">
        <v>263</v>
      </c>
      <c r="B18">
        <v>6.81</v>
      </c>
      <c r="C18">
        <v>35.61999999999999</v>
      </c>
      <c r="D18">
        <v>36.94</v>
      </c>
      <c r="E18">
        <v>29.590000000000003</v>
      </c>
      <c r="F18">
        <v>21.02</v>
      </c>
      <c r="H18">
        <v>129.97999999999999</v>
      </c>
    </row>
    <row r="19" spans="1:8" x14ac:dyDescent="0.3">
      <c r="A19" s="18" t="s">
        <v>203</v>
      </c>
      <c r="B19">
        <v>0.17</v>
      </c>
      <c r="C19">
        <v>3.5599999999999996</v>
      </c>
      <c r="D19">
        <v>0.75</v>
      </c>
      <c r="E19">
        <v>1.4</v>
      </c>
      <c r="F19">
        <v>0.73</v>
      </c>
      <c r="H19">
        <v>6.6099999999999994</v>
      </c>
    </row>
    <row r="20" spans="1:8" x14ac:dyDescent="0.3">
      <c r="A20" s="18" t="s">
        <v>1761</v>
      </c>
      <c r="D20">
        <v>0.25</v>
      </c>
      <c r="E20">
        <v>0.17</v>
      </c>
      <c r="H20">
        <v>0.42000000000000004</v>
      </c>
    </row>
    <row r="21" spans="1:8" x14ac:dyDescent="0.3">
      <c r="A21" s="18" t="s">
        <v>95</v>
      </c>
      <c r="B21">
        <v>0.02</v>
      </c>
      <c r="H21">
        <v>0.02</v>
      </c>
    </row>
    <row r="22" spans="1:8" x14ac:dyDescent="0.3">
      <c r="A22" s="18" t="s">
        <v>40</v>
      </c>
      <c r="B22">
        <v>0.15</v>
      </c>
      <c r="C22">
        <v>2.4099999999999997</v>
      </c>
      <c r="D22">
        <v>1.9500000000000002</v>
      </c>
      <c r="E22">
        <v>1.75</v>
      </c>
      <c r="F22">
        <v>1.9799999999999998</v>
      </c>
      <c r="H22">
        <v>8.24</v>
      </c>
    </row>
    <row r="23" spans="1:8" x14ac:dyDescent="0.3">
      <c r="A23" s="18" t="s">
        <v>358</v>
      </c>
      <c r="B23">
        <v>0.2</v>
      </c>
      <c r="C23">
        <v>12.34</v>
      </c>
      <c r="D23">
        <v>12.99</v>
      </c>
      <c r="E23">
        <v>1.57</v>
      </c>
      <c r="F23">
        <v>10.670000000000002</v>
      </c>
      <c r="H23">
        <v>37.770000000000003</v>
      </c>
    </row>
    <row r="24" spans="1:8" x14ac:dyDescent="0.3">
      <c r="A24" s="18" t="s">
        <v>848</v>
      </c>
      <c r="C24">
        <v>1.31</v>
      </c>
      <c r="D24">
        <v>2.58</v>
      </c>
      <c r="E24">
        <v>0.18</v>
      </c>
      <c r="F24">
        <v>1</v>
      </c>
      <c r="H24">
        <v>5.07</v>
      </c>
    </row>
    <row r="25" spans="1:8" x14ac:dyDescent="0.3">
      <c r="A25" s="18" t="s">
        <v>445</v>
      </c>
      <c r="C25">
        <v>6.9</v>
      </c>
      <c r="D25">
        <v>11.629999999999999</v>
      </c>
      <c r="E25">
        <v>6.53</v>
      </c>
      <c r="F25">
        <v>5.0599999999999996</v>
      </c>
      <c r="H25">
        <v>30.12</v>
      </c>
    </row>
    <row r="26" spans="1:8" x14ac:dyDescent="0.3">
      <c r="A26" s="18" t="s">
        <v>1216</v>
      </c>
      <c r="C26">
        <v>7.5</v>
      </c>
      <c r="D26">
        <v>19.23</v>
      </c>
      <c r="E26">
        <v>12.05</v>
      </c>
      <c r="F26">
        <v>18</v>
      </c>
      <c r="H26">
        <v>56.78</v>
      </c>
    </row>
    <row r="27" spans="1:8" x14ac:dyDescent="0.3">
      <c r="A27" s="18" t="s">
        <v>524</v>
      </c>
      <c r="C27">
        <v>0.65</v>
      </c>
      <c r="D27">
        <v>1.5</v>
      </c>
      <c r="E27">
        <v>4.0199999999999996</v>
      </c>
      <c r="F27">
        <v>1</v>
      </c>
      <c r="H27">
        <v>7.17</v>
      </c>
    </row>
    <row r="28" spans="1:8" x14ac:dyDescent="0.3">
      <c r="A28" s="18" t="s">
        <v>582</v>
      </c>
      <c r="C28">
        <v>0.42</v>
      </c>
      <c r="E28">
        <v>0.64</v>
      </c>
      <c r="H28">
        <v>1.06</v>
      </c>
    </row>
    <row r="29" spans="1:8" x14ac:dyDescent="0.3">
      <c r="A29" s="18" t="s">
        <v>135</v>
      </c>
      <c r="B29">
        <v>0.48</v>
      </c>
      <c r="C29">
        <v>10.069999999999999</v>
      </c>
      <c r="D29">
        <v>7.39</v>
      </c>
      <c r="E29">
        <v>6.45</v>
      </c>
      <c r="F29">
        <v>6.33</v>
      </c>
      <c r="H29">
        <v>30.72</v>
      </c>
    </row>
    <row r="30" spans="1:8" x14ac:dyDescent="0.3">
      <c r="A30" s="18" t="s">
        <v>151</v>
      </c>
      <c r="B30">
        <v>1.8399999999999999</v>
      </c>
      <c r="C30">
        <v>8.26</v>
      </c>
      <c r="D30">
        <v>5.2700000000000005</v>
      </c>
      <c r="E30">
        <v>9.9300000000000015</v>
      </c>
      <c r="F30">
        <v>7.26</v>
      </c>
      <c r="H30">
        <v>32.56</v>
      </c>
    </row>
    <row r="31" spans="1:8" x14ac:dyDescent="0.3">
      <c r="A31" s="18" t="s">
        <v>1754</v>
      </c>
      <c r="D31">
        <v>0.15</v>
      </c>
      <c r="E31">
        <v>4.4800000000000004</v>
      </c>
      <c r="H31">
        <v>4.6300000000000008</v>
      </c>
    </row>
    <row r="32" spans="1:8" x14ac:dyDescent="0.3">
      <c r="A32" s="18" t="s">
        <v>226</v>
      </c>
      <c r="B32">
        <v>2.2999999999999998</v>
      </c>
      <c r="C32">
        <v>6.3</v>
      </c>
      <c r="D32">
        <v>3.75</v>
      </c>
      <c r="E32">
        <v>3.1</v>
      </c>
      <c r="F32">
        <v>4.25</v>
      </c>
      <c r="H32">
        <v>19.7</v>
      </c>
    </row>
    <row r="33" spans="1:8" x14ac:dyDescent="0.3">
      <c r="A33" s="18" t="s">
        <v>254</v>
      </c>
      <c r="B33">
        <v>11.07</v>
      </c>
      <c r="C33">
        <v>17.52</v>
      </c>
      <c r="D33">
        <v>8.9600000000000009</v>
      </c>
      <c r="E33">
        <v>13.390000000000002</v>
      </c>
      <c r="F33">
        <v>0.55000000000000004</v>
      </c>
      <c r="H33">
        <v>51.489999999999995</v>
      </c>
    </row>
    <row r="34" spans="1:8" x14ac:dyDescent="0.3">
      <c r="A34" s="18" t="s">
        <v>54</v>
      </c>
      <c r="B34">
        <v>197.55999999999989</v>
      </c>
      <c r="C34">
        <v>858.24000000000012</v>
      </c>
      <c r="D34">
        <v>815.96000000000015</v>
      </c>
      <c r="E34">
        <v>842.20999999999981</v>
      </c>
      <c r="F34">
        <v>902.06999999999982</v>
      </c>
      <c r="H34">
        <v>3616.04</v>
      </c>
    </row>
    <row r="35" spans="1:8" x14ac:dyDescent="0.3">
      <c r="A35" s="18" t="s">
        <v>1011</v>
      </c>
      <c r="C35">
        <v>0.73</v>
      </c>
      <c r="E35">
        <v>4.6500000000000004</v>
      </c>
      <c r="H35">
        <v>5.3800000000000008</v>
      </c>
    </row>
    <row r="36" spans="1:8" x14ac:dyDescent="0.3">
      <c r="A36" s="18" t="s">
        <v>271</v>
      </c>
      <c r="B36">
        <v>3.1799999999999997</v>
      </c>
      <c r="C36">
        <v>23.509999999999998</v>
      </c>
      <c r="D36">
        <v>13.46</v>
      </c>
      <c r="E36">
        <v>26.220000000000002</v>
      </c>
      <c r="F36">
        <v>16.82</v>
      </c>
      <c r="H36">
        <v>83.19</v>
      </c>
    </row>
    <row r="37" spans="1:8" x14ac:dyDescent="0.3">
      <c r="A37" s="18" t="s">
        <v>45</v>
      </c>
      <c r="B37">
        <v>0.32</v>
      </c>
      <c r="C37">
        <v>0.46</v>
      </c>
      <c r="D37">
        <v>0.08</v>
      </c>
      <c r="E37">
        <v>0.65</v>
      </c>
      <c r="H37">
        <v>1.51</v>
      </c>
    </row>
    <row r="38" spans="1:8" x14ac:dyDescent="0.3">
      <c r="A38" s="18" t="s">
        <v>1409</v>
      </c>
      <c r="D38">
        <v>0.66999999999999993</v>
      </c>
      <c r="E38">
        <v>1.23</v>
      </c>
      <c r="H38">
        <v>1.9</v>
      </c>
    </row>
    <row r="39" spans="1:8" x14ac:dyDescent="0.3">
      <c r="A39" s="18" t="s">
        <v>437</v>
      </c>
      <c r="C39">
        <v>13.270000000000001</v>
      </c>
      <c r="D39">
        <v>13.879999999999999</v>
      </c>
      <c r="E39">
        <v>18.580000000000002</v>
      </c>
      <c r="F39">
        <v>8.3800000000000008</v>
      </c>
      <c r="H39">
        <v>54.110000000000007</v>
      </c>
    </row>
    <row r="40" spans="1:8" x14ac:dyDescent="0.3">
      <c r="A40" s="18" t="s">
        <v>139</v>
      </c>
      <c r="B40">
        <v>1.88</v>
      </c>
      <c r="C40">
        <v>8.2800000000000011</v>
      </c>
      <c r="D40">
        <v>10.070000000000002</v>
      </c>
      <c r="E40">
        <v>13.389999999999999</v>
      </c>
      <c r="F40">
        <v>5.3100000000000005</v>
      </c>
      <c r="H40">
        <v>38.930000000000007</v>
      </c>
    </row>
    <row r="41" spans="1:8" x14ac:dyDescent="0.3">
      <c r="A41" s="18" t="s">
        <v>1457</v>
      </c>
      <c r="D41">
        <v>0.05</v>
      </c>
      <c r="H41">
        <v>0.05</v>
      </c>
    </row>
    <row r="42" spans="1:8" x14ac:dyDescent="0.3">
      <c r="A42" s="18" t="s">
        <v>967</v>
      </c>
      <c r="C42">
        <v>0.08</v>
      </c>
      <c r="D42">
        <v>1.98</v>
      </c>
      <c r="E42">
        <v>1.33</v>
      </c>
      <c r="H42">
        <v>3.39</v>
      </c>
    </row>
    <row r="43" spans="1:8" x14ac:dyDescent="0.3">
      <c r="A43" s="18" t="s">
        <v>1808</v>
      </c>
      <c r="D43">
        <v>0.48</v>
      </c>
      <c r="F43">
        <v>0.97</v>
      </c>
      <c r="H43">
        <v>1.45</v>
      </c>
    </row>
    <row r="44" spans="1:8" x14ac:dyDescent="0.3">
      <c r="A44" s="18" t="s">
        <v>185</v>
      </c>
      <c r="B44">
        <v>1.83</v>
      </c>
      <c r="C44">
        <v>4.37</v>
      </c>
      <c r="D44">
        <v>3.6000000000000005</v>
      </c>
      <c r="E44">
        <v>2.66</v>
      </c>
      <c r="F44">
        <v>1.92</v>
      </c>
      <c r="H44">
        <v>14.38</v>
      </c>
    </row>
    <row r="45" spans="1:8" x14ac:dyDescent="0.3">
      <c r="A45" s="18" t="s">
        <v>143</v>
      </c>
      <c r="B45">
        <v>2.0300000000000002</v>
      </c>
      <c r="C45">
        <v>14.58</v>
      </c>
      <c r="D45">
        <v>8.5</v>
      </c>
      <c r="E45">
        <v>5.5</v>
      </c>
      <c r="F45">
        <v>8.34</v>
      </c>
      <c r="H45">
        <v>38.950000000000003</v>
      </c>
    </row>
    <row r="46" spans="1:8" x14ac:dyDescent="0.3">
      <c r="A46" s="18" t="s">
        <v>1856</v>
      </c>
      <c r="D46">
        <v>0.02</v>
      </c>
      <c r="F46">
        <v>3.5900000000000003</v>
      </c>
      <c r="H46">
        <v>3.6100000000000003</v>
      </c>
    </row>
    <row r="47" spans="1:8" x14ac:dyDescent="0.3">
      <c r="A47" s="18" t="s">
        <v>114</v>
      </c>
      <c r="B47">
        <v>2.36</v>
      </c>
      <c r="C47">
        <v>11.3</v>
      </c>
      <c r="D47">
        <v>16.759999999999998</v>
      </c>
      <c r="E47">
        <v>5.47</v>
      </c>
      <c r="F47">
        <v>9.3800000000000008</v>
      </c>
      <c r="H47">
        <v>45.27</v>
      </c>
    </row>
    <row r="48" spans="1:8" x14ac:dyDescent="0.3">
      <c r="A48" s="18" t="s">
        <v>179</v>
      </c>
      <c r="B48">
        <v>0.33</v>
      </c>
      <c r="C48">
        <v>2.23</v>
      </c>
      <c r="D48">
        <v>3.9600000000000004</v>
      </c>
      <c r="E48">
        <v>6.34</v>
      </c>
      <c r="F48">
        <v>1.98</v>
      </c>
      <c r="H48">
        <v>14.84</v>
      </c>
    </row>
    <row r="49" spans="1:8" x14ac:dyDescent="0.3">
      <c r="A49" s="18" t="s">
        <v>170</v>
      </c>
      <c r="B49">
        <v>9.629999999999999</v>
      </c>
      <c r="C49">
        <v>72.989999999999995</v>
      </c>
      <c r="D49">
        <v>49.45</v>
      </c>
      <c r="E49">
        <v>57.650000000000013</v>
      </c>
      <c r="F49">
        <v>37.820000000000007</v>
      </c>
      <c r="H49">
        <v>227.54000000000002</v>
      </c>
    </row>
    <row r="50" spans="1:8" x14ac:dyDescent="0.3">
      <c r="A50" s="18" t="s">
        <v>346</v>
      </c>
      <c r="B50">
        <v>0.33</v>
      </c>
      <c r="D50">
        <v>0.3</v>
      </c>
      <c r="H50">
        <v>0.63</v>
      </c>
    </row>
    <row r="51" spans="1:8" x14ac:dyDescent="0.3">
      <c r="A51" s="18" t="s">
        <v>472</v>
      </c>
      <c r="C51">
        <v>0.25</v>
      </c>
      <c r="H51">
        <v>0.25</v>
      </c>
    </row>
    <row r="52" spans="1:8" x14ac:dyDescent="0.3">
      <c r="A52" s="18" t="s">
        <v>176</v>
      </c>
      <c r="B52">
        <v>1.67</v>
      </c>
      <c r="C52">
        <v>7.96</v>
      </c>
      <c r="D52">
        <v>6.84</v>
      </c>
      <c r="E52">
        <v>8.08</v>
      </c>
      <c r="F52">
        <v>5.95</v>
      </c>
      <c r="H52">
        <v>30.499999999999996</v>
      </c>
    </row>
    <row r="53" spans="1:8" x14ac:dyDescent="0.3">
      <c r="A53" s="18" t="s">
        <v>371</v>
      </c>
      <c r="B53">
        <v>0.4</v>
      </c>
      <c r="C53">
        <v>1.27</v>
      </c>
      <c r="D53">
        <v>0.2</v>
      </c>
      <c r="H53">
        <v>1.8699999999999999</v>
      </c>
    </row>
    <row r="54" spans="1:8" x14ac:dyDescent="0.3">
      <c r="A54" s="18" t="s">
        <v>1756</v>
      </c>
      <c r="D54">
        <v>0.15</v>
      </c>
      <c r="E54">
        <v>0.2</v>
      </c>
      <c r="H54">
        <v>0.35</v>
      </c>
    </row>
    <row r="55" spans="1:8" x14ac:dyDescent="0.3">
      <c r="A55" s="18" t="s">
        <v>1857</v>
      </c>
      <c r="D55">
        <v>0.02</v>
      </c>
      <c r="F55">
        <v>2.0999999999999996</v>
      </c>
      <c r="H55">
        <v>2.1199999999999997</v>
      </c>
    </row>
    <row r="56" spans="1:8" x14ac:dyDescent="0.3">
      <c r="A56" s="18" t="s">
        <v>1858</v>
      </c>
      <c r="D56">
        <v>0.02</v>
      </c>
      <c r="H56">
        <v>0.02</v>
      </c>
    </row>
    <row r="57" spans="1:8" x14ac:dyDescent="0.3">
      <c r="A57" s="18" t="s">
        <v>1859</v>
      </c>
      <c r="D57">
        <v>0.02</v>
      </c>
      <c r="E57">
        <v>5.5</v>
      </c>
      <c r="F57">
        <v>0.17</v>
      </c>
      <c r="H57">
        <v>5.6899999999999995</v>
      </c>
    </row>
    <row r="58" spans="1:8" x14ac:dyDescent="0.3">
      <c r="A58" s="18" t="s">
        <v>37</v>
      </c>
      <c r="B58">
        <v>0.95000000000000007</v>
      </c>
      <c r="C58">
        <v>0.17</v>
      </c>
      <c r="D58">
        <v>0.22</v>
      </c>
      <c r="F58">
        <v>0.72</v>
      </c>
      <c r="H58">
        <v>2.06</v>
      </c>
    </row>
    <row r="59" spans="1:8" x14ac:dyDescent="0.3">
      <c r="A59" s="18" t="s">
        <v>127</v>
      </c>
      <c r="B59">
        <v>4.41</v>
      </c>
      <c r="C59">
        <v>16.05</v>
      </c>
      <c r="D59">
        <v>16.54</v>
      </c>
      <c r="E59">
        <v>16.07</v>
      </c>
      <c r="F59">
        <v>12.45</v>
      </c>
      <c r="H59">
        <v>65.52</v>
      </c>
    </row>
    <row r="60" spans="1:8" x14ac:dyDescent="0.3">
      <c r="A60" s="18" t="s">
        <v>1759</v>
      </c>
      <c r="D60">
        <v>0.23</v>
      </c>
      <c r="H60">
        <v>0.23</v>
      </c>
    </row>
    <row r="61" spans="1:8" x14ac:dyDescent="0.3">
      <c r="A61" s="18" t="s">
        <v>205</v>
      </c>
      <c r="B61">
        <v>0.57999999999999996</v>
      </c>
      <c r="C61">
        <v>1.45</v>
      </c>
      <c r="D61">
        <v>5.64</v>
      </c>
      <c r="E61">
        <v>3.95</v>
      </c>
      <c r="F61">
        <v>1.8199999999999998</v>
      </c>
      <c r="H61">
        <v>13.440000000000001</v>
      </c>
    </row>
    <row r="62" spans="1:8" x14ac:dyDescent="0.3">
      <c r="A62" s="18" t="s">
        <v>304</v>
      </c>
      <c r="B62">
        <v>2.27</v>
      </c>
      <c r="C62">
        <v>15.15</v>
      </c>
      <c r="D62">
        <v>11.43</v>
      </c>
      <c r="E62">
        <v>22.919999999999998</v>
      </c>
      <c r="F62">
        <v>7.8</v>
      </c>
      <c r="H62">
        <v>59.569999999999993</v>
      </c>
    </row>
    <row r="63" spans="1:8" x14ac:dyDescent="0.3">
      <c r="A63" s="18" t="s">
        <v>334</v>
      </c>
      <c r="B63">
        <v>4.95</v>
      </c>
      <c r="C63">
        <v>2.9699999999999998</v>
      </c>
      <c r="D63">
        <v>9.7499999999999982</v>
      </c>
      <c r="F63">
        <v>8.18</v>
      </c>
      <c r="H63">
        <v>25.849999999999998</v>
      </c>
    </row>
    <row r="64" spans="1:8" x14ac:dyDescent="0.3">
      <c r="A64" s="18" t="s">
        <v>52</v>
      </c>
      <c r="B64">
        <v>0.88</v>
      </c>
      <c r="D64">
        <v>0.08</v>
      </c>
      <c r="E64">
        <v>1.02</v>
      </c>
      <c r="H64">
        <v>1.98</v>
      </c>
    </row>
    <row r="65" spans="1:8" x14ac:dyDescent="0.3">
      <c r="A65" s="18" t="s">
        <v>2983</v>
      </c>
      <c r="F65">
        <v>0.08</v>
      </c>
      <c r="H65">
        <v>0.08</v>
      </c>
    </row>
    <row r="66" spans="1:8" x14ac:dyDescent="0.3">
      <c r="A66" s="18" t="s">
        <v>49</v>
      </c>
      <c r="B66">
        <v>2.84</v>
      </c>
      <c r="C66">
        <v>29.54</v>
      </c>
      <c r="D66">
        <v>36.010000000000005</v>
      </c>
      <c r="E66">
        <v>38.479999999999997</v>
      </c>
      <c r="F66">
        <v>29.590000000000003</v>
      </c>
      <c r="H66">
        <v>136.46</v>
      </c>
    </row>
    <row r="67" spans="1:8" x14ac:dyDescent="0.3">
      <c r="A67" s="18" t="s">
        <v>1389</v>
      </c>
      <c r="D67">
        <v>0.02</v>
      </c>
      <c r="H67">
        <v>0.02</v>
      </c>
    </row>
    <row r="68" spans="1:8" x14ac:dyDescent="0.3">
      <c r="A68" s="18" t="s">
        <v>1088</v>
      </c>
      <c r="C68">
        <v>0.37</v>
      </c>
      <c r="H68">
        <v>0.37</v>
      </c>
    </row>
    <row r="69" spans="1:8" x14ac:dyDescent="0.3">
      <c r="A69" s="18" t="s">
        <v>66</v>
      </c>
      <c r="B69">
        <v>1.8399999999999999</v>
      </c>
      <c r="C69">
        <v>14.5</v>
      </c>
      <c r="D69">
        <v>17.21</v>
      </c>
      <c r="E69">
        <v>14.16</v>
      </c>
      <c r="F69">
        <v>25.83</v>
      </c>
      <c r="H69">
        <v>73.539999999999992</v>
      </c>
    </row>
    <row r="70" spans="1:8" x14ac:dyDescent="0.3">
      <c r="A70" s="18" t="s">
        <v>61</v>
      </c>
      <c r="B70">
        <v>1.0299999999999998</v>
      </c>
      <c r="C70">
        <v>2.54</v>
      </c>
      <c r="D70">
        <v>0.33</v>
      </c>
      <c r="E70">
        <v>2.98</v>
      </c>
      <c r="F70">
        <v>6.0100000000000007</v>
      </c>
      <c r="H70">
        <v>12.89</v>
      </c>
    </row>
    <row r="71" spans="1:8" x14ac:dyDescent="0.3">
      <c r="A71" s="18" t="s">
        <v>295</v>
      </c>
      <c r="B71">
        <v>0.32</v>
      </c>
      <c r="C71">
        <v>0.4</v>
      </c>
      <c r="D71">
        <v>21.11</v>
      </c>
      <c r="F71">
        <v>2.39</v>
      </c>
      <c r="H71">
        <v>24.22</v>
      </c>
    </row>
    <row r="72" spans="1:8" x14ac:dyDescent="0.3">
      <c r="A72" s="18" t="s">
        <v>290</v>
      </c>
      <c r="B72">
        <v>0.5</v>
      </c>
      <c r="C72">
        <v>2</v>
      </c>
      <c r="D72">
        <v>2</v>
      </c>
      <c r="E72">
        <v>2</v>
      </c>
      <c r="F72">
        <v>1.5</v>
      </c>
      <c r="H72">
        <v>8</v>
      </c>
    </row>
    <row r="73" spans="1:8" x14ac:dyDescent="0.3">
      <c r="A73" s="18" t="s">
        <v>233</v>
      </c>
      <c r="B73">
        <v>1</v>
      </c>
      <c r="D73">
        <v>0.35</v>
      </c>
      <c r="H73">
        <v>1.35</v>
      </c>
    </row>
    <row r="74" spans="1:8" x14ac:dyDescent="0.3">
      <c r="A74" s="18" t="s">
        <v>106</v>
      </c>
      <c r="B74">
        <v>2.17</v>
      </c>
      <c r="C74">
        <v>9.17</v>
      </c>
      <c r="D74">
        <v>0.52</v>
      </c>
      <c r="E74">
        <v>8.52</v>
      </c>
      <c r="F74">
        <v>0.1</v>
      </c>
      <c r="H74">
        <v>20.48</v>
      </c>
    </row>
    <row r="75" spans="1:8" x14ac:dyDescent="0.3">
      <c r="A75" s="18" t="s">
        <v>227</v>
      </c>
      <c r="B75">
        <v>0.27</v>
      </c>
      <c r="C75">
        <v>4.59</v>
      </c>
      <c r="E75">
        <v>1.1200000000000001</v>
      </c>
      <c r="F75">
        <v>0.15</v>
      </c>
      <c r="H75">
        <v>6.13</v>
      </c>
    </row>
    <row r="76" spans="1:8" x14ac:dyDescent="0.3">
      <c r="A76" s="18" t="s">
        <v>229</v>
      </c>
      <c r="B76">
        <v>0.33999999999999997</v>
      </c>
      <c r="C76">
        <v>11.850000000000001</v>
      </c>
      <c r="D76">
        <v>5.16</v>
      </c>
      <c r="E76">
        <v>4.2699999999999996</v>
      </c>
      <c r="F76">
        <v>2.25</v>
      </c>
      <c r="H76">
        <v>23.87</v>
      </c>
    </row>
    <row r="77" spans="1:8" x14ac:dyDescent="0.3">
      <c r="A77" s="18" t="s">
        <v>1246</v>
      </c>
      <c r="D77">
        <v>2.95</v>
      </c>
      <c r="F77">
        <v>2.9000000000000004</v>
      </c>
      <c r="H77">
        <v>5.8500000000000005</v>
      </c>
    </row>
    <row r="78" spans="1:8" x14ac:dyDescent="0.3">
      <c r="A78" s="18" t="s">
        <v>102</v>
      </c>
      <c r="B78">
        <v>0.6</v>
      </c>
      <c r="C78">
        <v>4.2300000000000004</v>
      </c>
      <c r="D78">
        <v>2.75</v>
      </c>
      <c r="E78">
        <v>2.3199999999999998</v>
      </c>
      <c r="F78">
        <v>1.9200000000000002</v>
      </c>
      <c r="H78">
        <v>11.82</v>
      </c>
    </row>
    <row r="79" spans="1:8" x14ac:dyDescent="0.3">
      <c r="A79" s="18" t="s">
        <v>104</v>
      </c>
      <c r="B79">
        <v>0.62</v>
      </c>
      <c r="C79">
        <v>3.4299999999999997</v>
      </c>
      <c r="D79">
        <v>6.65</v>
      </c>
      <c r="E79">
        <v>1.92</v>
      </c>
      <c r="F79">
        <v>1.0999999999999999</v>
      </c>
      <c r="H79">
        <v>13.719999999999999</v>
      </c>
    </row>
    <row r="80" spans="1:8" x14ac:dyDescent="0.3">
      <c r="A80" s="18" t="s">
        <v>230</v>
      </c>
      <c r="B80">
        <v>0.29000000000000004</v>
      </c>
      <c r="C80">
        <v>0.74</v>
      </c>
      <c r="D80">
        <v>0.08</v>
      </c>
      <c r="E80">
        <v>7.0000000000000007E-2</v>
      </c>
      <c r="F80">
        <v>0.37</v>
      </c>
      <c r="H80">
        <v>1.5500000000000003</v>
      </c>
    </row>
    <row r="81" spans="1:8" x14ac:dyDescent="0.3">
      <c r="A81" s="18" t="s">
        <v>162</v>
      </c>
      <c r="B81">
        <v>3.56</v>
      </c>
      <c r="C81">
        <v>63.56</v>
      </c>
      <c r="D81">
        <v>43.25</v>
      </c>
      <c r="E81">
        <v>43.63</v>
      </c>
      <c r="F81">
        <v>26.740000000000002</v>
      </c>
      <c r="H81">
        <v>180.74</v>
      </c>
    </row>
    <row r="82" spans="1:8" x14ac:dyDescent="0.3">
      <c r="A82" s="18" t="s">
        <v>748</v>
      </c>
      <c r="C82">
        <v>0.57000000000000006</v>
      </c>
      <c r="D82">
        <v>0.7</v>
      </c>
      <c r="F82">
        <v>1.8699999999999999</v>
      </c>
      <c r="H82">
        <v>3.1399999999999997</v>
      </c>
    </row>
    <row r="83" spans="1:8" x14ac:dyDescent="0.3">
      <c r="A83" s="18" t="s">
        <v>337</v>
      </c>
      <c r="B83">
        <v>1.83</v>
      </c>
      <c r="C83">
        <v>2.83</v>
      </c>
      <c r="E83">
        <v>1.83</v>
      </c>
      <c r="H83">
        <v>6.49</v>
      </c>
    </row>
    <row r="84" spans="1:8" x14ac:dyDescent="0.3">
      <c r="A84" s="18" t="s">
        <v>218</v>
      </c>
      <c r="B84">
        <v>0.73</v>
      </c>
      <c r="C84">
        <v>1.77</v>
      </c>
      <c r="D84">
        <v>1.1100000000000001</v>
      </c>
      <c r="E84">
        <v>3.48</v>
      </c>
      <c r="F84">
        <v>1.88</v>
      </c>
      <c r="H84">
        <v>8.9699999999999989</v>
      </c>
    </row>
    <row r="85" spans="1:8" x14ac:dyDescent="0.3">
      <c r="A85" s="18" t="s">
        <v>116</v>
      </c>
      <c r="B85">
        <v>2.91</v>
      </c>
      <c r="C85">
        <v>7.8900000000000006</v>
      </c>
      <c r="D85">
        <v>0.25</v>
      </c>
      <c r="E85">
        <v>7.84</v>
      </c>
      <c r="F85">
        <v>11.819999999999997</v>
      </c>
      <c r="H85">
        <v>30.709999999999997</v>
      </c>
    </row>
    <row r="86" spans="1:8" x14ac:dyDescent="0.3">
      <c r="A86" s="18" t="s">
        <v>108</v>
      </c>
      <c r="B86">
        <v>3</v>
      </c>
      <c r="C86">
        <v>8.98</v>
      </c>
      <c r="D86">
        <v>9.42</v>
      </c>
      <c r="E86">
        <v>12.58</v>
      </c>
      <c r="F86">
        <v>6.1899999999999995</v>
      </c>
      <c r="H86">
        <v>40.169999999999995</v>
      </c>
    </row>
    <row r="87" spans="1:8" x14ac:dyDescent="0.3">
      <c r="A87" s="18" t="s">
        <v>1171</v>
      </c>
      <c r="C87">
        <v>0.4</v>
      </c>
      <c r="H87">
        <v>0.4</v>
      </c>
    </row>
    <row r="88" spans="1:8" x14ac:dyDescent="0.3">
      <c r="A88" s="18" t="s">
        <v>195</v>
      </c>
      <c r="B88">
        <v>0.5</v>
      </c>
      <c r="C88">
        <v>10.250000000000002</v>
      </c>
      <c r="D88">
        <v>11.189999999999998</v>
      </c>
      <c r="E88">
        <v>8.2100000000000009</v>
      </c>
      <c r="F88">
        <v>1.7799999999999998</v>
      </c>
      <c r="H88">
        <v>31.93</v>
      </c>
    </row>
    <row r="89" spans="1:8" x14ac:dyDescent="0.3">
      <c r="A89" s="18" t="s">
        <v>968</v>
      </c>
      <c r="C89">
        <v>0.08</v>
      </c>
      <c r="H89">
        <v>0.08</v>
      </c>
    </row>
    <row r="90" spans="1:8" x14ac:dyDescent="0.3">
      <c r="A90" s="18" t="s">
        <v>1772</v>
      </c>
      <c r="D90">
        <v>0.18</v>
      </c>
      <c r="E90">
        <v>0.22</v>
      </c>
      <c r="H90">
        <v>0.4</v>
      </c>
    </row>
    <row r="91" spans="1:8" x14ac:dyDescent="0.3">
      <c r="A91" s="18" t="s">
        <v>177</v>
      </c>
      <c r="B91">
        <v>0.17</v>
      </c>
      <c r="C91">
        <v>2.89</v>
      </c>
      <c r="D91">
        <v>4.3999999999999995</v>
      </c>
      <c r="E91">
        <v>3.36</v>
      </c>
      <c r="F91">
        <v>2.6</v>
      </c>
      <c r="H91">
        <v>13.419999999999998</v>
      </c>
    </row>
    <row r="92" spans="1:8" x14ac:dyDescent="0.3">
      <c r="A92" s="18" t="s">
        <v>62</v>
      </c>
      <c r="B92">
        <v>0.13</v>
      </c>
      <c r="C92">
        <v>0.18</v>
      </c>
      <c r="D92">
        <v>1.3</v>
      </c>
      <c r="E92">
        <v>0.36</v>
      </c>
      <c r="F92">
        <v>0.73</v>
      </c>
      <c r="H92">
        <v>2.7</v>
      </c>
    </row>
    <row r="93" spans="1:8" x14ac:dyDescent="0.3">
      <c r="A93" s="18" t="s">
        <v>44</v>
      </c>
      <c r="B93">
        <v>0.25</v>
      </c>
      <c r="C93">
        <v>2.7899999999999991</v>
      </c>
      <c r="D93">
        <v>8.7700000000000014</v>
      </c>
      <c r="E93">
        <v>3.81</v>
      </c>
      <c r="F93">
        <v>4.24</v>
      </c>
      <c r="H93">
        <v>19.86</v>
      </c>
    </row>
    <row r="94" spans="1:8" x14ac:dyDescent="0.3">
      <c r="A94" s="18" t="s">
        <v>182</v>
      </c>
      <c r="B94">
        <v>0.5</v>
      </c>
      <c r="C94">
        <v>11.16</v>
      </c>
      <c r="D94">
        <v>13.98</v>
      </c>
      <c r="E94">
        <v>12.260000000000002</v>
      </c>
      <c r="F94">
        <v>7.370000000000001</v>
      </c>
      <c r="H94">
        <v>45.27000000000001</v>
      </c>
    </row>
    <row r="95" spans="1:8" x14ac:dyDescent="0.3">
      <c r="A95" s="18" t="s">
        <v>953</v>
      </c>
      <c r="C95">
        <v>1.3299999999999998</v>
      </c>
      <c r="D95">
        <v>7.3299999999999992</v>
      </c>
      <c r="E95">
        <v>5.5500000000000007</v>
      </c>
      <c r="F95">
        <v>7.0000000000000007E-2</v>
      </c>
      <c r="H95">
        <v>14.28</v>
      </c>
    </row>
    <row r="96" spans="1:8" x14ac:dyDescent="0.3">
      <c r="A96" s="18" t="s">
        <v>725</v>
      </c>
      <c r="C96">
        <v>2.4900000000000002</v>
      </c>
      <c r="D96">
        <v>4.29</v>
      </c>
      <c r="E96">
        <v>3.67</v>
      </c>
      <c r="F96">
        <v>0.92</v>
      </c>
      <c r="H96">
        <v>11.37</v>
      </c>
    </row>
    <row r="97" spans="1:8" x14ac:dyDescent="0.3">
      <c r="A97" s="18" t="s">
        <v>420</v>
      </c>
      <c r="C97">
        <v>5.7299999999999995</v>
      </c>
      <c r="D97">
        <v>5.3999999999999995</v>
      </c>
      <c r="E97">
        <v>11.009999999999998</v>
      </c>
      <c r="F97">
        <v>6.0399999999999991</v>
      </c>
      <c r="H97">
        <v>28.179999999999996</v>
      </c>
    </row>
    <row r="98" spans="1:8" x14ac:dyDescent="0.3">
      <c r="A98" s="18" t="s">
        <v>356</v>
      </c>
      <c r="B98">
        <v>0.7</v>
      </c>
      <c r="C98">
        <v>5.08</v>
      </c>
      <c r="D98">
        <v>0.89999999999999991</v>
      </c>
      <c r="H98">
        <v>6.68</v>
      </c>
    </row>
    <row r="99" spans="1:8" x14ac:dyDescent="0.3">
      <c r="A99" s="18" t="s">
        <v>1074</v>
      </c>
      <c r="C99">
        <v>1.5</v>
      </c>
      <c r="D99">
        <v>4.2300000000000004</v>
      </c>
      <c r="E99">
        <v>0.27</v>
      </c>
      <c r="H99">
        <v>6</v>
      </c>
    </row>
    <row r="100" spans="1:8" x14ac:dyDescent="0.3">
      <c r="A100" s="18" t="s">
        <v>242</v>
      </c>
      <c r="B100">
        <v>1.35</v>
      </c>
      <c r="D100">
        <v>2.6</v>
      </c>
      <c r="E100">
        <v>2.67</v>
      </c>
      <c r="F100">
        <v>0.92999999999999994</v>
      </c>
      <c r="H100">
        <v>7.55</v>
      </c>
    </row>
    <row r="101" spans="1:8" x14ac:dyDescent="0.3">
      <c r="A101" s="18" t="s">
        <v>1022</v>
      </c>
      <c r="C101">
        <v>2.0300000000000002</v>
      </c>
      <c r="D101">
        <v>0.08</v>
      </c>
      <c r="E101">
        <v>12.07</v>
      </c>
      <c r="F101">
        <v>4.1199999999999992</v>
      </c>
      <c r="H101">
        <v>18.299999999999997</v>
      </c>
    </row>
    <row r="102" spans="1:8" x14ac:dyDescent="0.3">
      <c r="A102" s="18" t="s">
        <v>241</v>
      </c>
      <c r="B102">
        <v>7.0000000000000007E-2</v>
      </c>
      <c r="C102">
        <v>1.1299999999999999</v>
      </c>
      <c r="D102">
        <v>2.42</v>
      </c>
      <c r="E102">
        <v>1.27</v>
      </c>
      <c r="F102">
        <v>2.17</v>
      </c>
      <c r="H102">
        <v>7.0600000000000005</v>
      </c>
    </row>
    <row r="103" spans="1:8" x14ac:dyDescent="0.3">
      <c r="A103" s="18" t="s">
        <v>156</v>
      </c>
      <c r="B103">
        <v>5.29</v>
      </c>
      <c r="C103">
        <v>21.97</v>
      </c>
      <c r="D103">
        <v>28.45</v>
      </c>
      <c r="E103">
        <v>15.829999999999998</v>
      </c>
      <c r="F103">
        <v>17.760000000000002</v>
      </c>
      <c r="H103">
        <v>89.3</v>
      </c>
    </row>
    <row r="104" spans="1:8" x14ac:dyDescent="0.3">
      <c r="A104" s="18" t="s">
        <v>30</v>
      </c>
      <c r="B104">
        <v>3.55</v>
      </c>
      <c r="C104">
        <v>18.920000000000002</v>
      </c>
      <c r="D104">
        <v>16.88</v>
      </c>
      <c r="E104">
        <v>12.860000000000001</v>
      </c>
      <c r="F104">
        <v>14.070000000000002</v>
      </c>
      <c r="H104">
        <v>66.28</v>
      </c>
    </row>
    <row r="105" spans="1:8" x14ac:dyDescent="0.3">
      <c r="A105" s="18" t="s">
        <v>395</v>
      </c>
      <c r="C105">
        <v>0.02</v>
      </c>
      <c r="D105">
        <v>0.33</v>
      </c>
      <c r="H105">
        <v>0.35000000000000003</v>
      </c>
    </row>
    <row r="106" spans="1:8" x14ac:dyDescent="0.3">
      <c r="A106" s="18" t="s">
        <v>1860</v>
      </c>
      <c r="D106">
        <v>0.02</v>
      </c>
      <c r="E106">
        <v>0.2</v>
      </c>
      <c r="H106">
        <v>0.22</v>
      </c>
    </row>
    <row r="107" spans="1:8" x14ac:dyDescent="0.3">
      <c r="A107" s="18" t="s">
        <v>42</v>
      </c>
      <c r="B107">
        <v>0.84000000000000008</v>
      </c>
      <c r="C107">
        <v>11.719999999999999</v>
      </c>
      <c r="D107">
        <v>9.9500000000000011</v>
      </c>
      <c r="E107">
        <v>8.68</v>
      </c>
      <c r="F107">
        <v>9.76</v>
      </c>
      <c r="H107">
        <v>40.949999999999996</v>
      </c>
    </row>
    <row r="108" spans="1:8" x14ac:dyDescent="0.3">
      <c r="A108" s="18" t="s">
        <v>1458</v>
      </c>
      <c r="D108">
        <v>0.08</v>
      </c>
      <c r="H108">
        <v>0.08</v>
      </c>
    </row>
    <row r="109" spans="1:8" x14ac:dyDescent="0.3">
      <c r="A109" s="18" t="s">
        <v>1865</v>
      </c>
      <c r="D109">
        <v>0.17</v>
      </c>
      <c r="E109">
        <v>5.79</v>
      </c>
      <c r="H109">
        <v>5.96</v>
      </c>
    </row>
    <row r="110" spans="1:8" x14ac:dyDescent="0.3">
      <c r="A110" s="18" t="s">
        <v>665</v>
      </c>
      <c r="C110">
        <v>0.13</v>
      </c>
      <c r="D110">
        <v>0.75</v>
      </c>
      <c r="E110">
        <v>1</v>
      </c>
      <c r="F110">
        <v>1.25</v>
      </c>
      <c r="H110">
        <v>3.13</v>
      </c>
    </row>
    <row r="111" spans="1:8" x14ac:dyDescent="0.3">
      <c r="A111" s="18" t="s">
        <v>112</v>
      </c>
      <c r="B111">
        <v>0.17</v>
      </c>
      <c r="C111">
        <v>0.55000000000000004</v>
      </c>
      <c r="D111">
        <v>0.64</v>
      </c>
      <c r="H111">
        <v>1.36</v>
      </c>
    </row>
    <row r="112" spans="1:8" x14ac:dyDescent="0.3">
      <c r="A112" s="18" t="s">
        <v>234</v>
      </c>
      <c r="B112">
        <v>0.25</v>
      </c>
      <c r="C112">
        <v>0.51</v>
      </c>
      <c r="D112">
        <v>0.30000000000000004</v>
      </c>
      <c r="H112">
        <v>1.06</v>
      </c>
    </row>
    <row r="113" spans="1:8" x14ac:dyDescent="0.3">
      <c r="A113" s="18" t="s">
        <v>1697</v>
      </c>
      <c r="D113">
        <v>0.02</v>
      </c>
      <c r="H113">
        <v>0.02</v>
      </c>
    </row>
    <row r="114" spans="1:8" x14ac:dyDescent="0.3">
      <c r="A114" s="18" t="s">
        <v>214</v>
      </c>
      <c r="B114">
        <v>0.08</v>
      </c>
      <c r="C114">
        <v>2.81</v>
      </c>
      <c r="D114">
        <v>0.36000000000000004</v>
      </c>
      <c r="E114">
        <v>2.17</v>
      </c>
      <c r="H114">
        <v>5.42</v>
      </c>
    </row>
    <row r="115" spans="1:8" x14ac:dyDescent="0.3">
      <c r="A115" s="18" t="s">
        <v>39</v>
      </c>
      <c r="B115">
        <v>0.12</v>
      </c>
      <c r="C115">
        <v>13.77</v>
      </c>
      <c r="D115">
        <v>5.4499999999999993</v>
      </c>
      <c r="E115">
        <v>4.34</v>
      </c>
      <c r="F115">
        <v>1.1400000000000001</v>
      </c>
      <c r="H115">
        <v>24.819999999999997</v>
      </c>
    </row>
    <row r="116" spans="1:8" x14ac:dyDescent="0.3">
      <c r="A116" s="18" t="s">
        <v>96</v>
      </c>
      <c r="B116">
        <v>0.02</v>
      </c>
      <c r="C116">
        <v>2.3299999999999996</v>
      </c>
      <c r="D116">
        <v>2.6399999999999997</v>
      </c>
      <c r="E116">
        <v>11.690000000000001</v>
      </c>
      <c r="H116">
        <v>16.68</v>
      </c>
    </row>
    <row r="117" spans="1:8" x14ac:dyDescent="0.3">
      <c r="A117" s="18" t="s">
        <v>178</v>
      </c>
      <c r="B117">
        <v>0.17</v>
      </c>
      <c r="C117">
        <v>0.45</v>
      </c>
      <c r="D117">
        <v>0.5</v>
      </c>
      <c r="E117">
        <v>0.5</v>
      </c>
      <c r="F117">
        <v>0.17</v>
      </c>
      <c r="H117">
        <v>1.79</v>
      </c>
    </row>
    <row r="118" spans="1:8" x14ac:dyDescent="0.3">
      <c r="A118" s="18" t="s">
        <v>1390</v>
      </c>
      <c r="D118">
        <v>0.02</v>
      </c>
      <c r="H118">
        <v>0.02</v>
      </c>
    </row>
    <row r="119" spans="1:8" x14ac:dyDescent="0.3">
      <c r="A119" s="18" t="s">
        <v>1180</v>
      </c>
      <c r="C119">
        <v>0.3</v>
      </c>
      <c r="D119">
        <v>0.69000000000000006</v>
      </c>
      <c r="E119">
        <v>0.22</v>
      </c>
      <c r="H119">
        <v>1.21</v>
      </c>
    </row>
    <row r="120" spans="1:8" x14ac:dyDescent="0.3">
      <c r="A120" s="18" t="s">
        <v>217</v>
      </c>
      <c r="B120">
        <v>1.6099999999999999</v>
      </c>
      <c r="C120">
        <v>3.7300000000000004</v>
      </c>
      <c r="D120">
        <v>7.39</v>
      </c>
      <c r="E120">
        <v>1</v>
      </c>
      <c r="F120">
        <v>4.5399999999999991</v>
      </c>
      <c r="H120">
        <v>18.27</v>
      </c>
    </row>
    <row r="121" spans="1:8" x14ac:dyDescent="0.3">
      <c r="A121" s="18" t="s">
        <v>444</v>
      </c>
      <c r="C121">
        <v>1.0999999999999999</v>
      </c>
      <c r="D121">
        <v>0.35</v>
      </c>
      <c r="E121">
        <v>0.96000000000000008</v>
      </c>
      <c r="F121">
        <v>0.68</v>
      </c>
      <c r="H121">
        <v>3.09</v>
      </c>
    </row>
    <row r="122" spans="1:8" x14ac:dyDescent="0.3">
      <c r="A122" s="18" t="s">
        <v>48</v>
      </c>
      <c r="B122">
        <v>0.47</v>
      </c>
      <c r="C122">
        <v>2.68</v>
      </c>
      <c r="D122">
        <v>2.5</v>
      </c>
      <c r="E122">
        <v>3.63</v>
      </c>
      <c r="F122">
        <v>2.1500000000000004</v>
      </c>
      <c r="H122">
        <v>11.430000000000001</v>
      </c>
    </row>
    <row r="123" spans="1:8" x14ac:dyDescent="0.3">
      <c r="A123" s="18" t="s">
        <v>35</v>
      </c>
      <c r="B123">
        <v>1.06</v>
      </c>
      <c r="C123">
        <v>7.8500000000000005</v>
      </c>
      <c r="D123">
        <v>9.5899999999999981</v>
      </c>
      <c r="E123">
        <v>13.56</v>
      </c>
      <c r="F123">
        <v>10.85</v>
      </c>
      <c r="H123">
        <v>42.910000000000004</v>
      </c>
    </row>
    <row r="124" spans="1:8" x14ac:dyDescent="0.3">
      <c r="A124" s="18" t="s">
        <v>460</v>
      </c>
      <c r="C124">
        <v>1.18</v>
      </c>
      <c r="D124">
        <v>1</v>
      </c>
      <c r="E124">
        <v>1.4</v>
      </c>
      <c r="F124">
        <v>1.05</v>
      </c>
      <c r="H124">
        <v>4.63</v>
      </c>
    </row>
    <row r="125" spans="1:8" x14ac:dyDescent="0.3">
      <c r="A125" s="18" t="s">
        <v>1021</v>
      </c>
      <c r="C125">
        <v>2.25</v>
      </c>
      <c r="D125">
        <v>0.25</v>
      </c>
      <c r="F125">
        <v>0.75</v>
      </c>
      <c r="H125">
        <v>3.25</v>
      </c>
    </row>
    <row r="126" spans="1:8" x14ac:dyDescent="0.3">
      <c r="A126" s="18" t="s">
        <v>483</v>
      </c>
      <c r="C126">
        <v>0.45</v>
      </c>
      <c r="F126">
        <v>3.2699999999999996</v>
      </c>
      <c r="H126">
        <v>3.7199999999999998</v>
      </c>
    </row>
    <row r="127" spans="1:8" x14ac:dyDescent="0.3">
      <c r="A127" s="18" t="s">
        <v>105</v>
      </c>
      <c r="B127">
        <v>0.33</v>
      </c>
      <c r="C127">
        <v>1.67</v>
      </c>
      <c r="D127">
        <v>2.25</v>
      </c>
      <c r="E127">
        <v>1.17</v>
      </c>
      <c r="F127">
        <v>1.58</v>
      </c>
      <c r="H127">
        <v>7</v>
      </c>
    </row>
    <row r="128" spans="1:8" x14ac:dyDescent="0.3">
      <c r="A128" s="18" t="s">
        <v>423</v>
      </c>
      <c r="C128">
        <v>8.57</v>
      </c>
      <c r="D128">
        <v>10.370000000000001</v>
      </c>
      <c r="E128">
        <v>3.21</v>
      </c>
      <c r="F128">
        <v>1.96</v>
      </c>
      <c r="H128">
        <v>24.110000000000003</v>
      </c>
    </row>
    <row r="129" spans="1:8" x14ac:dyDescent="0.3">
      <c r="A129" s="18" t="s">
        <v>3068</v>
      </c>
    </row>
    <row r="130" spans="1:8" x14ac:dyDescent="0.3">
      <c r="A130" s="18" t="s">
        <v>3069</v>
      </c>
      <c r="B130">
        <v>340.95999999999981</v>
      </c>
      <c r="C130">
        <v>1741.15</v>
      </c>
      <c r="D130">
        <v>1724.8000000000002</v>
      </c>
      <c r="E130">
        <v>1654.65</v>
      </c>
      <c r="F130">
        <v>1503.1599999999996</v>
      </c>
      <c r="H130">
        <v>6964.7200000000039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79BA7-9D32-4634-BD33-9623CA327E9F}">
  <sheetPr codeName="Sheet12"/>
  <dimension ref="A1:B137"/>
  <sheetViews>
    <sheetView workbookViewId="0">
      <selection activeCell="D19" sqref="D19"/>
    </sheetView>
  </sheetViews>
  <sheetFormatPr defaultRowHeight="14.4" x14ac:dyDescent="0.3"/>
  <cols>
    <col min="1" max="1" width="27.88671875" customWidth="1"/>
    <col min="2" max="2" width="44.5546875" bestFit="1" customWidth="1"/>
  </cols>
  <sheetData>
    <row r="1" spans="1:2" ht="15" thickBot="1" x14ac:dyDescent="0.35">
      <c r="A1" t="s">
        <v>697</v>
      </c>
      <c r="B1" s="34"/>
    </row>
    <row r="2" spans="1:2" x14ac:dyDescent="0.3">
      <c r="A2" t="s">
        <v>1605</v>
      </c>
    </row>
    <row r="3" spans="1:2" x14ac:dyDescent="0.3">
      <c r="A3" t="s">
        <v>409</v>
      </c>
    </row>
    <row r="4" spans="1:2" x14ac:dyDescent="0.3">
      <c r="A4" t="s">
        <v>3064</v>
      </c>
    </row>
    <row r="5" spans="1:2" x14ac:dyDescent="0.3">
      <c r="A5" t="s">
        <v>3060</v>
      </c>
    </row>
    <row r="6" spans="1:2" x14ac:dyDescent="0.3">
      <c r="A6" t="s">
        <v>821</v>
      </c>
    </row>
    <row r="7" spans="1:2" x14ac:dyDescent="0.3">
      <c r="A7" t="s">
        <v>828</v>
      </c>
    </row>
    <row r="8" spans="1:2" x14ac:dyDescent="0.3">
      <c r="A8" t="s">
        <v>137</v>
      </c>
    </row>
    <row r="9" spans="1:2" x14ac:dyDescent="0.3">
      <c r="A9" t="s">
        <v>81</v>
      </c>
    </row>
    <row r="10" spans="1:2" x14ac:dyDescent="0.3">
      <c r="A10" t="s">
        <v>3058</v>
      </c>
    </row>
    <row r="11" spans="1:2" x14ac:dyDescent="0.3">
      <c r="A11" t="s">
        <v>657</v>
      </c>
    </row>
    <row r="12" spans="1:2" x14ac:dyDescent="0.3">
      <c r="A12" t="s">
        <v>666</v>
      </c>
    </row>
    <row r="13" spans="1:2" x14ac:dyDescent="0.3">
      <c r="A13" t="s">
        <v>966</v>
      </c>
    </row>
    <row r="14" spans="1:2" x14ac:dyDescent="0.3">
      <c r="A14" t="s">
        <v>291</v>
      </c>
    </row>
    <row r="15" spans="1:2" x14ac:dyDescent="0.3">
      <c r="A15" t="s">
        <v>91</v>
      </c>
    </row>
    <row r="16" spans="1:2" x14ac:dyDescent="0.3">
      <c r="A16" t="s">
        <v>1170</v>
      </c>
    </row>
    <row r="17" spans="1:1" x14ac:dyDescent="0.3">
      <c r="A17" t="s">
        <v>263</v>
      </c>
    </row>
    <row r="18" spans="1:1" x14ac:dyDescent="0.3">
      <c r="A18" t="s">
        <v>203</v>
      </c>
    </row>
    <row r="19" spans="1:1" x14ac:dyDescent="0.3">
      <c r="A19" t="s">
        <v>1761</v>
      </c>
    </row>
    <row r="20" spans="1:1" x14ac:dyDescent="0.3">
      <c r="A20" t="s">
        <v>95</v>
      </c>
    </row>
    <row r="21" spans="1:1" x14ac:dyDescent="0.3">
      <c r="A21" t="s">
        <v>40</v>
      </c>
    </row>
    <row r="22" spans="1:1" x14ac:dyDescent="0.3">
      <c r="A22" t="s">
        <v>358</v>
      </c>
    </row>
    <row r="23" spans="1:1" x14ac:dyDescent="0.3">
      <c r="A23" t="s">
        <v>848</v>
      </c>
    </row>
    <row r="24" spans="1:1" x14ac:dyDescent="0.3">
      <c r="A24" t="s">
        <v>445</v>
      </c>
    </row>
    <row r="25" spans="1:1" x14ac:dyDescent="0.3">
      <c r="A25" t="s">
        <v>1216</v>
      </c>
    </row>
    <row r="26" spans="1:1" x14ac:dyDescent="0.3">
      <c r="A26" t="s">
        <v>524</v>
      </c>
    </row>
    <row r="27" spans="1:1" x14ac:dyDescent="0.3">
      <c r="A27" t="s">
        <v>582</v>
      </c>
    </row>
    <row r="28" spans="1:1" x14ac:dyDescent="0.3">
      <c r="A28" t="s">
        <v>135</v>
      </c>
    </row>
    <row r="29" spans="1:1" x14ac:dyDescent="0.3">
      <c r="A29" t="s">
        <v>151</v>
      </c>
    </row>
    <row r="30" spans="1:1" x14ac:dyDescent="0.3">
      <c r="A30" t="s">
        <v>1754</v>
      </c>
    </row>
    <row r="31" spans="1:1" x14ac:dyDescent="0.3">
      <c r="A31" t="s">
        <v>226</v>
      </c>
    </row>
    <row r="32" spans="1:1" x14ac:dyDescent="0.3">
      <c r="A32" t="s">
        <v>254</v>
      </c>
    </row>
    <row r="33" spans="1:1" x14ac:dyDescent="0.3">
      <c r="A33" t="s">
        <v>54</v>
      </c>
    </row>
    <row r="34" spans="1:1" x14ac:dyDescent="0.3">
      <c r="A34" t="s">
        <v>3059</v>
      </c>
    </row>
    <row r="35" spans="1:1" x14ac:dyDescent="0.3">
      <c r="A35" t="s">
        <v>1011</v>
      </c>
    </row>
    <row r="36" spans="1:1" x14ac:dyDescent="0.3">
      <c r="A36" t="s">
        <v>271</v>
      </c>
    </row>
    <row r="37" spans="1:1" x14ac:dyDescent="0.3">
      <c r="A37" t="s">
        <v>45</v>
      </c>
    </row>
    <row r="38" spans="1:1" x14ac:dyDescent="0.3">
      <c r="A38" t="s">
        <v>1409</v>
      </c>
    </row>
    <row r="39" spans="1:1" x14ac:dyDescent="0.3">
      <c r="A39" t="s">
        <v>437</v>
      </c>
    </row>
    <row r="40" spans="1:1" x14ac:dyDescent="0.3">
      <c r="A40" t="s">
        <v>139</v>
      </c>
    </row>
    <row r="41" spans="1:1" x14ac:dyDescent="0.3">
      <c r="A41" t="s">
        <v>1457</v>
      </c>
    </row>
    <row r="42" spans="1:1" x14ac:dyDescent="0.3">
      <c r="A42" t="s">
        <v>967</v>
      </c>
    </row>
    <row r="43" spans="1:1" x14ac:dyDescent="0.3">
      <c r="A43" t="s">
        <v>1808</v>
      </c>
    </row>
    <row r="44" spans="1:1" x14ac:dyDescent="0.3">
      <c r="A44" t="s">
        <v>185</v>
      </c>
    </row>
    <row r="45" spans="1:1" x14ac:dyDescent="0.3">
      <c r="A45" t="s">
        <v>143</v>
      </c>
    </row>
    <row r="46" spans="1:1" x14ac:dyDescent="0.3">
      <c r="A46" t="s">
        <v>1856</v>
      </c>
    </row>
    <row r="47" spans="1:1" x14ac:dyDescent="0.3">
      <c r="A47" t="s">
        <v>114</v>
      </c>
    </row>
    <row r="48" spans="1:1" x14ac:dyDescent="0.3">
      <c r="A48" t="s">
        <v>179</v>
      </c>
    </row>
    <row r="49" spans="1:1" x14ac:dyDescent="0.3">
      <c r="A49" t="s">
        <v>170</v>
      </c>
    </row>
    <row r="50" spans="1:1" x14ac:dyDescent="0.3">
      <c r="A50" t="s">
        <v>346</v>
      </c>
    </row>
    <row r="51" spans="1:1" x14ac:dyDescent="0.3">
      <c r="A51" t="s">
        <v>472</v>
      </c>
    </row>
    <row r="52" spans="1:1" x14ac:dyDescent="0.3">
      <c r="A52" t="s">
        <v>176</v>
      </c>
    </row>
    <row r="53" spans="1:1" x14ac:dyDescent="0.3">
      <c r="A53" t="s">
        <v>371</v>
      </c>
    </row>
    <row r="54" spans="1:1" x14ac:dyDescent="0.3">
      <c r="A54" t="s">
        <v>1756</v>
      </c>
    </row>
    <row r="55" spans="1:1" x14ac:dyDescent="0.3">
      <c r="A55" t="s">
        <v>1857</v>
      </c>
    </row>
    <row r="56" spans="1:1" x14ac:dyDescent="0.3">
      <c r="A56" t="s">
        <v>1858</v>
      </c>
    </row>
    <row r="57" spans="1:1" x14ac:dyDescent="0.3">
      <c r="A57" t="s">
        <v>1859</v>
      </c>
    </row>
    <row r="58" spans="1:1" x14ac:dyDescent="0.3">
      <c r="A58" t="s">
        <v>37</v>
      </c>
    </row>
    <row r="59" spans="1:1" x14ac:dyDescent="0.3">
      <c r="A59" t="s">
        <v>127</v>
      </c>
    </row>
    <row r="60" spans="1:1" x14ac:dyDescent="0.3">
      <c r="A60" t="s">
        <v>1759</v>
      </c>
    </row>
    <row r="61" spans="1:1" x14ac:dyDescent="0.3">
      <c r="A61" t="s">
        <v>205</v>
      </c>
    </row>
    <row r="62" spans="1:1" x14ac:dyDescent="0.3">
      <c r="A62" t="s">
        <v>304</v>
      </c>
    </row>
    <row r="63" spans="1:1" x14ac:dyDescent="0.3">
      <c r="A63" t="s">
        <v>334</v>
      </c>
    </row>
    <row r="64" spans="1:1" x14ac:dyDescent="0.3">
      <c r="A64" t="s">
        <v>52</v>
      </c>
    </row>
    <row r="65" spans="1:1" x14ac:dyDescent="0.3">
      <c r="A65" t="s">
        <v>2983</v>
      </c>
    </row>
    <row r="66" spans="1:1" x14ac:dyDescent="0.3">
      <c r="A66" t="s">
        <v>49</v>
      </c>
    </row>
    <row r="67" spans="1:1" x14ac:dyDescent="0.3">
      <c r="A67" t="s">
        <v>1389</v>
      </c>
    </row>
    <row r="68" spans="1:1" x14ac:dyDescent="0.3">
      <c r="A68" t="s">
        <v>1088</v>
      </c>
    </row>
    <row r="69" spans="1:1" x14ac:dyDescent="0.3">
      <c r="A69" t="s">
        <v>66</v>
      </c>
    </row>
    <row r="70" spans="1:1" x14ac:dyDescent="0.3">
      <c r="A70" t="s">
        <v>61</v>
      </c>
    </row>
    <row r="71" spans="1:1" x14ac:dyDescent="0.3">
      <c r="A71" t="s">
        <v>295</v>
      </c>
    </row>
    <row r="72" spans="1:1" x14ac:dyDescent="0.3">
      <c r="A72" t="s">
        <v>290</v>
      </c>
    </row>
    <row r="73" spans="1:1" x14ac:dyDescent="0.3">
      <c r="A73" t="s">
        <v>233</v>
      </c>
    </row>
    <row r="74" spans="1:1" x14ac:dyDescent="0.3">
      <c r="A74" t="s">
        <v>106</v>
      </c>
    </row>
    <row r="75" spans="1:1" x14ac:dyDescent="0.3">
      <c r="A75" t="s">
        <v>3053</v>
      </c>
    </row>
    <row r="76" spans="1:1" x14ac:dyDescent="0.3">
      <c r="A76" t="s">
        <v>3148</v>
      </c>
    </row>
    <row r="77" spans="1:1" x14ac:dyDescent="0.3">
      <c r="A77" t="s">
        <v>229</v>
      </c>
    </row>
    <row r="78" spans="1:1" x14ac:dyDescent="0.3">
      <c r="A78" t="s">
        <v>1246</v>
      </c>
    </row>
    <row r="79" spans="1:1" x14ac:dyDescent="0.3">
      <c r="A79" t="s">
        <v>102</v>
      </c>
    </row>
    <row r="80" spans="1:1" x14ac:dyDescent="0.3">
      <c r="A80" t="s">
        <v>104</v>
      </c>
    </row>
    <row r="81" spans="1:1" x14ac:dyDescent="0.3">
      <c r="A81" t="s">
        <v>230</v>
      </c>
    </row>
    <row r="82" spans="1:1" x14ac:dyDescent="0.3">
      <c r="A82" t="s">
        <v>3061</v>
      </c>
    </row>
    <row r="83" spans="1:1" x14ac:dyDescent="0.3">
      <c r="A83" t="s">
        <v>3147</v>
      </c>
    </row>
    <row r="84" spans="1:1" x14ac:dyDescent="0.3">
      <c r="A84" t="s">
        <v>162</v>
      </c>
    </row>
    <row r="85" spans="1:1" x14ac:dyDescent="0.3">
      <c r="A85" t="s">
        <v>748</v>
      </c>
    </row>
    <row r="86" spans="1:1" x14ac:dyDescent="0.3">
      <c r="A86" t="s">
        <v>337</v>
      </c>
    </row>
    <row r="87" spans="1:1" x14ac:dyDescent="0.3">
      <c r="A87" t="s">
        <v>218</v>
      </c>
    </row>
    <row r="88" spans="1:1" x14ac:dyDescent="0.3">
      <c r="A88" t="s">
        <v>116</v>
      </c>
    </row>
    <row r="89" spans="1:1" x14ac:dyDescent="0.3">
      <c r="A89" t="s">
        <v>108</v>
      </c>
    </row>
    <row r="90" spans="1:1" x14ac:dyDescent="0.3">
      <c r="A90" t="s">
        <v>1171</v>
      </c>
    </row>
    <row r="91" spans="1:1" x14ac:dyDescent="0.3">
      <c r="A91" t="s">
        <v>195</v>
      </c>
    </row>
    <row r="92" spans="1:1" x14ac:dyDescent="0.3">
      <c r="A92" t="s">
        <v>968</v>
      </c>
    </row>
    <row r="93" spans="1:1" x14ac:dyDescent="0.3">
      <c r="A93" t="s">
        <v>1772</v>
      </c>
    </row>
    <row r="94" spans="1:1" x14ac:dyDescent="0.3">
      <c r="A94" t="s">
        <v>177</v>
      </c>
    </row>
    <row r="95" spans="1:1" x14ac:dyDescent="0.3">
      <c r="A95" t="s">
        <v>62</v>
      </c>
    </row>
    <row r="96" spans="1:1" x14ac:dyDescent="0.3">
      <c r="A96" t="s">
        <v>44</v>
      </c>
    </row>
    <row r="97" spans="1:1" x14ac:dyDescent="0.3">
      <c r="A97" t="s">
        <v>182</v>
      </c>
    </row>
    <row r="98" spans="1:1" x14ac:dyDescent="0.3">
      <c r="A98" t="s">
        <v>953</v>
      </c>
    </row>
    <row r="99" spans="1:1" x14ac:dyDescent="0.3">
      <c r="A99" t="s">
        <v>3056</v>
      </c>
    </row>
    <row r="100" spans="1:1" x14ac:dyDescent="0.3">
      <c r="A100" t="s">
        <v>725</v>
      </c>
    </row>
    <row r="101" spans="1:1" x14ac:dyDescent="0.3">
      <c r="A101" t="s">
        <v>420</v>
      </c>
    </row>
    <row r="102" spans="1:1" x14ac:dyDescent="0.3">
      <c r="A102" t="s">
        <v>3145</v>
      </c>
    </row>
    <row r="103" spans="1:1" x14ac:dyDescent="0.3">
      <c r="A103" t="s">
        <v>1074</v>
      </c>
    </row>
    <row r="104" spans="1:1" x14ac:dyDescent="0.3">
      <c r="A104" t="s">
        <v>242</v>
      </c>
    </row>
    <row r="105" spans="1:1" x14ac:dyDescent="0.3">
      <c r="A105" t="s">
        <v>3062</v>
      </c>
    </row>
    <row r="106" spans="1:1" x14ac:dyDescent="0.3">
      <c r="A106" t="s">
        <v>1022</v>
      </c>
    </row>
    <row r="107" spans="1:1" x14ac:dyDescent="0.3">
      <c r="A107" t="s">
        <v>241</v>
      </c>
    </row>
    <row r="108" spans="1:1" x14ac:dyDescent="0.3">
      <c r="A108" t="s">
        <v>156</v>
      </c>
    </row>
    <row r="109" spans="1:1" x14ac:dyDescent="0.3">
      <c r="A109" t="s">
        <v>30</v>
      </c>
    </row>
    <row r="110" spans="1:1" x14ac:dyDescent="0.3">
      <c r="A110" t="s">
        <v>395</v>
      </c>
    </row>
    <row r="111" spans="1:1" x14ac:dyDescent="0.3">
      <c r="A111" t="s">
        <v>1860</v>
      </c>
    </row>
    <row r="112" spans="1:1" x14ac:dyDescent="0.3">
      <c r="A112" t="s">
        <v>42</v>
      </c>
    </row>
    <row r="113" spans="1:1" x14ac:dyDescent="0.3">
      <c r="A113" t="s">
        <v>1458</v>
      </c>
    </row>
    <row r="114" spans="1:1" x14ac:dyDescent="0.3">
      <c r="A114" t="s">
        <v>1865</v>
      </c>
    </row>
    <row r="115" spans="1:1" x14ac:dyDescent="0.3">
      <c r="A115" t="s">
        <v>665</v>
      </c>
    </row>
    <row r="116" spans="1:1" x14ac:dyDescent="0.3">
      <c r="A116" t="s">
        <v>112</v>
      </c>
    </row>
    <row r="117" spans="1:1" x14ac:dyDescent="0.3">
      <c r="A117" t="s">
        <v>234</v>
      </c>
    </row>
    <row r="118" spans="1:1" x14ac:dyDescent="0.3">
      <c r="A118" t="s">
        <v>3054</v>
      </c>
    </row>
    <row r="119" spans="1:1" x14ac:dyDescent="0.3">
      <c r="A119" t="s">
        <v>3055</v>
      </c>
    </row>
    <row r="120" spans="1:1" x14ac:dyDescent="0.3">
      <c r="A120" t="s">
        <v>3057</v>
      </c>
    </row>
    <row r="121" spans="1:1" x14ac:dyDescent="0.3">
      <c r="A121" t="s">
        <v>1697</v>
      </c>
    </row>
    <row r="122" spans="1:1" x14ac:dyDescent="0.3">
      <c r="A122" t="s">
        <v>214</v>
      </c>
    </row>
    <row r="123" spans="1:1" x14ac:dyDescent="0.3">
      <c r="A123" t="s">
        <v>39</v>
      </c>
    </row>
    <row r="124" spans="1:1" x14ac:dyDescent="0.3">
      <c r="A124" t="s">
        <v>96</v>
      </c>
    </row>
    <row r="125" spans="1:1" x14ac:dyDescent="0.3">
      <c r="A125" t="s">
        <v>178</v>
      </c>
    </row>
    <row r="126" spans="1:1" x14ac:dyDescent="0.3">
      <c r="A126" t="s">
        <v>1390</v>
      </c>
    </row>
    <row r="127" spans="1:1" x14ac:dyDescent="0.3">
      <c r="A127" t="s">
        <v>1180</v>
      </c>
    </row>
    <row r="128" spans="1:1" x14ac:dyDescent="0.3">
      <c r="A128" t="s">
        <v>217</v>
      </c>
    </row>
    <row r="129" spans="1:1" x14ac:dyDescent="0.3">
      <c r="A129" t="s">
        <v>444</v>
      </c>
    </row>
    <row r="130" spans="1:1" x14ac:dyDescent="0.3">
      <c r="A130" t="s">
        <v>48</v>
      </c>
    </row>
    <row r="131" spans="1:1" x14ac:dyDescent="0.3">
      <c r="A131" t="s">
        <v>35</v>
      </c>
    </row>
    <row r="132" spans="1:1" x14ac:dyDescent="0.3">
      <c r="A132" t="s">
        <v>460</v>
      </c>
    </row>
    <row r="133" spans="1:1" x14ac:dyDescent="0.3">
      <c r="A133" t="s">
        <v>1021</v>
      </c>
    </row>
    <row r="134" spans="1:1" x14ac:dyDescent="0.3">
      <c r="A134" t="s">
        <v>3063</v>
      </c>
    </row>
    <row r="135" spans="1:1" x14ac:dyDescent="0.3">
      <c r="A135" t="s">
        <v>483</v>
      </c>
    </row>
    <row r="136" spans="1:1" x14ac:dyDescent="0.3">
      <c r="A136" t="s">
        <v>105</v>
      </c>
    </row>
    <row r="137" spans="1:1" x14ac:dyDescent="0.3">
      <c r="A137" t="s">
        <v>423</v>
      </c>
    </row>
  </sheetData>
  <sortState xmlns:xlrd2="http://schemas.microsoft.com/office/spreadsheetml/2017/richdata2" ref="A1:A212">
    <sortCondition ref="A1"/>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83B88-C931-4179-B3A4-DEB254F99EFF}">
  <sheetPr codeName="Sheet10"/>
  <dimension ref="A1:AF171"/>
  <sheetViews>
    <sheetView zoomScale="85" zoomScaleNormal="85" workbookViewId="0">
      <selection activeCell="L1" sqref="L1"/>
    </sheetView>
  </sheetViews>
  <sheetFormatPr defaultRowHeight="14.4" x14ac:dyDescent="0.3"/>
  <cols>
    <col min="2" max="2" width="35.33203125" style="16" customWidth="1"/>
    <col min="3" max="3" width="5" customWidth="1"/>
    <col min="4" max="4" width="26.88671875" style="16" bestFit="1" customWidth="1"/>
    <col min="5" max="5" width="5" customWidth="1"/>
    <col min="6" max="6" width="30.6640625" style="16" customWidth="1"/>
    <col min="7" max="7" width="5" customWidth="1"/>
    <col min="8" max="8" width="33.6640625" style="16" customWidth="1"/>
    <col min="9" max="9" width="5" customWidth="1"/>
    <col min="10" max="10" width="34" style="16" customWidth="1"/>
    <col min="11" max="11" width="5" customWidth="1"/>
    <col min="12" max="12" width="11.109375" bestFit="1" customWidth="1"/>
    <col min="15" max="15" width="46.88671875" customWidth="1"/>
    <col min="16" max="16" width="12.5546875" style="16" bestFit="1" customWidth="1"/>
    <col min="17" max="17" width="8.88671875" style="16"/>
    <col min="25" max="25" width="23.33203125" customWidth="1"/>
    <col min="26" max="26" width="15.44140625" customWidth="1"/>
    <col min="28" max="28" width="10.5546875" customWidth="1"/>
    <col min="29" max="29" width="14.6640625" customWidth="1"/>
    <col min="31" max="31" width="14.6640625" customWidth="1"/>
  </cols>
  <sheetData>
    <row r="1" spans="1:32" ht="32.4" customHeight="1" thickBot="1" x14ac:dyDescent="0.35">
      <c r="A1" s="37" t="s">
        <v>3051</v>
      </c>
      <c r="B1" s="38" t="s">
        <v>169</v>
      </c>
      <c r="C1" s="14"/>
      <c r="D1" s="2"/>
      <c r="E1" s="14"/>
      <c r="F1" s="2"/>
      <c r="G1" s="14"/>
      <c r="H1" s="2"/>
      <c r="I1" s="14"/>
      <c r="J1" s="2"/>
      <c r="K1" s="14"/>
      <c r="L1" s="1" t="s">
        <v>3144</v>
      </c>
      <c r="M1" s="1">
        <v>163</v>
      </c>
      <c r="O1" s="32" t="s">
        <v>0</v>
      </c>
      <c r="P1" s="33" t="s">
        <v>3141</v>
      </c>
      <c r="Q1" s="33"/>
      <c r="R1" s="33" t="s">
        <v>2</v>
      </c>
      <c r="S1" s="33" t="s">
        <v>3</v>
      </c>
      <c r="T1" s="33" t="s">
        <v>4</v>
      </c>
      <c r="U1" s="46" t="s">
        <v>5</v>
      </c>
      <c r="Y1" s="32" t="s">
        <v>0</v>
      </c>
      <c r="Z1" s="33" t="s">
        <v>3142</v>
      </c>
      <c r="AA1" s="44"/>
      <c r="AB1" s="44" t="s">
        <v>2</v>
      </c>
      <c r="AC1" s="44" t="s">
        <v>3</v>
      </c>
      <c r="AD1" s="44" t="s">
        <v>4</v>
      </c>
      <c r="AE1" s="44" t="s">
        <v>5</v>
      </c>
      <c r="AF1" s="45" t="s">
        <v>9</v>
      </c>
    </row>
    <row r="2" spans="1:32" x14ac:dyDescent="0.3">
      <c r="A2" s="4"/>
      <c r="B2" s="2"/>
      <c r="C2" s="4"/>
      <c r="D2" s="2"/>
      <c r="E2" s="4"/>
      <c r="F2" s="2"/>
      <c r="G2" s="4"/>
      <c r="H2" s="2"/>
      <c r="I2" s="4"/>
      <c r="J2" s="2"/>
      <c r="K2" s="4"/>
      <c r="L2" s="1"/>
      <c r="M2" s="1"/>
      <c r="O2" t="s">
        <v>445</v>
      </c>
      <c r="P2" s="16">
        <v>16</v>
      </c>
      <c r="R2">
        <v>4</v>
      </c>
      <c r="S2">
        <v>4</v>
      </c>
      <c r="T2">
        <v>4</v>
      </c>
      <c r="U2">
        <v>4</v>
      </c>
      <c r="Y2" t="s">
        <v>445</v>
      </c>
      <c r="Z2">
        <v>17.489999999999998</v>
      </c>
      <c r="AB2">
        <v>0</v>
      </c>
      <c r="AC2">
        <v>3.68</v>
      </c>
      <c r="AD2">
        <v>5.5500000000000007</v>
      </c>
      <c r="AE2">
        <v>4.38</v>
      </c>
      <c r="AF2">
        <v>3.88</v>
      </c>
    </row>
    <row r="3" spans="1:32" x14ac:dyDescent="0.3">
      <c r="A3" s="3"/>
      <c r="B3" s="2" t="s">
        <v>378</v>
      </c>
      <c r="C3" s="2"/>
      <c r="D3" s="2" t="s">
        <v>576</v>
      </c>
      <c r="E3" s="2"/>
      <c r="F3" s="2" t="s">
        <v>747</v>
      </c>
      <c r="G3" s="2"/>
      <c r="H3" s="2" t="s">
        <v>897</v>
      </c>
      <c r="I3" s="2"/>
      <c r="J3" s="2" t="s">
        <v>33</v>
      </c>
      <c r="O3" t="s">
        <v>54</v>
      </c>
      <c r="P3" s="16">
        <v>11</v>
      </c>
      <c r="R3">
        <v>2</v>
      </c>
      <c r="S3">
        <v>2</v>
      </c>
      <c r="T3">
        <v>5</v>
      </c>
      <c r="U3">
        <v>2</v>
      </c>
      <c r="Y3" t="s">
        <v>54</v>
      </c>
      <c r="Z3">
        <v>13.34</v>
      </c>
      <c r="AB3">
        <v>0.82</v>
      </c>
      <c r="AC3">
        <v>1.9</v>
      </c>
      <c r="AD3">
        <v>0.93</v>
      </c>
      <c r="AE3">
        <v>0.92</v>
      </c>
      <c r="AF3">
        <v>8.77</v>
      </c>
    </row>
    <row r="4" spans="1:32" x14ac:dyDescent="0.3">
      <c r="A4" s="2" t="s">
        <v>13</v>
      </c>
      <c r="B4" s="5" t="s">
        <v>241</v>
      </c>
      <c r="C4" s="3">
        <v>3</v>
      </c>
      <c r="D4" s="15" t="s">
        <v>170</v>
      </c>
      <c r="E4" s="3">
        <v>8</v>
      </c>
      <c r="F4" s="15" t="s">
        <v>170</v>
      </c>
      <c r="G4" s="3">
        <v>4</v>
      </c>
      <c r="H4" s="15" t="s">
        <v>170</v>
      </c>
      <c r="I4" s="3">
        <v>8</v>
      </c>
      <c r="J4" s="15" t="s">
        <v>170</v>
      </c>
      <c r="K4">
        <v>6</v>
      </c>
      <c r="O4" t="s">
        <v>170</v>
      </c>
      <c r="P4" s="16">
        <v>106</v>
      </c>
      <c r="R4">
        <v>26</v>
      </c>
      <c r="S4">
        <v>27</v>
      </c>
      <c r="T4">
        <v>26</v>
      </c>
      <c r="U4">
        <v>27</v>
      </c>
      <c r="Y4" t="s">
        <v>170</v>
      </c>
      <c r="Z4">
        <v>105.99000000000001</v>
      </c>
      <c r="AB4">
        <v>6.68</v>
      </c>
      <c r="AC4">
        <v>27.35</v>
      </c>
      <c r="AD4">
        <v>26.12</v>
      </c>
      <c r="AE4">
        <v>26.400000000000002</v>
      </c>
      <c r="AF4">
        <v>19.440000000000001</v>
      </c>
    </row>
    <row r="5" spans="1:32" x14ac:dyDescent="0.3">
      <c r="A5" s="2" t="s">
        <v>13</v>
      </c>
      <c r="B5" s="5" t="s">
        <v>444</v>
      </c>
      <c r="C5" s="3">
        <v>1</v>
      </c>
      <c r="D5" s="3"/>
      <c r="E5" s="3"/>
      <c r="F5" s="5" t="s">
        <v>217</v>
      </c>
      <c r="G5" s="3">
        <v>4</v>
      </c>
      <c r="H5" s="3"/>
      <c r="I5" s="3"/>
      <c r="J5" s="5" t="s">
        <v>54</v>
      </c>
      <c r="K5">
        <v>2</v>
      </c>
      <c r="O5" t="s">
        <v>241</v>
      </c>
      <c r="P5" s="16">
        <v>12</v>
      </c>
      <c r="R5">
        <v>3</v>
      </c>
      <c r="S5">
        <v>3</v>
      </c>
      <c r="T5">
        <v>3</v>
      </c>
      <c r="U5">
        <v>3</v>
      </c>
      <c r="Y5" t="s">
        <v>241</v>
      </c>
      <c r="Z5">
        <v>0</v>
      </c>
      <c r="AB5">
        <v>0</v>
      </c>
      <c r="AC5">
        <v>0</v>
      </c>
      <c r="AD5">
        <v>0</v>
      </c>
      <c r="AE5">
        <v>0</v>
      </c>
      <c r="AF5">
        <v>0</v>
      </c>
    </row>
    <row r="6" spans="1:32" x14ac:dyDescent="0.3">
      <c r="A6" s="2" t="s">
        <v>13</v>
      </c>
      <c r="B6" s="5" t="s">
        <v>445</v>
      </c>
      <c r="C6" s="3">
        <v>4</v>
      </c>
      <c r="D6" s="3"/>
      <c r="E6" s="3"/>
      <c r="F6" s="3"/>
      <c r="G6" s="3"/>
      <c r="H6" s="3"/>
      <c r="I6" s="3"/>
      <c r="J6" s="3"/>
      <c r="O6" t="s">
        <v>217</v>
      </c>
      <c r="P6" s="16">
        <v>16</v>
      </c>
      <c r="R6">
        <v>4</v>
      </c>
      <c r="S6">
        <v>4</v>
      </c>
      <c r="T6">
        <v>4</v>
      </c>
      <c r="U6">
        <v>4</v>
      </c>
      <c r="Y6" t="s">
        <v>217</v>
      </c>
      <c r="Z6">
        <v>0</v>
      </c>
      <c r="AB6">
        <v>0</v>
      </c>
      <c r="AC6">
        <v>0</v>
      </c>
      <c r="AD6">
        <v>0</v>
      </c>
      <c r="AE6">
        <v>0</v>
      </c>
      <c r="AF6">
        <v>0</v>
      </c>
    </row>
    <row r="7" spans="1:32" x14ac:dyDescent="0.3">
      <c r="A7" s="2"/>
      <c r="B7" s="5"/>
      <c r="C7" s="3"/>
      <c r="D7" s="3"/>
      <c r="E7" s="3"/>
      <c r="F7" s="3"/>
      <c r="G7" s="3"/>
      <c r="H7" s="3"/>
      <c r="I7" s="3"/>
      <c r="J7" s="3"/>
      <c r="O7" t="s">
        <v>444</v>
      </c>
      <c r="P7" s="16">
        <v>2</v>
      </c>
      <c r="R7">
        <v>1</v>
      </c>
      <c r="S7">
        <v>0</v>
      </c>
      <c r="T7">
        <v>1</v>
      </c>
      <c r="U7">
        <v>0</v>
      </c>
      <c r="Y7" t="s">
        <v>444</v>
      </c>
      <c r="Z7">
        <v>2.77</v>
      </c>
      <c r="AB7">
        <v>0</v>
      </c>
      <c r="AC7">
        <v>0.95</v>
      </c>
      <c r="AD7">
        <v>0.18</v>
      </c>
      <c r="AE7">
        <v>0.96000000000000008</v>
      </c>
      <c r="AF7">
        <v>0.68</v>
      </c>
    </row>
    <row r="8" spans="1:32" x14ac:dyDescent="0.3">
      <c r="A8" s="2"/>
      <c r="B8" s="3"/>
      <c r="C8" s="3"/>
      <c r="D8" s="3"/>
      <c r="E8" s="3"/>
      <c r="F8" s="3"/>
      <c r="G8" s="3"/>
      <c r="H8" s="3"/>
      <c r="I8" s="3"/>
      <c r="J8" s="3"/>
      <c r="O8" t="s">
        <v>35</v>
      </c>
      <c r="P8" s="16">
        <v>0</v>
      </c>
      <c r="R8">
        <v>0</v>
      </c>
      <c r="S8">
        <v>0</v>
      </c>
      <c r="T8">
        <v>0</v>
      </c>
      <c r="U8">
        <v>0</v>
      </c>
      <c r="Y8" t="s">
        <v>35</v>
      </c>
      <c r="Z8">
        <v>29.17</v>
      </c>
      <c r="AB8">
        <v>0.5</v>
      </c>
      <c r="AC8">
        <v>6.3100000000000005</v>
      </c>
      <c r="AD8">
        <v>7.4</v>
      </c>
      <c r="AE8">
        <v>7.6099999999999994</v>
      </c>
      <c r="AF8">
        <v>7.35</v>
      </c>
    </row>
    <row r="9" spans="1:32" x14ac:dyDescent="0.3">
      <c r="A9" s="2" t="s">
        <v>14</v>
      </c>
      <c r="B9" s="51" t="s">
        <v>241</v>
      </c>
      <c r="C9" s="3">
        <v>3</v>
      </c>
      <c r="D9" s="15" t="s">
        <v>170</v>
      </c>
      <c r="E9" s="3">
        <v>8</v>
      </c>
      <c r="F9" s="15" t="s">
        <v>170</v>
      </c>
      <c r="G9" s="3">
        <v>4</v>
      </c>
      <c r="H9" s="15" t="s">
        <v>170</v>
      </c>
      <c r="I9" s="3">
        <v>8</v>
      </c>
      <c r="J9" s="15" t="s">
        <v>170</v>
      </c>
      <c r="K9">
        <v>6</v>
      </c>
    </row>
    <row r="10" spans="1:32" x14ac:dyDescent="0.3">
      <c r="A10" s="2" t="s">
        <v>14</v>
      </c>
      <c r="B10" s="15" t="s">
        <v>170</v>
      </c>
      <c r="C10" s="3">
        <v>1</v>
      </c>
      <c r="D10" s="3"/>
      <c r="E10" s="3"/>
      <c r="F10" s="5" t="s">
        <v>217</v>
      </c>
      <c r="G10" s="3">
        <v>4</v>
      </c>
      <c r="H10" s="3"/>
      <c r="I10" s="3"/>
      <c r="J10" s="5" t="s">
        <v>54</v>
      </c>
      <c r="K10">
        <v>2</v>
      </c>
    </row>
    <row r="11" spans="1:32" x14ac:dyDescent="0.3">
      <c r="A11" s="2" t="s">
        <v>14</v>
      </c>
      <c r="B11" s="51" t="s">
        <v>445</v>
      </c>
      <c r="C11" s="3">
        <v>4</v>
      </c>
      <c r="D11" s="3"/>
      <c r="E11" s="3"/>
      <c r="F11" s="3"/>
      <c r="G11" s="3"/>
      <c r="H11" s="3"/>
      <c r="I11" s="3"/>
      <c r="J11" s="3"/>
    </row>
    <row r="12" spans="1:32" x14ac:dyDescent="0.3">
      <c r="A12" s="2"/>
      <c r="B12" s="5"/>
      <c r="C12" s="3"/>
      <c r="D12" s="3"/>
      <c r="E12" s="3"/>
      <c r="F12" s="3"/>
      <c r="G12" s="3"/>
      <c r="H12" s="3"/>
      <c r="I12" s="3"/>
      <c r="J12" s="3"/>
    </row>
    <row r="14" spans="1:32" x14ac:dyDescent="0.3">
      <c r="A14" s="2" t="s">
        <v>15</v>
      </c>
      <c r="B14" s="5" t="s">
        <v>241</v>
      </c>
      <c r="C14" s="3">
        <v>3</v>
      </c>
      <c r="D14" s="15" t="s">
        <v>170</v>
      </c>
      <c r="E14" s="3">
        <v>8</v>
      </c>
      <c r="F14" s="15" t="s">
        <v>170</v>
      </c>
      <c r="G14" s="3">
        <v>4</v>
      </c>
      <c r="H14" s="15" t="s">
        <v>170</v>
      </c>
      <c r="I14" s="3">
        <v>8</v>
      </c>
      <c r="J14" s="15" t="s">
        <v>170</v>
      </c>
      <c r="K14">
        <v>6</v>
      </c>
    </row>
    <row r="15" spans="1:32" x14ac:dyDescent="0.3">
      <c r="A15" s="2" t="s">
        <v>15</v>
      </c>
      <c r="B15" s="5" t="s">
        <v>444</v>
      </c>
      <c r="C15" s="3">
        <v>1</v>
      </c>
      <c r="D15" s="5" t="s">
        <v>54</v>
      </c>
      <c r="E15" s="3">
        <v>3</v>
      </c>
      <c r="F15" s="5" t="s">
        <v>217</v>
      </c>
      <c r="G15" s="3">
        <v>4</v>
      </c>
      <c r="H15" s="3"/>
      <c r="I15" s="3"/>
      <c r="J15" s="5" t="s">
        <v>54</v>
      </c>
      <c r="K15">
        <v>2</v>
      </c>
    </row>
    <row r="16" spans="1:32" x14ac:dyDescent="0.3">
      <c r="A16" s="2" t="s">
        <v>15</v>
      </c>
      <c r="B16" s="5" t="s">
        <v>445</v>
      </c>
      <c r="C16" s="3">
        <v>4</v>
      </c>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c r="O18" t="s">
        <v>3143</v>
      </c>
      <c r="P18" s="16">
        <f>SUM(P2:P17)</f>
        <v>163</v>
      </c>
      <c r="R18">
        <f>SUM(R2:R17)</f>
        <v>40</v>
      </c>
      <c r="S18">
        <f>SUM(S2:S17)</f>
        <v>40</v>
      </c>
      <c r="T18">
        <f>SUM(T2:T17)</f>
        <v>43</v>
      </c>
      <c r="U18">
        <f>SUM(U2:U17)</f>
        <v>40</v>
      </c>
      <c r="Y18" t="s">
        <v>3143</v>
      </c>
      <c r="Z18">
        <f>SUM(Z2:Z17)</f>
        <v>168.76</v>
      </c>
      <c r="AB18">
        <f>SUM(AB2:AB17)</f>
        <v>8</v>
      </c>
      <c r="AC18">
        <f>SUM(AC2:AC17)</f>
        <v>40.190000000000005</v>
      </c>
      <c r="AD18">
        <f>SUM(AD2:AD17)</f>
        <v>40.18</v>
      </c>
      <c r="AE18">
        <f>SUM(AE2:AE17)</f>
        <v>40.270000000000003</v>
      </c>
      <c r="AF18">
        <f>SUM(AF2:AF17)</f>
        <v>40.120000000000005</v>
      </c>
    </row>
    <row r="19" spans="1:32" x14ac:dyDescent="0.3">
      <c r="A19" s="2" t="s">
        <v>16</v>
      </c>
      <c r="B19" s="51" t="s">
        <v>241</v>
      </c>
      <c r="C19" s="3">
        <v>3</v>
      </c>
      <c r="D19" s="15" t="s">
        <v>170</v>
      </c>
      <c r="E19" s="3">
        <v>8</v>
      </c>
      <c r="F19" s="15" t="s">
        <v>170</v>
      </c>
      <c r="G19" s="3">
        <v>4</v>
      </c>
      <c r="H19" s="15" t="s">
        <v>170</v>
      </c>
      <c r="I19" s="3">
        <v>8</v>
      </c>
      <c r="J19" s="15" t="s">
        <v>170</v>
      </c>
      <c r="K19">
        <v>6</v>
      </c>
    </row>
    <row r="20" spans="1:32" x14ac:dyDescent="0.3">
      <c r="A20" s="2" t="s">
        <v>16</v>
      </c>
      <c r="B20" s="15" t="s">
        <v>170</v>
      </c>
      <c r="C20" s="3">
        <v>1</v>
      </c>
      <c r="D20" s="3"/>
      <c r="E20" s="3"/>
      <c r="F20" s="5" t="s">
        <v>217</v>
      </c>
      <c r="G20" s="3">
        <v>4</v>
      </c>
      <c r="H20" s="5"/>
      <c r="I20" s="3"/>
      <c r="J20" s="5" t="s">
        <v>54</v>
      </c>
      <c r="K20">
        <v>2</v>
      </c>
    </row>
    <row r="21" spans="1:32" x14ac:dyDescent="0.3">
      <c r="A21" s="2" t="s">
        <v>16</v>
      </c>
      <c r="B21" s="51" t="s">
        <v>445</v>
      </c>
      <c r="C21" s="3">
        <v>4</v>
      </c>
      <c r="D21" s="3"/>
      <c r="E21" s="3"/>
      <c r="F21" s="3"/>
      <c r="G21" s="3"/>
      <c r="H21" s="15"/>
      <c r="I21" s="3"/>
      <c r="J21" s="3"/>
    </row>
    <row r="24" spans="1:32" x14ac:dyDescent="0.3">
      <c r="A24" s="2" t="s">
        <v>17</v>
      </c>
      <c r="B24" s="2"/>
      <c r="C24" s="3"/>
      <c r="D24" s="2"/>
      <c r="E24" s="3"/>
      <c r="F24" s="2"/>
      <c r="G24" s="3"/>
      <c r="H24" s="2"/>
      <c r="I24" s="3"/>
      <c r="J24" s="2"/>
      <c r="L24" s="1" t="s">
        <v>3144</v>
      </c>
      <c r="M24" s="1">
        <v>168.76</v>
      </c>
    </row>
    <row r="25" spans="1:32" x14ac:dyDescent="0.3">
      <c r="A25" s="2"/>
      <c r="B25" s="2" t="s">
        <v>378</v>
      </c>
      <c r="C25" s="3"/>
      <c r="D25" s="2" t="s">
        <v>576</v>
      </c>
      <c r="E25" s="3"/>
      <c r="F25" s="2" t="s">
        <v>747</v>
      </c>
      <c r="G25" s="3"/>
      <c r="H25" s="2" t="s">
        <v>897</v>
      </c>
      <c r="I25" s="3"/>
      <c r="J25" s="2" t="s">
        <v>33</v>
      </c>
      <c r="K25" s="3"/>
    </row>
    <row r="26" spans="1:32" x14ac:dyDescent="0.3">
      <c r="A26" s="2" t="s">
        <v>13</v>
      </c>
      <c r="B26" s="3"/>
      <c r="C26" s="3"/>
      <c r="D26" s="3"/>
      <c r="E26" s="3"/>
      <c r="F26" s="3"/>
      <c r="G26" s="3"/>
      <c r="H26" s="3"/>
      <c r="I26" s="3"/>
      <c r="J26" s="3" t="s">
        <v>54</v>
      </c>
      <c r="K26" s="3">
        <v>0.82</v>
      </c>
    </row>
    <row r="27" spans="1:32" x14ac:dyDescent="0.3">
      <c r="A27" s="2" t="s">
        <v>13</v>
      </c>
      <c r="B27" s="3"/>
      <c r="C27" s="3"/>
      <c r="D27" s="3"/>
      <c r="E27" s="3"/>
      <c r="F27" s="3"/>
      <c r="G27" s="3"/>
      <c r="H27" s="3"/>
      <c r="I27" s="3"/>
      <c r="J27" s="3" t="s">
        <v>170</v>
      </c>
      <c r="K27" s="3">
        <v>6.68</v>
      </c>
    </row>
    <row r="28" spans="1:32" x14ac:dyDescent="0.3">
      <c r="A28" s="2" t="s">
        <v>13</v>
      </c>
      <c r="B28" s="3"/>
      <c r="C28" s="3"/>
      <c r="D28" s="3"/>
      <c r="E28" s="3"/>
      <c r="F28" s="3"/>
      <c r="G28" s="3"/>
      <c r="H28" s="3"/>
      <c r="I28" s="3"/>
      <c r="J28" s="3" t="s">
        <v>35</v>
      </c>
      <c r="K28" s="3">
        <v>0.5</v>
      </c>
    </row>
    <row r="29" spans="1:32" x14ac:dyDescent="0.3">
      <c r="A29" s="2"/>
      <c r="B29" s="3"/>
      <c r="C29" s="3"/>
      <c r="D29" s="3"/>
      <c r="E29" s="3"/>
      <c r="F29" s="3"/>
      <c r="G29" s="3"/>
      <c r="H29" s="3"/>
      <c r="I29" s="3"/>
      <c r="J29" s="3"/>
      <c r="K29" s="3"/>
    </row>
    <row r="30" spans="1:32" x14ac:dyDescent="0.3">
      <c r="A30" s="2"/>
      <c r="B30" s="3"/>
      <c r="C30" s="3"/>
      <c r="D30" s="3"/>
      <c r="E30" s="3"/>
      <c r="F30" s="3"/>
      <c r="G30" s="3"/>
      <c r="H30" s="3"/>
      <c r="I30" s="3"/>
      <c r="J30" s="3"/>
      <c r="K30" s="3"/>
    </row>
    <row r="31" spans="1:32" x14ac:dyDescent="0.3">
      <c r="A31" s="2" t="s">
        <v>14</v>
      </c>
      <c r="B31" s="3" t="s">
        <v>445</v>
      </c>
      <c r="C31" s="3">
        <v>3.48</v>
      </c>
      <c r="D31" s="3" t="s">
        <v>54</v>
      </c>
      <c r="E31" s="3">
        <v>1.9</v>
      </c>
      <c r="F31" s="3" t="s">
        <v>170</v>
      </c>
      <c r="G31" s="3">
        <v>1.93</v>
      </c>
      <c r="H31" s="3" t="s">
        <v>170</v>
      </c>
      <c r="I31" s="3">
        <v>7.8</v>
      </c>
      <c r="J31" s="3" t="s">
        <v>445</v>
      </c>
      <c r="K31" s="3">
        <v>0.2</v>
      </c>
    </row>
    <row r="32" spans="1:32" x14ac:dyDescent="0.3">
      <c r="A32" s="2" t="s">
        <v>14</v>
      </c>
      <c r="B32" s="3" t="s">
        <v>170</v>
      </c>
      <c r="C32" s="3">
        <v>3.93</v>
      </c>
      <c r="D32" s="3" t="s">
        <v>170</v>
      </c>
      <c r="E32" s="3">
        <v>6.12</v>
      </c>
      <c r="F32" s="3" t="s">
        <v>35</v>
      </c>
      <c r="G32" s="3">
        <v>6.03</v>
      </c>
      <c r="H32" s="3" t="s">
        <v>35</v>
      </c>
      <c r="I32" s="3">
        <v>0.28000000000000003</v>
      </c>
      <c r="J32" s="3" t="s">
        <v>170</v>
      </c>
      <c r="K32" s="3">
        <v>7.57</v>
      </c>
    </row>
    <row r="33" spans="1:11" x14ac:dyDescent="0.3">
      <c r="A33" s="2" t="s">
        <v>14</v>
      </c>
      <c r="B33" s="3" t="s">
        <v>444</v>
      </c>
      <c r="C33" s="3">
        <v>0.73</v>
      </c>
      <c r="D33" s="3"/>
      <c r="E33" s="3"/>
      <c r="F33" s="3"/>
      <c r="G33" s="3"/>
      <c r="H33" s="3"/>
      <c r="I33" s="3"/>
      <c r="J33" s="3" t="s">
        <v>444</v>
      </c>
      <c r="K33" s="3">
        <v>0.22</v>
      </c>
    </row>
    <row r="34" spans="1:11" x14ac:dyDescent="0.3">
      <c r="A34" s="2"/>
      <c r="B34" s="3"/>
      <c r="C34" s="3"/>
      <c r="D34" s="3"/>
      <c r="E34" s="3"/>
      <c r="F34" s="3"/>
      <c r="G34" s="3"/>
      <c r="H34" s="3"/>
      <c r="I34" s="3"/>
      <c r="J34" s="3"/>
      <c r="K34" s="3"/>
    </row>
    <row r="35" spans="1:11" x14ac:dyDescent="0.3">
      <c r="A35" s="2"/>
      <c r="B35" s="3"/>
      <c r="C35" s="3"/>
      <c r="D35" s="3"/>
      <c r="E35" s="3"/>
      <c r="F35" s="3"/>
      <c r="G35" s="3"/>
      <c r="H35" s="3"/>
      <c r="I35" s="3"/>
      <c r="J35" s="3"/>
      <c r="K35" s="3"/>
    </row>
    <row r="36" spans="1:11" x14ac:dyDescent="0.3">
      <c r="A36" s="2" t="s">
        <v>15</v>
      </c>
      <c r="B36" s="3" t="s">
        <v>445</v>
      </c>
      <c r="C36" s="3">
        <v>3.17</v>
      </c>
      <c r="D36" s="3" t="s">
        <v>170</v>
      </c>
      <c r="E36" s="3">
        <v>7.92</v>
      </c>
      <c r="F36" s="3" t="s">
        <v>170</v>
      </c>
      <c r="G36" s="3">
        <v>2.2200000000000002</v>
      </c>
      <c r="H36" s="3" t="s">
        <v>445</v>
      </c>
      <c r="I36" s="3">
        <v>0.93</v>
      </c>
      <c r="J36" s="3" t="s">
        <v>445</v>
      </c>
      <c r="K36" s="3">
        <v>1.4500000000000002</v>
      </c>
    </row>
    <row r="37" spans="1:11" x14ac:dyDescent="0.3">
      <c r="A37" s="2" t="s">
        <v>15</v>
      </c>
      <c r="B37" s="3" t="s">
        <v>54</v>
      </c>
      <c r="C37" s="3">
        <v>0.28000000000000003</v>
      </c>
      <c r="D37" s="3" t="s">
        <v>35</v>
      </c>
      <c r="E37" s="3">
        <v>0.23</v>
      </c>
      <c r="F37" s="3" t="s">
        <v>35</v>
      </c>
      <c r="G37" s="3">
        <v>5.85</v>
      </c>
      <c r="H37" s="3" t="s">
        <v>170</v>
      </c>
      <c r="I37" s="3">
        <v>6.98</v>
      </c>
      <c r="J37" s="3" t="s">
        <v>54</v>
      </c>
      <c r="K37" s="3">
        <v>0.65</v>
      </c>
    </row>
    <row r="38" spans="1:11" x14ac:dyDescent="0.3">
      <c r="A38" s="2" t="s">
        <v>15</v>
      </c>
      <c r="B38" s="3" t="s">
        <v>170</v>
      </c>
      <c r="C38" s="3">
        <v>4.37</v>
      </c>
      <c r="D38" s="3"/>
      <c r="E38" s="3"/>
      <c r="F38" s="3"/>
      <c r="G38" s="3"/>
      <c r="H38" s="3"/>
      <c r="I38" s="3"/>
      <c r="J38" s="3" t="s">
        <v>170</v>
      </c>
      <c r="K38" s="3">
        <v>4.63</v>
      </c>
    </row>
    <row r="39" spans="1:11" x14ac:dyDescent="0.3">
      <c r="A39" s="2" t="s">
        <v>15</v>
      </c>
      <c r="B39" s="3" t="s">
        <v>444</v>
      </c>
      <c r="C39" s="3">
        <v>0.18</v>
      </c>
      <c r="D39" s="3"/>
      <c r="E39" s="3"/>
      <c r="F39" s="3"/>
      <c r="G39" s="3"/>
      <c r="H39" s="3"/>
      <c r="I39" s="3"/>
      <c r="J39" s="3" t="s">
        <v>35</v>
      </c>
      <c r="K39" s="3">
        <v>1.3199999999999998</v>
      </c>
    </row>
    <row r="40" spans="1:11" x14ac:dyDescent="0.3">
      <c r="A40" s="2"/>
      <c r="B40" s="3"/>
      <c r="C40" s="3"/>
      <c r="D40" s="3"/>
      <c r="E40" s="3"/>
      <c r="F40" s="3"/>
      <c r="G40" s="3"/>
      <c r="H40" s="3"/>
      <c r="I40" s="3"/>
      <c r="J40" s="3"/>
      <c r="K40" s="3"/>
    </row>
    <row r="41" spans="1:11" x14ac:dyDescent="0.3">
      <c r="A41" s="2"/>
      <c r="B41" s="3"/>
      <c r="C41" s="3"/>
      <c r="D41" s="3"/>
      <c r="E41" s="3"/>
      <c r="F41" s="3"/>
      <c r="G41" s="3"/>
      <c r="H41" s="3"/>
      <c r="I41" s="3"/>
      <c r="J41" s="3"/>
      <c r="K41" s="3"/>
    </row>
    <row r="42" spans="1:11" x14ac:dyDescent="0.3">
      <c r="A42" s="2" t="s">
        <v>16</v>
      </c>
      <c r="B42" s="3" t="s">
        <v>445</v>
      </c>
      <c r="C42" s="3">
        <v>3.48</v>
      </c>
      <c r="D42" s="3" t="s">
        <v>54</v>
      </c>
      <c r="E42" s="3">
        <v>0.17</v>
      </c>
      <c r="F42" s="3" t="s">
        <v>445</v>
      </c>
      <c r="G42" s="3">
        <v>0.9</v>
      </c>
      <c r="H42" s="3" t="s">
        <v>54</v>
      </c>
      <c r="I42" s="3">
        <v>0.75</v>
      </c>
      <c r="J42" s="3" t="s">
        <v>170</v>
      </c>
      <c r="K42" s="3">
        <v>8.15</v>
      </c>
    </row>
    <row r="43" spans="1:11" x14ac:dyDescent="0.3">
      <c r="A43" s="2" t="s">
        <v>16</v>
      </c>
      <c r="B43" s="3" t="s">
        <v>170</v>
      </c>
      <c r="C43" s="3">
        <v>3.05</v>
      </c>
      <c r="D43" s="3" t="s">
        <v>170</v>
      </c>
      <c r="E43" s="3">
        <v>7.4</v>
      </c>
      <c r="F43" s="3" t="s">
        <v>170</v>
      </c>
      <c r="G43" s="3">
        <v>0.65</v>
      </c>
      <c r="H43" s="3" t="s">
        <v>170</v>
      </c>
      <c r="I43" s="3">
        <v>7.15</v>
      </c>
      <c r="J43" s="3"/>
      <c r="K43" s="3"/>
    </row>
    <row r="44" spans="1:11" x14ac:dyDescent="0.3">
      <c r="A44" s="2" t="s">
        <v>16</v>
      </c>
      <c r="B44" s="3" t="s">
        <v>444</v>
      </c>
      <c r="C44" s="3">
        <v>0.96000000000000008</v>
      </c>
      <c r="D44" s="3" t="s">
        <v>35</v>
      </c>
      <c r="E44" s="3">
        <v>0.47</v>
      </c>
      <c r="F44" s="3" t="s">
        <v>35</v>
      </c>
      <c r="G44" s="3">
        <v>6.52</v>
      </c>
      <c r="H44" s="3"/>
      <c r="I44" s="3"/>
      <c r="J44" s="3"/>
      <c r="K44" s="3"/>
    </row>
    <row r="45" spans="1:11" x14ac:dyDescent="0.3">
      <c r="A45" s="2" t="s">
        <v>16</v>
      </c>
      <c r="B45" s="3" t="s">
        <v>35</v>
      </c>
      <c r="C45" s="3">
        <v>0.62</v>
      </c>
      <c r="D45" s="3"/>
      <c r="E45" s="3"/>
      <c r="F45" s="3"/>
      <c r="G45" s="3"/>
      <c r="H45" s="3"/>
      <c r="I45" s="3"/>
      <c r="J45" s="3"/>
      <c r="K45" s="3"/>
    </row>
    <row r="46" spans="1:11" x14ac:dyDescent="0.3">
      <c r="A46" s="2"/>
      <c r="B46" s="3"/>
      <c r="C46" s="3"/>
      <c r="D46" s="3"/>
      <c r="E46" s="3"/>
      <c r="F46" s="3"/>
      <c r="G46" s="3"/>
      <c r="H46" s="3"/>
      <c r="I46" s="3"/>
      <c r="J46" s="3"/>
      <c r="K46" s="3"/>
    </row>
    <row r="47" spans="1:11" x14ac:dyDescent="0.3">
      <c r="A47" s="2"/>
      <c r="B47" s="3"/>
      <c r="C47" s="3"/>
      <c r="D47" s="3"/>
      <c r="E47" s="3"/>
      <c r="F47" s="3"/>
      <c r="G47" s="3"/>
      <c r="H47" s="3"/>
      <c r="I47" s="3"/>
      <c r="J47" s="3"/>
      <c r="K47" s="3"/>
    </row>
    <row r="48" spans="1:11" x14ac:dyDescent="0.3">
      <c r="A48" s="2" t="s">
        <v>18</v>
      </c>
      <c r="B48" s="3" t="s">
        <v>445</v>
      </c>
      <c r="C48" s="3">
        <v>3.88</v>
      </c>
      <c r="D48" s="3" t="s">
        <v>170</v>
      </c>
      <c r="E48" s="3">
        <v>7.98</v>
      </c>
      <c r="F48" s="3" t="s">
        <v>54</v>
      </c>
      <c r="G48" s="3">
        <v>0.6</v>
      </c>
      <c r="H48" s="3" t="s">
        <v>170</v>
      </c>
      <c r="I48" s="3">
        <v>7.33</v>
      </c>
      <c r="J48" s="3" t="s">
        <v>54</v>
      </c>
      <c r="K48" s="3">
        <v>8</v>
      </c>
    </row>
    <row r="49" spans="1:11" x14ac:dyDescent="0.3">
      <c r="A49" s="2" t="s">
        <v>18</v>
      </c>
      <c r="B49" s="3" t="s">
        <v>54</v>
      </c>
      <c r="C49" s="3">
        <v>0.17</v>
      </c>
      <c r="D49" s="3"/>
      <c r="E49" s="3"/>
      <c r="F49" s="3" t="s">
        <v>170</v>
      </c>
      <c r="G49" s="3">
        <v>1.28</v>
      </c>
      <c r="H49" s="3" t="s">
        <v>444</v>
      </c>
      <c r="I49" s="3">
        <v>0.68</v>
      </c>
      <c r="J49" s="3"/>
      <c r="K49" s="3"/>
    </row>
    <row r="50" spans="1:11" x14ac:dyDescent="0.3">
      <c r="A50" s="2" t="s">
        <v>18</v>
      </c>
      <c r="B50" s="3" t="s">
        <v>170</v>
      </c>
      <c r="C50" s="3">
        <v>2.85</v>
      </c>
      <c r="D50" s="3"/>
      <c r="E50" s="3"/>
      <c r="F50" s="3" t="s">
        <v>35</v>
      </c>
      <c r="G50" s="3">
        <v>6.18</v>
      </c>
      <c r="H50" s="3"/>
      <c r="I50" s="3"/>
      <c r="J50" s="3"/>
      <c r="K50" s="3"/>
    </row>
    <row r="51" spans="1:11" x14ac:dyDescent="0.3">
      <c r="A51" s="2" t="s">
        <v>18</v>
      </c>
      <c r="B51" s="3" t="s">
        <v>35</v>
      </c>
      <c r="C51" s="3">
        <v>1.17</v>
      </c>
      <c r="D51" s="3"/>
      <c r="E51" s="3"/>
      <c r="F51" s="3"/>
      <c r="G51" s="3"/>
      <c r="H51" s="3"/>
      <c r="I51" s="3"/>
      <c r="J51" s="3"/>
      <c r="K51" s="3"/>
    </row>
    <row r="52" spans="1:11" x14ac:dyDescent="0.3">
      <c r="A52" s="2"/>
      <c r="B52" s="3"/>
      <c r="C52" s="3"/>
      <c r="D52" s="3"/>
      <c r="E52" s="3"/>
      <c r="F52" s="3"/>
      <c r="G52" s="3"/>
      <c r="H52" s="3"/>
      <c r="I52" s="3"/>
      <c r="J52" s="3"/>
      <c r="K52" s="3"/>
    </row>
    <row r="53" spans="1:11" x14ac:dyDescent="0.3">
      <c r="A53" s="2"/>
      <c r="B53" s="3"/>
      <c r="C53" s="3"/>
      <c r="D53" s="3"/>
      <c r="E53" s="3"/>
      <c r="F53" s="3"/>
      <c r="G53" s="3"/>
      <c r="H53" s="3"/>
      <c r="I53" s="3"/>
      <c r="J53" s="3"/>
      <c r="K53" s="3"/>
    </row>
    <row r="54" spans="1:11" x14ac:dyDescent="0.3">
      <c r="A54" s="19"/>
      <c r="B54" s="3"/>
      <c r="C54" s="3"/>
      <c r="D54" s="3"/>
      <c r="E54" s="3"/>
      <c r="F54" s="3"/>
      <c r="G54" s="3"/>
      <c r="H54" s="3"/>
      <c r="I54" s="3"/>
      <c r="J54" s="3"/>
      <c r="K54" s="3"/>
    </row>
    <row r="55" spans="1:11" x14ac:dyDescent="0.3">
      <c r="A55" s="2"/>
      <c r="B55" s="3"/>
      <c r="C55" s="3"/>
      <c r="D55" s="3"/>
      <c r="E55" s="3"/>
      <c r="F55" s="3"/>
      <c r="G55" s="3"/>
      <c r="H55" s="3"/>
      <c r="I55" s="3"/>
      <c r="J55" s="3"/>
      <c r="K55" s="3"/>
    </row>
    <row r="56" spans="1:11" x14ac:dyDescent="0.3">
      <c r="A56" s="2"/>
      <c r="B56" s="3"/>
      <c r="C56" s="3"/>
      <c r="D56" s="3"/>
      <c r="E56" s="3"/>
      <c r="F56" s="3"/>
      <c r="G56" s="3"/>
      <c r="H56" s="3"/>
      <c r="I56" s="3"/>
      <c r="J56" s="3"/>
      <c r="K56" s="3"/>
    </row>
    <row r="57" spans="1:11" x14ac:dyDescent="0.3">
      <c r="A57" s="2"/>
      <c r="B57" s="3"/>
      <c r="C57" s="3"/>
      <c r="D57" s="3"/>
      <c r="E57" s="3"/>
      <c r="F57" s="3"/>
      <c r="G57" s="3"/>
      <c r="H57" s="3"/>
      <c r="I57" s="3"/>
      <c r="J57" s="3"/>
      <c r="K57" s="3"/>
    </row>
    <row r="58" spans="1:11" x14ac:dyDescent="0.3">
      <c r="A58" s="2"/>
      <c r="B58" s="3"/>
      <c r="C58" s="3"/>
      <c r="D58" s="3"/>
      <c r="E58" s="3"/>
      <c r="F58" s="3"/>
      <c r="G58" s="3"/>
      <c r="H58" s="3"/>
      <c r="I58" s="3"/>
      <c r="J58" s="3"/>
      <c r="K58" s="3"/>
    </row>
    <row r="59" spans="1:11" x14ac:dyDescent="0.3">
      <c r="A59" s="2"/>
      <c r="B59" s="3"/>
      <c r="C59" s="3"/>
      <c r="D59" s="3"/>
      <c r="E59" s="3"/>
      <c r="F59" s="3"/>
      <c r="G59" s="3"/>
      <c r="H59" s="3"/>
      <c r="I59" s="3"/>
      <c r="J59" s="3"/>
      <c r="K59" s="3"/>
    </row>
    <row r="60" spans="1:11" x14ac:dyDescent="0.3">
      <c r="A60" s="2"/>
      <c r="B60" s="3"/>
      <c r="C60" s="3"/>
      <c r="D60" s="3"/>
      <c r="E60" s="3"/>
      <c r="F60" s="3"/>
      <c r="G60" s="3"/>
      <c r="H60" s="3"/>
      <c r="I60" s="3"/>
      <c r="J60" s="3"/>
      <c r="K60" s="3"/>
    </row>
    <row r="61" spans="1:11" x14ac:dyDescent="0.3">
      <c r="A61" s="2"/>
      <c r="B61" s="3"/>
      <c r="C61" s="3"/>
      <c r="D61" s="3"/>
      <c r="E61" s="3"/>
      <c r="F61" s="3"/>
      <c r="G61" s="3"/>
      <c r="H61" s="3"/>
      <c r="I61" s="3"/>
      <c r="J61" s="3"/>
      <c r="K61" s="3"/>
    </row>
    <row r="62" spans="1:11" x14ac:dyDescent="0.3">
      <c r="A62" s="2"/>
      <c r="B62" s="3"/>
      <c r="C62" s="3"/>
      <c r="D62" s="3"/>
      <c r="E62" s="3"/>
      <c r="F62" s="3"/>
      <c r="G62" s="3"/>
      <c r="H62" s="3"/>
      <c r="I62" s="3"/>
      <c r="J62" s="3"/>
      <c r="K62" s="3"/>
    </row>
    <row r="63" spans="1:11" x14ac:dyDescent="0.3">
      <c r="A63" s="2"/>
      <c r="B63" s="3"/>
      <c r="C63" s="3"/>
      <c r="D63" s="3"/>
      <c r="E63" s="3"/>
      <c r="F63" s="3"/>
      <c r="G63" s="3"/>
      <c r="H63" s="3"/>
      <c r="I63" s="3"/>
      <c r="J63" s="3"/>
      <c r="K63" s="3"/>
    </row>
    <row r="64" spans="1:11" x14ac:dyDescent="0.3">
      <c r="A64" s="2"/>
      <c r="B64" s="3"/>
      <c r="C64" s="3"/>
      <c r="D64" s="3"/>
      <c r="E64" s="3"/>
      <c r="F64" s="3"/>
      <c r="G64" s="3"/>
      <c r="H64" s="3"/>
      <c r="I64" s="3"/>
      <c r="J64" s="3"/>
      <c r="K64" s="3"/>
    </row>
    <row r="65" spans="1:11" x14ac:dyDescent="0.3">
      <c r="A65" s="2"/>
      <c r="B65" s="3"/>
      <c r="C65" s="3"/>
      <c r="D65" s="3"/>
      <c r="E65" s="3"/>
      <c r="F65" s="3"/>
      <c r="G65" s="3"/>
      <c r="H65" s="3"/>
      <c r="I65" s="3"/>
      <c r="J65" s="3"/>
      <c r="K65" s="3"/>
    </row>
    <row r="66" spans="1:11" x14ac:dyDescent="0.3">
      <c r="A66" s="2"/>
      <c r="B66" s="3"/>
      <c r="C66" s="3"/>
      <c r="D66" s="3"/>
      <c r="E66" s="3"/>
      <c r="F66" s="3"/>
      <c r="G66" s="3"/>
      <c r="H66" s="3"/>
      <c r="I66" s="3"/>
      <c r="J66" s="3"/>
      <c r="K66" s="3"/>
    </row>
    <row r="67" spans="1:11" x14ac:dyDescent="0.3">
      <c r="A67" s="2"/>
      <c r="B67" s="3"/>
      <c r="C67" s="3"/>
      <c r="D67" s="3"/>
      <c r="E67" s="3"/>
      <c r="F67" s="3"/>
      <c r="G67" s="3"/>
      <c r="H67" s="3"/>
      <c r="I67" s="3"/>
      <c r="J67" s="3"/>
      <c r="K67" s="3"/>
    </row>
    <row r="68" spans="1:11" x14ac:dyDescent="0.3">
      <c r="A68" s="2"/>
      <c r="B68" s="3"/>
      <c r="C68" s="3"/>
      <c r="D68" s="3"/>
      <c r="E68" s="3"/>
      <c r="F68" s="3"/>
      <c r="G68" s="3"/>
      <c r="H68" s="3"/>
      <c r="I68" s="3"/>
      <c r="J68" s="3"/>
      <c r="K68" s="3"/>
    </row>
    <row r="69" spans="1:11" x14ac:dyDescent="0.3">
      <c r="A69" s="2"/>
      <c r="B69" s="3"/>
      <c r="C69" s="3"/>
      <c r="D69" s="3"/>
      <c r="E69" s="3"/>
      <c r="F69" s="3"/>
      <c r="G69" s="3"/>
      <c r="H69" s="3"/>
      <c r="I69" s="3"/>
      <c r="J69" s="3"/>
      <c r="K69" s="3"/>
    </row>
    <row r="70" spans="1:11" x14ac:dyDescent="0.3">
      <c r="A70" s="2"/>
      <c r="B70" s="3"/>
      <c r="C70" s="3"/>
      <c r="D70" s="3"/>
      <c r="E70" s="3"/>
      <c r="F70" s="3"/>
      <c r="G70" s="3"/>
      <c r="H70" s="3"/>
      <c r="I70" s="3"/>
      <c r="J70" s="3"/>
      <c r="K70" s="3"/>
    </row>
    <row r="71" spans="1:11" x14ac:dyDescent="0.3">
      <c r="A71" s="2"/>
      <c r="B71" s="3"/>
      <c r="C71" s="3"/>
      <c r="D71" s="3"/>
      <c r="E71" s="3"/>
      <c r="F71" s="3"/>
      <c r="G71" s="3"/>
      <c r="H71" s="3"/>
      <c r="I71" s="3"/>
      <c r="J71" s="3"/>
      <c r="K71" s="3"/>
    </row>
    <row r="72" spans="1:11" x14ac:dyDescent="0.3">
      <c r="A72" s="2"/>
      <c r="B72" s="3"/>
      <c r="C72" s="3"/>
      <c r="D72" s="3"/>
      <c r="E72" s="3"/>
      <c r="F72" s="3"/>
      <c r="G72" s="3"/>
      <c r="H72" s="3"/>
      <c r="I72" s="3"/>
      <c r="J72" s="3"/>
      <c r="K72" s="3"/>
    </row>
    <row r="73" spans="1:11" x14ac:dyDescent="0.3">
      <c r="A73" s="2"/>
      <c r="B73" s="3"/>
      <c r="C73" s="3"/>
      <c r="D73" s="3"/>
      <c r="E73" s="3"/>
      <c r="F73" s="3"/>
      <c r="G73" s="3"/>
      <c r="H73" s="3"/>
      <c r="I73" s="3"/>
      <c r="J73" s="3"/>
      <c r="K73" s="3"/>
    </row>
    <row r="74" spans="1:11" x14ac:dyDescent="0.3">
      <c r="A74" s="2"/>
      <c r="B74" s="3"/>
      <c r="C74" s="3"/>
      <c r="D74" s="3"/>
      <c r="E74" s="3"/>
      <c r="F74" s="3"/>
      <c r="G74" s="3"/>
      <c r="H74" s="3"/>
      <c r="I74" s="3"/>
      <c r="J74" s="3"/>
      <c r="K74" s="3"/>
    </row>
    <row r="75" spans="1:11" x14ac:dyDescent="0.3">
      <c r="A75" s="2"/>
      <c r="B75" s="3"/>
      <c r="C75" s="3"/>
      <c r="D75" s="3"/>
      <c r="E75" s="3"/>
      <c r="F75" s="3"/>
      <c r="G75" s="3"/>
      <c r="H75" s="3"/>
      <c r="I75" s="3"/>
      <c r="J75" s="3"/>
      <c r="K75" s="3"/>
    </row>
    <row r="76" spans="1:11" x14ac:dyDescent="0.3">
      <c r="A76" s="2"/>
      <c r="B76" s="3"/>
      <c r="C76" s="3"/>
      <c r="D76" s="3"/>
      <c r="E76" s="3"/>
      <c r="F76" s="3"/>
      <c r="G76" s="3"/>
      <c r="H76" s="3"/>
      <c r="I76" s="3"/>
      <c r="J76" s="3"/>
      <c r="K76" s="3"/>
    </row>
    <row r="77" spans="1:11" x14ac:dyDescent="0.3">
      <c r="A77" s="2"/>
      <c r="B77" s="3"/>
      <c r="C77" s="3"/>
      <c r="D77" s="3"/>
      <c r="E77" s="3"/>
      <c r="F77" s="3"/>
      <c r="G77" s="3"/>
      <c r="H77" s="3"/>
      <c r="I77" s="3"/>
      <c r="J77" s="3"/>
      <c r="K77" s="3"/>
    </row>
    <row r="78" spans="1:11" x14ac:dyDescent="0.3">
      <c r="A78" s="2"/>
      <c r="B78" s="3"/>
      <c r="C78" s="3"/>
      <c r="D78" s="3"/>
      <c r="E78" s="3"/>
      <c r="F78" s="3"/>
      <c r="G78" s="3"/>
      <c r="H78" s="3"/>
      <c r="I78" s="3"/>
      <c r="J78" s="3"/>
      <c r="K78" s="3"/>
    </row>
    <row r="79" spans="1:11" x14ac:dyDescent="0.3">
      <c r="A79" s="2"/>
      <c r="B79" s="3"/>
      <c r="C79" s="3"/>
      <c r="D79" s="3"/>
      <c r="E79" s="3"/>
      <c r="F79" s="3"/>
      <c r="G79" s="3"/>
      <c r="H79" s="3"/>
      <c r="I79" s="3"/>
      <c r="J79" s="3"/>
      <c r="K79" s="3"/>
    </row>
    <row r="80" spans="1:11" x14ac:dyDescent="0.3">
      <c r="A80" s="2"/>
      <c r="B80" s="3"/>
      <c r="C80" s="3"/>
      <c r="D80" s="3"/>
      <c r="E80" s="3"/>
      <c r="F80" s="3"/>
      <c r="G80" s="3"/>
      <c r="H80" s="3"/>
      <c r="I80" s="3"/>
      <c r="J80" s="3"/>
      <c r="K80" s="3"/>
    </row>
    <row r="81" spans="1:11" x14ac:dyDescent="0.3">
      <c r="A81" s="2"/>
      <c r="B81" s="3"/>
      <c r="C81" s="3"/>
      <c r="D81" s="3"/>
      <c r="E81" s="3"/>
      <c r="F81" s="3"/>
      <c r="G81" s="3"/>
      <c r="H81" s="3"/>
      <c r="I81" s="3"/>
      <c r="J81" s="3"/>
      <c r="K81" s="3"/>
    </row>
    <row r="82" spans="1:11" x14ac:dyDescent="0.3">
      <c r="A82" s="2"/>
      <c r="B82" s="3"/>
      <c r="C82" s="3"/>
      <c r="D82" s="3"/>
      <c r="E82" s="3"/>
      <c r="F82" s="3"/>
      <c r="G82" s="3"/>
      <c r="H82" s="3"/>
      <c r="I82" s="3"/>
      <c r="J82" s="3"/>
      <c r="K82" s="3"/>
    </row>
    <row r="83" spans="1:11" x14ac:dyDescent="0.3">
      <c r="A83" s="2"/>
      <c r="B83" s="3"/>
      <c r="C83" s="3"/>
      <c r="D83" s="3"/>
      <c r="E83" s="3"/>
      <c r="F83" s="3"/>
      <c r="G83" s="3"/>
      <c r="H83" s="3"/>
      <c r="I83" s="3"/>
      <c r="J83" s="3"/>
      <c r="K83" s="3"/>
    </row>
    <row r="84" spans="1:11" x14ac:dyDescent="0.3">
      <c r="A84" s="2"/>
      <c r="B84" s="3"/>
      <c r="C84" s="3"/>
      <c r="D84" s="3"/>
      <c r="E84" s="3"/>
      <c r="F84" s="3"/>
      <c r="G84" s="3"/>
      <c r="H84" s="3"/>
      <c r="I84" s="3"/>
      <c r="J84" s="3"/>
      <c r="K84" s="3"/>
    </row>
    <row r="85" spans="1:11" x14ac:dyDescent="0.3">
      <c r="A85" s="2"/>
      <c r="B85" s="3"/>
      <c r="C85" s="3"/>
      <c r="D85" s="3"/>
      <c r="E85" s="3"/>
      <c r="F85" s="3"/>
      <c r="G85" s="3"/>
      <c r="H85" s="3"/>
      <c r="I85" s="3"/>
      <c r="J85" s="3"/>
      <c r="K85" s="3"/>
    </row>
    <row r="86" spans="1:11" x14ac:dyDescent="0.3">
      <c r="A86" s="2"/>
      <c r="B86" s="3"/>
      <c r="C86" s="3"/>
      <c r="D86" s="3"/>
      <c r="E86" s="3"/>
      <c r="F86" s="3"/>
      <c r="G86" s="3"/>
      <c r="H86" s="3"/>
      <c r="I86" s="3"/>
      <c r="J86" s="3"/>
      <c r="K86" s="3"/>
    </row>
    <row r="87" spans="1:11" x14ac:dyDescent="0.3">
      <c r="A87" s="2"/>
      <c r="B87" s="3"/>
      <c r="C87" s="3"/>
      <c r="D87" s="3"/>
      <c r="E87" s="3"/>
      <c r="F87" s="3"/>
      <c r="G87" s="3"/>
      <c r="H87" s="3"/>
      <c r="I87" s="3"/>
      <c r="J87" s="3"/>
      <c r="K87" s="3"/>
    </row>
    <row r="88" spans="1:11" x14ac:dyDescent="0.3">
      <c r="B88" s="3"/>
      <c r="C88" s="3"/>
      <c r="D88" s="3"/>
      <c r="E88" s="3"/>
      <c r="F88" s="3"/>
      <c r="G88" s="3"/>
      <c r="H88" s="3"/>
      <c r="I88" s="3"/>
      <c r="J88" s="3"/>
      <c r="K88" s="3"/>
    </row>
    <row r="89" spans="1:11" x14ac:dyDescent="0.3">
      <c r="B89" s="3"/>
      <c r="C89" s="3"/>
      <c r="D89" s="3"/>
      <c r="E89" s="3"/>
      <c r="F89" s="3"/>
      <c r="G89" s="3"/>
      <c r="H89" s="3"/>
      <c r="I89" s="3"/>
      <c r="J89" s="3"/>
      <c r="K89" s="3"/>
    </row>
    <row r="90" spans="1:11" x14ac:dyDescent="0.3">
      <c r="B90" s="3"/>
      <c r="C90" s="3"/>
      <c r="D90" s="3"/>
      <c r="E90" s="3"/>
      <c r="F90" s="3"/>
      <c r="G90" s="3"/>
      <c r="H90" s="3"/>
      <c r="I90" s="3"/>
      <c r="J90" s="3"/>
      <c r="K90" s="3"/>
    </row>
    <row r="91" spans="1:11" x14ac:dyDescent="0.3">
      <c r="B91" s="3"/>
      <c r="C91" s="3"/>
      <c r="D91" s="3"/>
      <c r="E91" s="3"/>
      <c r="F91" s="3"/>
      <c r="G91" s="3"/>
      <c r="H91" s="3"/>
      <c r="I91" s="3"/>
      <c r="J91" s="3"/>
      <c r="K91" s="3"/>
    </row>
    <row r="92" spans="1:11" x14ac:dyDescent="0.3">
      <c r="B92" s="3"/>
      <c r="C92" s="3"/>
      <c r="D92" s="3"/>
      <c r="E92" s="3"/>
      <c r="F92" s="3"/>
      <c r="G92" s="3"/>
      <c r="H92" s="3"/>
      <c r="I92" s="3"/>
      <c r="J92" s="3"/>
      <c r="K92" s="3"/>
    </row>
    <row r="93" spans="1:11" x14ac:dyDescent="0.3">
      <c r="B93" s="3"/>
      <c r="C93" s="3"/>
      <c r="D93" s="3"/>
      <c r="E93" s="3"/>
      <c r="F93" s="3"/>
      <c r="G93" s="3"/>
      <c r="H93" s="3"/>
      <c r="I93" s="3"/>
      <c r="J93" s="3"/>
      <c r="K93" s="3"/>
    </row>
    <row r="94" spans="1:11" x14ac:dyDescent="0.3">
      <c r="B94" s="3"/>
      <c r="C94" s="3"/>
      <c r="D94" s="3"/>
      <c r="E94" s="3"/>
      <c r="F94" s="3"/>
      <c r="G94" s="3"/>
      <c r="H94" s="3"/>
      <c r="I94" s="3"/>
      <c r="J94" s="3"/>
      <c r="K94" s="3"/>
    </row>
    <row r="95" spans="1:11" x14ac:dyDescent="0.3">
      <c r="B95" s="3"/>
      <c r="C95" s="3"/>
      <c r="D95" s="3"/>
      <c r="E95" s="3"/>
      <c r="F95" s="3"/>
      <c r="G95" s="3"/>
      <c r="H95" s="3"/>
      <c r="I95" s="3"/>
      <c r="J95" s="3"/>
      <c r="K95" s="3"/>
    </row>
    <row r="96" spans="1:11" x14ac:dyDescent="0.3">
      <c r="B96" s="3"/>
      <c r="C96" s="3"/>
      <c r="D96" s="3"/>
      <c r="E96" s="3"/>
      <c r="F96" s="3"/>
      <c r="G96" s="3"/>
      <c r="H96" s="3"/>
      <c r="I96" s="3"/>
      <c r="J96" s="3"/>
      <c r="K96" s="3"/>
    </row>
    <row r="97" spans="2:11" x14ac:dyDescent="0.3">
      <c r="B97" s="3"/>
      <c r="C97" s="3"/>
      <c r="D97" s="3"/>
      <c r="E97" s="3"/>
      <c r="F97" s="3"/>
      <c r="G97" s="3"/>
      <c r="H97" s="3"/>
      <c r="I97" s="3"/>
      <c r="J97" s="3"/>
      <c r="K97" s="3"/>
    </row>
    <row r="98" spans="2:11" x14ac:dyDescent="0.3">
      <c r="B98" s="3"/>
      <c r="C98" s="3"/>
      <c r="D98" s="3"/>
      <c r="E98" s="3"/>
      <c r="F98" s="3"/>
      <c r="G98" s="3"/>
      <c r="H98" s="3"/>
      <c r="I98" s="3"/>
      <c r="J98" s="3"/>
      <c r="K98" s="3"/>
    </row>
    <row r="99" spans="2:11" x14ac:dyDescent="0.3">
      <c r="B99" s="3"/>
      <c r="C99" s="3"/>
      <c r="D99" s="3"/>
      <c r="E99" s="3"/>
      <c r="F99" s="3"/>
      <c r="G99" s="3"/>
      <c r="H99" s="3"/>
      <c r="I99" s="3"/>
      <c r="J99" s="3"/>
      <c r="K99" s="3"/>
    </row>
    <row r="100" spans="2:11" x14ac:dyDescent="0.3">
      <c r="B100" s="3"/>
      <c r="C100" s="3"/>
      <c r="D100" s="3"/>
      <c r="E100" s="3"/>
      <c r="F100" s="3"/>
      <c r="G100" s="3"/>
      <c r="H100" s="3"/>
      <c r="I100" s="3"/>
      <c r="J100" s="3"/>
      <c r="K100" s="3"/>
    </row>
    <row r="101" spans="2:11" x14ac:dyDescent="0.3">
      <c r="B101" s="3"/>
      <c r="C101" s="3"/>
      <c r="D101" s="3"/>
      <c r="E101" s="3"/>
      <c r="F101" s="3"/>
      <c r="G101" s="3"/>
      <c r="H101" s="3"/>
      <c r="I101" s="3"/>
      <c r="J101" s="3"/>
      <c r="K101" s="3"/>
    </row>
    <row r="102" spans="2:11" x14ac:dyDescent="0.3">
      <c r="B102" s="3"/>
      <c r="C102" s="3"/>
      <c r="D102" s="3"/>
      <c r="E102" s="3"/>
      <c r="F102" s="3"/>
      <c r="G102" s="3"/>
      <c r="H102" s="3"/>
      <c r="I102" s="3"/>
      <c r="J102" s="3"/>
      <c r="K102" s="3"/>
    </row>
    <row r="103" spans="2:11" x14ac:dyDescent="0.3">
      <c r="B103" s="3"/>
      <c r="C103" s="3"/>
      <c r="D103" s="3"/>
      <c r="E103" s="3"/>
      <c r="F103" s="3"/>
      <c r="G103" s="3"/>
      <c r="H103" s="3"/>
      <c r="I103" s="3"/>
      <c r="J103" s="3"/>
      <c r="K103" s="3"/>
    </row>
    <row r="104" spans="2:11" x14ac:dyDescent="0.3">
      <c r="B104" s="3"/>
      <c r="C104" s="3"/>
      <c r="D104" s="3"/>
      <c r="E104" s="3"/>
      <c r="F104" s="3"/>
      <c r="G104" s="3"/>
      <c r="H104" s="3"/>
      <c r="I104" s="3"/>
      <c r="J104" s="3"/>
      <c r="K104" s="3"/>
    </row>
    <row r="105" spans="2:11" x14ac:dyDescent="0.3">
      <c r="B105" s="3"/>
      <c r="C105" s="3"/>
      <c r="D105" s="3"/>
      <c r="E105" s="3"/>
      <c r="F105" s="3"/>
      <c r="G105" s="3"/>
      <c r="H105" s="3"/>
      <c r="I105" s="3"/>
      <c r="J105" s="3"/>
      <c r="K105" s="3"/>
    </row>
    <row r="106" spans="2:11" x14ac:dyDescent="0.3">
      <c r="B106" s="3"/>
      <c r="C106" s="3"/>
      <c r="D106" s="3"/>
      <c r="E106" s="3"/>
      <c r="F106" s="3"/>
      <c r="G106" s="3"/>
      <c r="H106" s="3"/>
      <c r="I106" s="3"/>
      <c r="J106" s="3"/>
      <c r="K106" s="3"/>
    </row>
    <row r="107" spans="2:11" x14ac:dyDescent="0.3">
      <c r="B107" s="3"/>
      <c r="C107" s="3"/>
      <c r="D107" s="3"/>
      <c r="E107" s="3"/>
      <c r="F107" s="3"/>
      <c r="G107" s="3"/>
      <c r="H107" s="3"/>
      <c r="I107" s="3"/>
      <c r="J107" s="3"/>
      <c r="K107" s="3"/>
    </row>
    <row r="108" spans="2:11" x14ac:dyDescent="0.3">
      <c r="B108" s="3"/>
      <c r="C108" s="3"/>
      <c r="D108" s="3"/>
      <c r="E108" s="3"/>
      <c r="F108" s="3"/>
      <c r="G108" s="3"/>
      <c r="H108" s="3"/>
      <c r="I108" s="3"/>
      <c r="J108" s="3"/>
      <c r="K108" s="3"/>
    </row>
    <row r="109" spans="2:11" x14ac:dyDescent="0.3">
      <c r="B109" s="3"/>
      <c r="C109" s="3"/>
      <c r="D109" s="3"/>
      <c r="E109" s="3"/>
      <c r="F109" s="3"/>
      <c r="G109" s="3"/>
      <c r="H109" s="3"/>
      <c r="I109" s="3"/>
      <c r="J109" s="3"/>
      <c r="K109" s="3"/>
    </row>
    <row r="110" spans="2:11" x14ac:dyDescent="0.3">
      <c r="B110" s="3"/>
      <c r="C110" s="3"/>
      <c r="D110" s="3"/>
      <c r="E110" s="3"/>
      <c r="F110" s="3"/>
      <c r="G110" s="3"/>
      <c r="H110" s="3"/>
      <c r="I110" s="3"/>
      <c r="J110" s="3"/>
      <c r="K110" s="3"/>
    </row>
    <row r="111" spans="2:11" x14ac:dyDescent="0.3">
      <c r="B111" s="3"/>
      <c r="C111" s="3"/>
      <c r="D111" s="3"/>
      <c r="E111" s="3"/>
      <c r="F111" s="3"/>
      <c r="G111" s="3"/>
      <c r="H111" s="3"/>
      <c r="I111" s="3"/>
      <c r="J111" s="3"/>
      <c r="K111" s="3"/>
    </row>
    <row r="112" spans="2:11" x14ac:dyDescent="0.3">
      <c r="B112" s="3"/>
      <c r="C112" s="3"/>
      <c r="D112" s="3"/>
      <c r="E112" s="3"/>
      <c r="F112" s="3"/>
      <c r="G112" s="3"/>
      <c r="H112" s="3"/>
      <c r="I112" s="3"/>
      <c r="J112" s="3"/>
      <c r="K112" s="3"/>
    </row>
    <row r="113" spans="2:11" x14ac:dyDescent="0.3">
      <c r="B113" s="3"/>
      <c r="C113" s="3"/>
      <c r="D113" s="3"/>
      <c r="E113" s="3"/>
      <c r="F113" s="3"/>
      <c r="G113" s="3"/>
      <c r="H113" s="3"/>
      <c r="I113" s="3"/>
      <c r="J113" s="3"/>
      <c r="K113" s="3"/>
    </row>
    <row r="114" spans="2:11" x14ac:dyDescent="0.3">
      <c r="B114" s="3"/>
      <c r="C114" s="3"/>
      <c r="D114" s="3"/>
      <c r="E114" s="3"/>
      <c r="F114" s="3"/>
      <c r="G114" s="3"/>
      <c r="H114" s="3"/>
      <c r="I114" s="3"/>
      <c r="J114" s="3"/>
      <c r="K114" s="3"/>
    </row>
    <row r="115" spans="2:11" x14ac:dyDescent="0.3">
      <c r="B115" s="3"/>
      <c r="C115" s="3"/>
      <c r="D115" s="3"/>
      <c r="E115" s="3"/>
      <c r="F115" s="3"/>
      <c r="G115" s="3"/>
      <c r="H115" s="3"/>
      <c r="I115" s="3"/>
      <c r="J115" s="3"/>
      <c r="K115" s="3"/>
    </row>
    <row r="116" spans="2:11" x14ac:dyDescent="0.3">
      <c r="B116" s="3"/>
      <c r="C116" s="3"/>
      <c r="D116" s="3"/>
      <c r="E116" s="3"/>
      <c r="F116" s="3"/>
      <c r="G116" s="3"/>
      <c r="H116" s="3"/>
      <c r="I116" s="3"/>
      <c r="J116" s="3"/>
      <c r="K116" s="3"/>
    </row>
    <row r="117" spans="2:11" x14ac:dyDescent="0.3">
      <c r="B117" s="3"/>
      <c r="C117" s="3"/>
      <c r="D117" s="3"/>
      <c r="E117" s="3"/>
      <c r="F117" s="3"/>
      <c r="G117" s="3"/>
      <c r="H117" s="3"/>
      <c r="I117" s="3"/>
      <c r="J117" s="3"/>
      <c r="K117" s="3"/>
    </row>
    <row r="118" spans="2:11" x14ac:dyDescent="0.3">
      <c r="B118" s="3"/>
      <c r="C118" s="3"/>
      <c r="D118" s="3"/>
      <c r="E118" s="3"/>
      <c r="F118" s="3"/>
      <c r="G118" s="3"/>
      <c r="H118" s="3"/>
      <c r="I118" s="3"/>
      <c r="J118" s="3"/>
      <c r="K118" s="3"/>
    </row>
    <row r="119" spans="2:11" x14ac:dyDescent="0.3">
      <c r="B119" s="3"/>
      <c r="C119" s="3"/>
      <c r="D119" s="3"/>
      <c r="E119" s="3"/>
      <c r="F119" s="3"/>
      <c r="G119" s="3"/>
      <c r="H119" s="3"/>
      <c r="I119" s="3"/>
      <c r="J119" s="3"/>
      <c r="K119" s="3"/>
    </row>
    <row r="120" spans="2:11" x14ac:dyDescent="0.3">
      <c r="B120" s="3"/>
      <c r="C120" s="3"/>
      <c r="D120" s="3"/>
      <c r="E120" s="3"/>
      <c r="F120" s="3"/>
      <c r="G120" s="3"/>
      <c r="H120" s="3"/>
      <c r="I120" s="3"/>
      <c r="J120" s="3"/>
      <c r="K120" s="3"/>
    </row>
    <row r="121" spans="2:11" x14ac:dyDescent="0.3">
      <c r="B121" s="3"/>
      <c r="C121" s="3"/>
      <c r="D121" s="3"/>
      <c r="E121" s="3"/>
      <c r="F121" s="3"/>
      <c r="G121" s="3"/>
      <c r="H121" s="3"/>
      <c r="I121" s="3"/>
      <c r="J121" s="3"/>
      <c r="K121" s="3"/>
    </row>
    <row r="122" spans="2:11" x14ac:dyDescent="0.3">
      <c r="B122" s="3"/>
      <c r="C122" s="3"/>
      <c r="D122" s="3"/>
      <c r="E122" s="3"/>
      <c r="F122" s="3"/>
      <c r="G122" s="3"/>
      <c r="H122" s="3"/>
      <c r="I122" s="3"/>
      <c r="J122" s="3"/>
      <c r="K122" s="3"/>
    </row>
    <row r="123" spans="2:11" x14ac:dyDescent="0.3">
      <c r="B123" s="3"/>
      <c r="C123" s="3"/>
      <c r="D123" s="3"/>
      <c r="E123" s="3"/>
      <c r="F123" s="3"/>
      <c r="G123" s="3"/>
      <c r="H123" s="3"/>
      <c r="I123" s="3"/>
      <c r="J123" s="3"/>
      <c r="K123" s="3"/>
    </row>
    <row r="124" spans="2:11" x14ac:dyDescent="0.3">
      <c r="B124" s="3"/>
      <c r="C124" s="3"/>
      <c r="D124" s="3"/>
      <c r="E124" s="3"/>
      <c r="F124" s="3"/>
      <c r="G124" s="3"/>
      <c r="H124" s="3"/>
      <c r="I124" s="3"/>
      <c r="J124" s="3"/>
      <c r="K124" s="3"/>
    </row>
    <row r="125" spans="2:11" x14ac:dyDescent="0.3">
      <c r="B125" s="3"/>
      <c r="C125" s="3"/>
      <c r="D125" s="3"/>
      <c r="E125" s="3"/>
      <c r="F125" s="3"/>
      <c r="G125" s="3"/>
      <c r="H125" s="3"/>
      <c r="I125" s="3"/>
      <c r="J125" s="3"/>
      <c r="K125" s="3"/>
    </row>
    <row r="126" spans="2:11" x14ac:dyDescent="0.3">
      <c r="B126" s="3"/>
      <c r="C126" s="3"/>
      <c r="D126" s="3"/>
      <c r="E126" s="3"/>
      <c r="F126" s="3"/>
      <c r="G126" s="3"/>
      <c r="H126" s="3"/>
      <c r="I126" s="3"/>
      <c r="J126" s="3"/>
      <c r="K126" s="3"/>
    </row>
    <row r="127" spans="2:11" x14ac:dyDescent="0.3">
      <c r="B127" s="3"/>
      <c r="C127" s="3"/>
      <c r="D127" s="3"/>
      <c r="E127" s="3"/>
      <c r="F127" s="3"/>
      <c r="G127" s="3"/>
      <c r="H127" s="3"/>
      <c r="I127" s="3"/>
      <c r="J127" s="3"/>
      <c r="K127" s="3"/>
    </row>
    <row r="128" spans="2:11" x14ac:dyDescent="0.3">
      <c r="B128" s="3"/>
      <c r="C128" s="3"/>
      <c r="D128" s="3"/>
      <c r="E128" s="3"/>
      <c r="F128" s="3"/>
      <c r="G128" s="3"/>
      <c r="H128" s="3"/>
      <c r="I128" s="3"/>
      <c r="J128" s="3"/>
      <c r="K128" s="3"/>
    </row>
    <row r="129" spans="2:11" x14ac:dyDescent="0.3">
      <c r="B129" s="3"/>
      <c r="C129" s="3"/>
      <c r="D129" s="3"/>
      <c r="E129" s="3"/>
      <c r="F129" s="3"/>
      <c r="G129" s="3"/>
      <c r="H129" s="3"/>
      <c r="I129" s="3"/>
      <c r="J129" s="3"/>
      <c r="K129" s="3"/>
    </row>
    <row r="130" spans="2:11" x14ac:dyDescent="0.3">
      <c r="B130" s="3"/>
      <c r="C130" s="3"/>
      <c r="D130" s="3"/>
      <c r="E130" s="3"/>
      <c r="F130" s="3"/>
      <c r="G130" s="3"/>
      <c r="H130" s="3"/>
      <c r="I130" s="3"/>
      <c r="J130" s="3"/>
      <c r="K130" s="3"/>
    </row>
    <row r="131" spans="2:11" x14ac:dyDescent="0.3">
      <c r="B131" s="3"/>
      <c r="C131" s="3"/>
      <c r="D131" s="3"/>
      <c r="E131" s="3"/>
      <c r="F131" s="3"/>
      <c r="G131" s="3"/>
      <c r="H131" s="3"/>
      <c r="I131" s="3"/>
      <c r="J131" s="3"/>
      <c r="K131" s="3"/>
    </row>
    <row r="132" spans="2:11" x14ac:dyDescent="0.3">
      <c r="B132" s="3"/>
      <c r="C132" s="3"/>
      <c r="D132" s="3"/>
      <c r="E132" s="3"/>
      <c r="F132" s="3"/>
      <c r="G132" s="3"/>
      <c r="H132" s="3"/>
      <c r="I132" s="3"/>
      <c r="J132" s="3"/>
      <c r="K132" s="3"/>
    </row>
    <row r="133" spans="2:11" x14ac:dyDescent="0.3">
      <c r="B133" s="3"/>
      <c r="C133" s="3"/>
      <c r="D133" s="3"/>
      <c r="E133" s="3"/>
      <c r="F133" s="3"/>
      <c r="G133" s="3"/>
      <c r="H133" s="3"/>
      <c r="I133" s="3"/>
      <c r="J133" s="3"/>
      <c r="K133" s="3"/>
    </row>
    <row r="134" spans="2:11" x14ac:dyDescent="0.3">
      <c r="B134" s="3"/>
      <c r="C134" s="3"/>
      <c r="D134" s="3"/>
      <c r="E134" s="3"/>
      <c r="F134" s="3"/>
      <c r="G134" s="3"/>
      <c r="H134" s="3"/>
      <c r="I134" s="3"/>
      <c r="J134" s="3"/>
      <c r="K134" s="3"/>
    </row>
    <row r="135" spans="2:11" x14ac:dyDescent="0.3">
      <c r="B135" s="3"/>
      <c r="C135" s="3"/>
      <c r="D135" s="3"/>
      <c r="E135" s="3"/>
      <c r="F135" s="3"/>
      <c r="G135" s="3"/>
      <c r="H135" s="3"/>
      <c r="I135" s="3"/>
      <c r="J135" s="3"/>
      <c r="K135" s="3"/>
    </row>
    <row r="136" spans="2:11" x14ac:dyDescent="0.3">
      <c r="B136" s="3"/>
      <c r="C136" s="3"/>
      <c r="D136" s="3"/>
      <c r="E136" s="3"/>
      <c r="F136" s="3"/>
      <c r="G136" s="3"/>
      <c r="H136" s="3"/>
      <c r="I136" s="3"/>
      <c r="J136" s="3"/>
      <c r="K136" s="3"/>
    </row>
    <row r="137" spans="2:11" x14ac:dyDescent="0.3">
      <c r="B137" s="3"/>
      <c r="C137" s="3"/>
      <c r="D137" s="3"/>
      <c r="E137" s="3"/>
      <c r="F137" s="3"/>
      <c r="G137" s="3"/>
      <c r="H137" s="3"/>
      <c r="I137" s="3"/>
      <c r="J137" s="3"/>
      <c r="K137" s="3"/>
    </row>
    <row r="138" spans="2:11" x14ac:dyDescent="0.3">
      <c r="B138" s="3"/>
      <c r="C138" s="3"/>
      <c r="D138" s="3"/>
      <c r="E138" s="3"/>
      <c r="F138" s="3"/>
      <c r="G138" s="3"/>
      <c r="H138" s="3"/>
      <c r="I138" s="3"/>
      <c r="J138" s="3"/>
      <c r="K138" s="3"/>
    </row>
    <row r="139" spans="2:11" x14ac:dyDescent="0.3">
      <c r="B139" s="3"/>
      <c r="C139" s="3"/>
      <c r="D139" s="3"/>
      <c r="E139" s="3"/>
      <c r="F139" s="3"/>
      <c r="G139" s="3"/>
      <c r="H139" s="3"/>
      <c r="I139" s="3"/>
      <c r="J139" s="3"/>
      <c r="K139" s="3"/>
    </row>
    <row r="140" spans="2:11" x14ac:dyDescent="0.3">
      <c r="B140" s="3"/>
      <c r="C140" s="3"/>
      <c r="D140" s="3"/>
      <c r="E140" s="3"/>
      <c r="F140" s="3"/>
      <c r="G140" s="3"/>
      <c r="H140" s="3"/>
      <c r="I140" s="3"/>
      <c r="J140" s="3"/>
      <c r="K140" s="3"/>
    </row>
    <row r="141" spans="2:11" x14ac:dyDescent="0.3">
      <c r="B141" s="3"/>
      <c r="C141" s="3"/>
      <c r="D141" s="3"/>
      <c r="E141" s="3"/>
      <c r="F141" s="3"/>
      <c r="G141" s="3"/>
      <c r="H141" s="3"/>
      <c r="I141" s="3"/>
      <c r="J141" s="3"/>
      <c r="K141" s="3"/>
    </row>
    <row r="142" spans="2:11" x14ac:dyDescent="0.3">
      <c r="B142" s="3"/>
      <c r="C142" s="3"/>
      <c r="D142" s="3"/>
      <c r="E142" s="3"/>
      <c r="F142" s="3"/>
      <c r="G142" s="3"/>
      <c r="H142" s="3"/>
      <c r="I142" s="3"/>
      <c r="J142" s="3"/>
      <c r="K142" s="3"/>
    </row>
    <row r="143" spans="2:11" x14ac:dyDescent="0.3">
      <c r="B143" s="3"/>
      <c r="C143" s="3"/>
      <c r="D143" s="3"/>
      <c r="E143" s="3"/>
      <c r="F143" s="3"/>
      <c r="G143" s="3"/>
      <c r="H143" s="3"/>
      <c r="I143" s="3"/>
      <c r="J143" s="3"/>
      <c r="K143" s="3"/>
    </row>
    <row r="144" spans="2:11" x14ac:dyDescent="0.3">
      <c r="B144" s="3"/>
      <c r="C144" s="3"/>
      <c r="D144" s="3"/>
      <c r="E144" s="3"/>
      <c r="F144" s="3"/>
      <c r="G144" s="3"/>
      <c r="H144" s="3"/>
      <c r="I144" s="3"/>
      <c r="J144" s="3"/>
      <c r="K144" s="3"/>
    </row>
    <row r="145" spans="2:11" x14ac:dyDescent="0.3">
      <c r="B145" s="3"/>
      <c r="C145" s="3"/>
      <c r="D145" s="3"/>
      <c r="E145" s="3"/>
      <c r="F145" s="3"/>
      <c r="G145" s="3"/>
      <c r="H145" s="3"/>
      <c r="I145" s="3"/>
      <c r="J145" s="3"/>
      <c r="K145" s="3"/>
    </row>
    <row r="146" spans="2:11" x14ac:dyDescent="0.3">
      <c r="B146" s="3"/>
      <c r="C146" s="3"/>
      <c r="D146" s="3"/>
      <c r="E146" s="3"/>
      <c r="F146" s="3"/>
      <c r="G146" s="3"/>
      <c r="H146" s="3"/>
      <c r="I146" s="3"/>
      <c r="J146" s="3"/>
      <c r="K146" s="3"/>
    </row>
    <row r="147" spans="2:11" x14ac:dyDescent="0.3">
      <c r="B147" s="3"/>
      <c r="C147" s="3"/>
      <c r="D147" s="3"/>
      <c r="E147" s="3"/>
      <c r="F147" s="3"/>
      <c r="G147" s="3"/>
      <c r="H147" s="3"/>
      <c r="I147" s="3"/>
      <c r="J147" s="3"/>
      <c r="K147" s="3"/>
    </row>
    <row r="148" spans="2:11" x14ac:dyDescent="0.3">
      <c r="B148" s="3"/>
      <c r="C148" s="3"/>
      <c r="D148" s="3"/>
      <c r="E148" s="3"/>
      <c r="F148" s="3"/>
      <c r="G148" s="3"/>
      <c r="H148" s="3"/>
      <c r="I148" s="3"/>
      <c r="J148" s="3"/>
      <c r="K148" s="3"/>
    </row>
    <row r="149" spans="2:11" x14ac:dyDescent="0.3">
      <c r="B149" s="3"/>
      <c r="C149" s="3"/>
      <c r="D149" s="3"/>
      <c r="E149" s="3"/>
      <c r="F149" s="3"/>
      <c r="G149" s="3"/>
      <c r="H149" s="3"/>
      <c r="I149" s="3"/>
      <c r="J149" s="3"/>
      <c r="K149" s="3"/>
    </row>
    <row r="150" spans="2:11" x14ac:dyDescent="0.3">
      <c r="B150" s="3"/>
      <c r="C150" s="3"/>
      <c r="D150" s="3"/>
      <c r="E150" s="3"/>
      <c r="F150" s="3"/>
      <c r="G150" s="3"/>
      <c r="H150" s="3"/>
      <c r="I150" s="3"/>
      <c r="J150" s="3"/>
      <c r="K150" s="3"/>
    </row>
    <row r="151" spans="2:11" x14ac:dyDescent="0.3">
      <c r="B151" s="3"/>
      <c r="C151" s="3"/>
      <c r="D151" s="3"/>
      <c r="E151" s="3"/>
      <c r="F151" s="3"/>
      <c r="G151" s="3"/>
      <c r="H151" s="3"/>
      <c r="I151" s="3"/>
      <c r="J151" s="3"/>
      <c r="K151" s="3"/>
    </row>
    <row r="152" spans="2:11" x14ac:dyDescent="0.3">
      <c r="B152" s="3"/>
      <c r="C152" s="3"/>
      <c r="D152" s="3"/>
      <c r="E152" s="3"/>
      <c r="F152" s="3"/>
      <c r="G152" s="3"/>
      <c r="H152" s="3"/>
      <c r="I152" s="3"/>
      <c r="J152" s="3"/>
      <c r="K152" s="3"/>
    </row>
    <row r="153" spans="2:11" x14ac:dyDescent="0.3">
      <c r="B153" s="3"/>
      <c r="C153" s="3"/>
      <c r="D153" s="3"/>
      <c r="E153" s="3"/>
      <c r="F153" s="3"/>
      <c r="G153" s="3"/>
      <c r="H153" s="3"/>
      <c r="I153" s="3"/>
      <c r="J153" s="3"/>
      <c r="K153" s="3"/>
    </row>
    <row r="154" spans="2:11" x14ac:dyDescent="0.3">
      <c r="B154" s="3"/>
      <c r="C154" s="3"/>
      <c r="D154" s="3"/>
      <c r="E154" s="3"/>
      <c r="F154" s="3"/>
      <c r="G154" s="3"/>
      <c r="H154" s="3"/>
      <c r="I154" s="3"/>
      <c r="J154" s="3"/>
      <c r="K154" s="3"/>
    </row>
    <row r="155" spans="2:11" x14ac:dyDescent="0.3">
      <c r="B155" s="3"/>
      <c r="C155" s="3"/>
      <c r="D155" s="3"/>
      <c r="E155" s="3"/>
      <c r="F155" s="3"/>
      <c r="G155" s="3"/>
      <c r="H155" s="3"/>
      <c r="I155" s="3"/>
      <c r="J155" s="3"/>
      <c r="K155" s="3"/>
    </row>
    <row r="156" spans="2:11" x14ac:dyDescent="0.3">
      <c r="B156" s="3"/>
      <c r="C156" s="3"/>
      <c r="D156" s="3"/>
      <c r="E156" s="3"/>
      <c r="F156" s="3"/>
      <c r="G156" s="3"/>
      <c r="H156" s="3"/>
      <c r="I156" s="3"/>
      <c r="J156" s="3"/>
      <c r="K156" s="3"/>
    </row>
    <row r="157" spans="2:11" x14ac:dyDescent="0.3">
      <c r="B157" s="3"/>
      <c r="C157" s="3"/>
      <c r="D157" s="3"/>
      <c r="E157" s="3"/>
      <c r="F157" s="3"/>
      <c r="G157" s="3"/>
      <c r="H157" s="3"/>
      <c r="I157" s="3"/>
      <c r="J157" s="3"/>
      <c r="K157" s="3"/>
    </row>
    <row r="158" spans="2:11" x14ac:dyDescent="0.3">
      <c r="B158" s="3"/>
      <c r="C158" s="3"/>
      <c r="D158" s="3"/>
      <c r="E158" s="3"/>
      <c r="F158" s="3"/>
      <c r="G158" s="3"/>
      <c r="H158" s="3"/>
      <c r="I158" s="3"/>
      <c r="J158" s="3"/>
      <c r="K158" s="3"/>
    </row>
    <row r="159" spans="2:11" x14ac:dyDescent="0.3">
      <c r="B159" s="3"/>
      <c r="C159" s="3"/>
      <c r="D159" s="3"/>
      <c r="E159" s="3"/>
      <c r="F159" s="3"/>
      <c r="G159" s="3"/>
      <c r="H159" s="3"/>
      <c r="I159" s="3"/>
      <c r="J159" s="3"/>
      <c r="K159" s="3"/>
    </row>
    <row r="160" spans="2:11" x14ac:dyDescent="0.3">
      <c r="B160" s="3"/>
      <c r="C160" s="3"/>
      <c r="D160" s="3"/>
      <c r="E160" s="3"/>
      <c r="F160" s="3"/>
      <c r="G160" s="3"/>
      <c r="H160" s="3"/>
      <c r="I160" s="3"/>
      <c r="J160" s="3"/>
      <c r="K160" s="3"/>
    </row>
    <row r="161" spans="2:11" x14ac:dyDescent="0.3">
      <c r="B161" s="3"/>
      <c r="C161" s="3"/>
      <c r="D161" s="3"/>
      <c r="E161" s="3"/>
      <c r="F161" s="3"/>
      <c r="G161" s="3"/>
      <c r="H161" s="3"/>
      <c r="I161" s="3"/>
      <c r="J161" s="3"/>
      <c r="K161" s="3"/>
    </row>
    <row r="162" spans="2:11" x14ac:dyDescent="0.3">
      <c r="B162" s="3"/>
      <c r="C162" s="3"/>
      <c r="D162" s="3"/>
      <c r="E162" s="3"/>
      <c r="F162" s="3"/>
      <c r="G162" s="3"/>
      <c r="H162" s="3"/>
      <c r="I162" s="3"/>
      <c r="J162" s="3"/>
      <c r="K162" s="3"/>
    </row>
    <row r="163" spans="2:11" x14ac:dyDescent="0.3">
      <c r="B163" s="3"/>
      <c r="C163" s="3"/>
      <c r="D163" s="3"/>
      <c r="E163" s="3"/>
      <c r="F163" s="3"/>
      <c r="G163" s="3"/>
      <c r="H163" s="3"/>
      <c r="I163" s="3"/>
      <c r="J163" s="3"/>
      <c r="K163" s="3"/>
    </row>
    <row r="164" spans="2:11" x14ac:dyDescent="0.3">
      <c r="B164" s="3"/>
      <c r="C164" s="3"/>
      <c r="D164" s="3"/>
      <c r="E164" s="3"/>
      <c r="F164" s="3"/>
      <c r="G164" s="3"/>
      <c r="H164" s="3"/>
      <c r="I164" s="3"/>
      <c r="J164" s="3"/>
      <c r="K164" s="3"/>
    </row>
    <row r="165" spans="2:11" x14ac:dyDescent="0.3">
      <c r="B165" s="3"/>
      <c r="C165" s="3"/>
      <c r="D165" s="3"/>
      <c r="E165" s="3"/>
      <c r="F165" s="3"/>
      <c r="G165" s="3"/>
      <c r="H165" s="3"/>
      <c r="I165" s="3"/>
      <c r="J165" s="3"/>
      <c r="K165" s="3"/>
    </row>
    <row r="166" spans="2:11" x14ac:dyDescent="0.3">
      <c r="B166" s="3"/>
      <c r="C166" s="3"/>
      <c r="D166" s="3"/>
      <c r="E166" s="3"/>
      <c r="F166" s="3"/>
      <c r="G166" s="3"/>
      <c r="H166" s="3"/>
      <c r="I166" s="3"/>
      <c r="J166" s="3"/>
      <c r="K166" s="3"/>
    </row>
    <row r="167" spans="2:11" x14ac:dyDescent="0.3">
      <c r="B167" s="3"/>
      <c r="C167" s="3"/>
      <c r="D167" s="3"/>
      <c r="E167" s="3"/>
      <c r="F167" s="3"/>
      <c r="G167" s="3"/>
      <c r="H167" s="3"/>
      <c r="I167" s="3"/>
      <c r="J167" s="3"/>
      <c r="K167" s="3"/>
    </row>
    <row r="168" spans="2:11" x14ac:dyDescent="0.3">
      <c r="B168" s="3"/>
      <c r="C168" s="3"/>
      <c r="D168" s="3"/>
      <c r="E168" s="3"/>
      <c r="F168" s="3"/>
      <c r="G168" s="3"/>
      <c r="H168" s="3"/>
      <c r="I168" s="3"/>
      <c r="J168" s="3"/>
      <c r="K168" s="3"/>
    </row>
    <row r="169" spans="2:11" x14ac:dyDescent="0.3">
      <c r="B169" s="3"/>
      <c r="C169" s="3"/>
      <c r="D169" s="3"/>
      <c r="E169" s="3"/>
      <c r="F169" s="3"/>
      <c r="G169" s="3"/>
      <c r="H169" s="3"/>
      <c r="I169" s="3"/>
      <c r="J169" s="3"/>
      <c r="K169" s="3"/>
    </row>
    <row r="170" spans="2:11" x14ac:dyDescent="0.3">
      <c r="B170" s="3"/>
      <c r="C170" s="3"/>
      <c r="D170" s="3"/>
      <c r="E170" s="3"/>
      <c r="F170" s="3"/>
      <c r="G170" s="3"/>
      <c r="H170" s="3"/>
      <c r="I170" s="3"/>
      <c r="J170" s="3"/>
      <c r="K170" s="3"/>
    </row>
    <row r="171" spans="2:11" x14ac:dyDescent="0.3">
      <c r="B171" s="3"/>
      <c r="C171" s="3"/>
      <c r="D171" s="3"/>
      <c r="E171" s="3"/>
      <c r="F171" s="3"/>
      <c r="G171" s="3"/>
      <c r="H171" s="3"/>
      <c r="I171" s="3"/>
      <c r="J171" s="3"/>
      <c r="K171"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B7C7CF7-3E97-45D6-813F-F6CEBE84D140}">
          <x14:formula1>
            <xm:f>'Client Name'!$A:$A</xm:f>
          </x14:formula1>
          <xm:sqref>B24:B25 O4 D29:D44 H24:H25 F24:F25 D24:D25 H29:H44 F29:F44 J29:J44 B29:B44 J24:J25 Y4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DB94-BE87-46AF-BE25-030BE6EACB93}">
  <sheetPr codeName="Sheet4"/>
  <dimension ref="A1:AF101"/>
  <sheetViews>
    <sheetView zoomScale="55" zoomScaleNormal="55" workbookViewId="0">
      <selection activeCell="L1" sqref="L1"/>
    </sheetView>
  </sheetViews>
  <sheetFormatPr defaultRowHeight="14.4" x14ac:dyDescent="0.3"/>
  <cols>
    <col min="1" max="1" width="8.88671875" style="19"/>
    <col min="2" max="2" width="28.6640625" customWidth="1"/>
    <col min="3" max="3" width="5" customWidth="1"/>
    <col min="4" max="4" width="26.88671875" bestFit="1" customWidth="1"/>
    <col min="5" max="5" width="5" customWidth="1"/>
    <col min="6" max="6" width="26.88671875" style="16" bestFit="1" customWidth="1"/>
    <col min="7" max="7" width="5" customWidth="1"/>
    <col min="8" max="8" width="26.88671875" style="16" bestFit="1" customWidth="1"/>
    <col min="9" max="9" width="5" customWidth="1"/>
    <col min="10" max="10" width="26.88671875" style="16" bestFit="1" customWidth="1"/>
    <col min="11" max="11" width="5" customWidth="1"/>
    <col min="12" max="12" width="11.109375" bestFit="1" customWidth="1"/>
    <col min="15" max="15" width="37.5546875" style="18" customWidth="1"/>
    <col min="16" max="16" width="12.5546875" style="16" bestFit="1" customWidth="1"/>
    <col min="25" max="25" width="33.33203125" customWidth="1"/>
    <col min="26" max="26" width="14.44140625" customWidth="1"/>
  </cols>
  <sheetData>
    <row r="1" spans="1:32" ht="34.950000000000003" customHeight="1" thickBot="1" x14ac:dyDescent="0.35">
      <c r="A1" s="47" t="s">
        <v>3051</v>
      </c>
      <c r="B1" s="48" t="s">
        <v>164</v>
      </c>
      <c r="C1" s="14"/>
      <c r="D1" s="14"/>
      <c r="E1" s="14"/>
      <c r="F1" s="2"/>
      <c r="G1" s="14"/>
      <c r="H1" s="2"/>
      <c r="I1" s="14"/>
      <c r="J1" s="2"/>
      <c r="K1" s="14"/>
      <c r="L1" s="1" t="s">
        <v>3144</v>
      </c>
      <c r="M1" s="1">
        <v>155</v>
      </c>
      <c r="O1" s="30" t="s">
        <v>0</v>
      </c>
      <c r="P1" s="31" t="s">
        <v>3141</v>
      </c>
      <c r="Q1" s="31"/>
      <c r="R1" s="31" t="s">
        <v>2</v>
      </c>
      <c r="S1" s="31" t="s">
        <v>3</v>
      </c>
      <c r="T1" s="31" t="s">
        <v>4</v>
      </c>
      <c r="U1" s="31" t="s">
        <v>5</v>
      </c>
      <c r="Y1" s="30" t="s">
        <v>0</v>
      </c>
      <c r="Z1" s="31" t="s">
        <v>3142</v>
      </c>
      <c r="AA1" s="31"/>
      <c r="AB1" s="31" t="s">
        <v>2</v>
      </c>
      <c r="AC1" s="31" t="s">
        <v>3</v>
      </c>
      <c r="AD1" s="31" t="s">
        <v>4</v>
      </c>
      <c r="AE1" s="31" t="s">
        <v>5</v>
      </c>
      <c r="AF1" s="31" t="s">
        <v>9</v>
      </c>
    </row>
    <row r="2" spans="1:32" x14ac:dyDescent="0.3">
      <c r="A2" s="2"/>
      <c r="B2" s="4"/>
      <c r="C2" s="4"/>
      <c r="D2" s="4"/>
      <c r="E2" s="4"/>
      <c r="F2" s="2"/>
      <c r="G2" s="4"/>
      <c r="H2" s="2"/>
      <c r="I2" s="4"/>
      <c r="J2" s="2"/>
      <c r="K2" s="4"/>
      <c r="L2" s="1"/>
      <c r="M2" s="1"/>
      <c r="O2" t="s">
        <v>1216</v>
      </c>
      <c r="P2" s="21">
        <v>0</v>
      </c>
      <c r="Q2" s="21"/>
      <c r="R2" s="22">
        <v>0</v>
      </c>
      <c r="S2" s="22">
        <v>0</v>
      </c>
      <c r="T2" s="22">
        <v>0</v>
      </c>
      <c r="U2" s="22">
        <v>0</v>
      </c>
      <c r="Y2" t="s">
        <v>1216</v>
      </c>
      <c r="Z2">
        <v>2.9</v>
      </c>
      <c r="AB2">
        <v>0</v>
      </c>
      <c r="AC2">
        <v>0</v>
      </c>
      <c r="AD2">
        <v>2.9</v>
      </c>
      <c r="AE2">
        <v>0</v>
      </c>
      <c r="AF2">
        <v>0</v>
      </c>
    </row>
    <row r="3" spans="1:32" x14ac:dyDescent="0.3">
      <c r="A3" s="2"/>
      <c r="B3" s="2" t="s">
        <v>378</v>
      </c>
      <c r="C3" s="2"/>
      <c r="D3" s="2" t="s">
        <v>576</v>
      </c>
      <c r="E3" s="2"/>
      <c r="F3" s="2" t="s">
        <v>747</v>
      </c>
      <c r="G3" s="2"/>
      <c r="H3" s="2" t="s">
        <v>897</v>
      </c>
      <c r="I3" s="2"/>
      <c r="J3" s="2" t="s">
        <v>33</v>
      </c>
      <c r="O3" t="s">
        <v>54</v>
      </c>
      <c r="P3" s="21">
        <v>35</v>
      </c>
      <c r="Q3" s="21"/>
      <c r="R3" s="22">
        <v>8</v>
      </c>
      <c r="S3" s="22">
        <v>9</v>
      </c>
      <c r="T3" s="22">
        <v>9</v>
      </c>
      <c r="U3" s="22">
        <v>9</v>
      </c>
      <c r="Y3" t="s">
        <v>54</v>
      </c>
      <c r="Z3">
        <v>111.9</v>
      </c>
      <c r="AB3">
        <v>7.81</v>
      </c>
      <c r="AC3">
        <v>25.049999999999997</v>
      </c>
      <c r="AD3">
        <v>19.39</v>
      </c>
      <c r="AE3">
        <v>19.649999999999999</v>
      </c>
      <c r="AF3">
        <v>40</v>
      </c>
    </row>
    <row r="4" spans="1:32" x14ac:dyDescent="0.3">
      <c r="A4" s="2" t="s">
        <v>13</v>
      </c>
      <c r="B4" s="5" t="s">
        <v>170</v>
      </c>
      <c r="C4" s="3">
        <v>4</v>
      </c>
      <c r="D4" s="5" t="s">
        <v>218</v>
      </c>
      <c r="E4" s="3">
        <v>5</v>
      </c>
      <c r="F4" s="85" t="s">
        <v>3145</v>
      </c>
      <c r="G4" s="3">
        <v>8</v>
      </c>
      <c r="H4" s="85" t="s">
        <v>3146</v>
      </c>
      <c r="I4" s="3">
        <v>4</v>
      </c>
      <c r="J4" s="3" t="s">
        <v>54</v>
      </c>
      <c r="K4">
        <v>7</v>
      </c>
      <c r="O4" t="s">
        <v>967</v>
      </c>
      <c r="P4" s="21">
        <v>0</v>
      </c>
      <c r="Q4" s="21"/>
      <c r="R4" s="22">
        <v>0</v>
      </c>
      <c r="S4" s="22">
        <v>0</v>
      </c>
      <c r="T4" s="22">
        <v>0</v>
      </c>
      <c r="U4" s="22">
        <v>0</v>
      </c>
      <c r="Y4" t="s">
        <v>967</v>
      </c>
      <c r="Z4">
        <v>0.33</v>
      </c>
      <c r="AB4">
        <v>0</v>
      </c>
      <c r="AC4">
        <v>0</v>
      </c>
      <c r="AD4">
        <v>0</v>
      </c>
      <c r="AE4">
        <v>0.33</v>
      </c>
      <c r="AF4">
        <v>0</v>
      </c>
    </row>
    <row r="5" spans="1:32" x14ac:dyDescent="0.3">
      <c r="A5" s="2" t="s">
        <v>13</v>
      </c>
      <c r="B5" s="5" t="s">
        <v>218</v>
      </c>
      <c r="C5" s="3">
        <v>2</v>
      </c>
      <c r="D5" s="5" t="s">
        <v>3145</v>
      </c>
      <c r="E5" s="3">
        <v>2</v>
      </c>
      <c r="F5" s="3"/>
      <c r="G5" s="3"/>
      <c r="H5" s="85" t="s">
        <v>3145</v>
      </c>
      <c r="I5" s="3">
        <v>4</v>
      </c>
      <c r="J5" s="3"/>
      <c r="O5" t="s">
        <v>170</v>
      </c>
      <c r="P5" s="21">
        <v>16</v>
      </c>
      <c r="Q5" s="21"/>
      <c r="R5" s="22">
        <v>4</v>
      </c>
      <c r="S5" s="22">
        <v>4</v>
      </c>
      <c r="T5" s="22">
        <v>4</v>
      </c>
      <c r="U5" s="22">
        <v>4</v>
      </c>
      <c r="Y5" t="s">
        <v>170</v>
      </c>
      <c r="Z5">
        <v>3.8000000000000007</v>
      </c>
      <c r="AB5">
        <v>0</v>
      </c>
      <c r="AC5">
        <v>1.3</v>
      </c>
      <c r="AD5">
        <v>0.85000000000000009</v>
      </c>
      <c r="AE5">
        <v>1.6500000000000001</v>
      </c>
      <c r="AF5">
        <v>0</v>
      </c>
    </row>
    <row r="6" spans="1:32" x14ac:dyDescent="0.3">
      <c r="A6" s="2" t="s">
        <v>13</v>
      </c>
      <c r="B6" s="5" t="s">
        <v>3146</v>
      </c>
      <c r="C6" s="3">
        <v>2</v>
      </c>
      <c r="D6" s="3" t="s">
        <v>54</v>
      </c>
      <c r="E6" s="3">
        <v>1</v>
      </c>
      <c r="F6" s="3"/>
      <c r="G6" s="3"/>
      <c r="H6" s="3"/>
      <c r="I6" s="3"/>
      <c r="J6" s="3"/>
      <c r="O6" t="s">
        <v>371</v>
      </c>
      <c r="P6" s="21">
        <v>0</v>
      </c>
      <c r="Q6" s="21"/>
      <c r="R6" s="22">
        <v>0</v>
      </c>
      <c r="S6" s="22">
        <v>0</v>
      </c>
      <c r="T6" s="22">
        <v>0</v>
      </c>
      <c r="U6" s="22">
        <v>0</v>
      </c>
      <c r="Y6" t="s">
        <v>371</v>
      </c>
      <c r="Z6">
        <v>0.65</v>
      </c>
      <c r="AB6">
        <v>0</v>
      </c>
      <c r="AC6">
        <v>0.65</v>
      </c>
      <c r="AD6">
        <v>0</v>
      </c>
      <c r="AE6">
        <v>0</v>
      </c>
      <c r="AF6">
        <v>0</v>
      </c>
    </row>
    <row r="7" spans="1:32" x14ac:dyDescent="0.3">
      <c r="A7" s="2"/>
      <c r="B7" s="3"/>
      <c r="C7" s="3"/>
      <c r="D7" s="3"/>
      <c r="E7" s="3"/>
      <c r="F7" s="3"/>
      <c r="G7" s="3"/>
      <c r="H7" s="3"/>
      <c r="I7" s="3"/>
      <c r="J7" s="3"/>
      <c r="O7" t="s">
        <v>106</v>
      </c>
      <c r="P7" s="16">
        <v>0</v>
      </c>
      <c r="R7">
        <v>0</v>
      </c>
      <c r="S7">
        <v>0</v>
      </c>
      <c r="T7">
        <v>0</v>
      </c>
      <c r="U7">
        <v>0</v>
      </c>
      <c r="Y7" t="s">
        <v>106</v>
      </c>
      <c r="Z7">
        <v>2.72</v>
      </c>
      <c r="AB7">
        <v>0</v>
      </c>
      <c r="AC7">
        <v>2.72</v>
      </c>
      <c r="AD7">
        <v>0</v>
      </c>
      <c r="AE7">
        <v>0</v>
      </c>
      <c r="AF7">
        <v>0</v>
      </c>
    </row>
    <row r="8" spans="1:32" x14ac:dyDescent="0.3">
      <c r="A8" s="2"/>
      <c r="B8" s="3"/>
      <c r="C8" s="3"/>
      <c r="D8" s="3"/>
      <c r="E8" s="3"/>
      <c r="F8" s="3"/>
      <c r="G8" s="3"/>
      <c r="H8" s="3"/>
      <c r="I8" s="3"/>
      <c r="J8" s="3"/>
      <c r="O8" s="17" t="s">
        <v>227</v>
      </c>
      <c r="P8" s="16">
        <v>0</v>
      </c>
      <c r="R8">
        <v>0</v>
      </c>
      <c r="S8">
        <v>0</v>
      </c>
      <c r="T8">
        <v>0</v>
      </c>
      <c r="U8">
        <v>0</v>
      </c>
      <c r="Y8" s="17" t="s">
        <v>227</v>
      </c>
      <c r="Z8">
        <v>1.1200000000000001</v>
      </c>
      <c r="AB8">
        <v>0</v>
      </c>
      <c r="AC8">
        <v>0</v>
      </c>
      <c r="AD8">
        <v>0</v>
      </c>
      <c r="AE8">
        <v>1.1200000000000001</v>
      </c>
      <c r="AF8">
        <v>0</v>
      </c>
    </row>
    <row r="9" spans="1:32" x14ac:dyDescent="0.3">
      <c r="A9" s="2" t="s">
        <v>14</v>
      </c>
      <c r="B9" s="5" t="s">
        <v>170</v>
      </c>
      <c r="C9" s="3">
        <v>4</v>
      </c>
      <c r="D9" s="5" t="s">
        <v>218</v>
      </c>
      <c r="E9" s="3">
        <v>5</v>
      </c>
      <c r="F9" s="85" t="s">
        <v>3145</v>
      </c>
      <c r="G9" s="3">
        <v>8</v>
      </c>
      <c r="H9" s="85" t="s">
        <v>3146</v>
      </c>
      <c r="I9" s="3">
        <v>4</v>
      </c>
      <c r="J9" s="3" t="s">
        <v>54</v>
      </c>
      <c r="K9">
        <v>8</v>
      </c>
      <c r="O9" t="s">
        <v>229</v>
      </c>
      <c r="P9" s="16">
        <v>0</v>
      </c>
      <c r="R9">
        <v>0</v>
      </c>
      <c r="S9">
        <v>0</v>
      </c>
      <c r="T9">
        <v>0</v>
      </c>
      <c r="U9">
        <v>0</v>
      </c>
      <c r="Y9" t="s">
        <v>229</v>
      </c>
      <c r="Z9">
        <v>12.77</v>
      </c>
      <c r="AB9">
        <v>0</v>
      </c>
      <c r="AC9">
        <v>6.4399999999999995</v>
      </c>
      <c r="AD9">
        <v>3.35</v>
      </c>
      <c r="AE9">
        <v>2.98</v>
      </c>
      <c r="AF9">
        <v>0</v>
      </c>
    </row>
    <row r="10" spans="1:32" x14ac:dyDescent="0.3">
      <c r="A10" s="2" t="s">
        <v>14</v>
      </c>
      <c r="B10" s="5" t="s">
        <v>218</v>
      </c>
      <c r="C10" s="3">
        <v>2</v>
      </c>
      <c r="D10" s="5" t="s">
        <v>3145</v>
      </c>
      <c r="E10" s="3">
        <v>2</v>
      </c>
      <c r="F10" s="3"/>
      <c r="G10" s="3"/>
      <c r="H10" s="85" t="s">
        <v>3145</v>
      </c>
      <c r="I10" s="3">
        <v>4</v>
      </c>
      <c r="J10" s="3"/>
      <c r="O10" t="s">
        <v>102</v>
      </c>
      <c r="P10" s="16">
        <v>0</v>
      </c>
      <c r="R10">
        <v>0</v>
      </c>
      <c r="S10">
        <v>0</v>
      </c>
      <c r="T10">
        <v>0</v>
      </c>
      <c r="U10">
        <v>0</v>
      </c>
      <c r="Y10" t="s">
        <v>102</v>
      </c>
      <c r="Z10">
        <v>0.23</v>
      </c>
      <c r="AB10">
        <v>0</v>
      </c>
      <c r="AC10">
        <v>0</v>
      </c>
      <c r="AD10">
        <v>0</v>
      </c>
      <c r="AE10">
        <v>0.23</v>
      </c>
      <c r="AF10">
        <v>0</v>
      </c>
    </row>
    <row r="11" spans="1:32" x14ac:dyDescent="0.3">
      <c r="A11" s="2" t="s">
        <v>14</v>
      </c>
      <c r="B11" s="5" t="s">
        <v>3146</v>
      </c>
      <c r="C11" s="3">
        <v>2</v>
      </c>
      <c r="D11" s="3" t="s">
        <v>54</v>
      </c>
      <c r="E11" s="3">
        <v>1</v>
      </c>
      <c r="F11" s="3"/>
      <c r="G11" s="3"/>
      <c r="H11" s="3"/>
      <c r="I11" s="3"/>
      <c r="J11" s="3"/>
      <c r="O11" s="17" t="s">
        <v>104</v>
      </c>
      <c r="P11" s="16">
        <v>0</v>
      </c>
      <c r="R11">
        <v>0</v>
      </c>
      <c r="S11">
        <v>0</v>
      </c>
      <c r="T11">
        <v>0</v>
      </c>
      <c r="U11">
        <v>0</v>
      </c>
      <c r="Y11" s="17" t="s">
        <v>104</v>
      </c>
      <c r="Z11">
        <v>2.91</v>
      </c>
      <c r="AB11">
        <v>0</v>
      </c>
      <c r="AC11">
        <v>0</v>
      </c>
      <c r="AD11">
        <v>1.51</v>
      </c>
      <c r="AE11">
        <v>1.4</v>
      </c>
      <c r="AF11">
        <v>0</v>
      </c>
    </row>
    <row r="12" spans="1:32" x14ac:dyDescent="0.3">
      <c r="A12" s="2"/>
      <c r="B12" s="3"/>
      <c r="C12" s="3"/>
      <c r="D12" s="3"/>
      <c r="E12" s="3"/>
      <c r="F12" s="3"/>
      <c r="G12" s="3"/>
      <c r="H12" s="3"/>
      <c r="I12" s="3"/>
      <c r="J12" s="3"/>
      <c r="O12" t="s">
        <v>3146</v>
      </c>
      <c r="P12" s="16">
        <v>24</v>
      </c>
      <c r="R12">
        <v>6</v>
      </c>
      <c r="S12">
        <v>6</v>
      </c>
      <c r="T12">
        <v>6</v>
      </c>
      <c r="U12">
        <v>6</v>
      </c>
      <c r="Y12" t="s">
        <v>3146</v>
      </c>
      <c r="Z12">
        <v>0</v>
      </c>
      <c r="AB12">
        <v>0</v>
      </c>
      <c r="AC12">
        <v>0</v>
      </c>
      <c r="AD12">
        <v>0</v>
      </c>
      <c r="AE12">
        <v>0</v>
      </c>
      <c r="AF12">
        <v>0</v>
      </c>
    </row>
    <row r="13" spans="1:32" x14ac:dyDescent="0.3">
      <c r="A13" s="2"/>
      <c r="B13" s="3"/>
      <c r="C13" s="3"/>
      <c r="D13" s="3"/>
      <c r="E13" s="3"/>
      <c r="F13" s="3"/>
      <c r="G13" s="3"/>
      <c r="H13" s="3"/>
      <c r="I13" s="3"/>
      <c r="J13" s="3"/>
      <c r="O13" t="s">
        <v>218</v>
      </c>
      <c r="P13" s="16">
        <v>28</v>
      </c>
      <c r="R13">
        <v>7</v>
      </c>
      <c r="S13">
        <v>7</v>
      </c>
      <c r="T13">
        <v>7</v>
      </c>
      <c r="U13">
        <v>7</v>
      </c>
      <c r="Y13" t="s">
        <v>218</v>
      </c>
      <c r="Z13">
        <v>0.33</v>
      </c>
      <c r="AB13">
        <v>0</v>
      </c>
      <c r="AC13">
        <v>0</v>
      </c>
      <c r="AD13">
        <v>0</v>
      </c>
      <c r="AE13">
        <v>0.33</v>
      </c>
      <c r="AF13">
        <v>0</v>
      </c>
    </row>
    <row r="14" spans="1:32" x14ac:dyDescent="0.3">
      <c r="A14" s="2" t="s">
        <v>15</v>
      </c>
      <c r="B14" s="5" t="s">
        <v>170</v>
      </c>
      <c r="C14" s="3">
        <v>4</v>
      </c>
      <c r="D14" s="5" t="s">
        <v>218</v>
      </c>
      <c r="E14" s="3">
        <v>5</v>
      </c>
      <c r="F14" s="85" t="s">
        <v>3145</v>
      </c>
      <c r="G14" s="3">
        <v>4</v>
      </c>
      <c r="H14" s="85" t="s">
        <v>3146</v>
      </c>
      <c r="I14" s="3">
        <v>4</v>
      </c>
      <c r="J14" s="3" t="s">
        <v>54</v>
      </c>
      <c r="K14">
        <v>8</v>
      </c>
      <c r="O14" t="s">
        <v>108</v>
      </c>
      <c r="P14" s="16">
        <v>0</v>
      </c>
      <c r="R14">
        <v>0</v>
      </c>
      <c r="S14">
        <v>0</v>
      </c>
      <c r="T14">
        <v>0</v>
      </c>
      <c r="U14">
        <v>0</v>
      </c>
      <c r="Y14" t="s">
        <v>108</v>
      </c>
      <c r="Z14">
        <v>0.48</v>
      </c>
      <c r="AB14">
        <v>0</v>
      </c>
      <c r="AC14">
        <v>0</v>
      </c>
      <c r="AD14">
        <v>0</v>
      </c>
      <c r="AE14">
        <v>0.48</v>
      </c>
      <c r="AF14">
        <v>0</v>
      </c>
    </row>
    <row r="15" spans="1:32" x14ac:dyDescent="0.3">
      <c r="A15" s="2" t="s">
        <v>15</v>
      </c>
      <c r="B15" s="5" t="s">
        <v>218</v>
      </c>
      <c r="C15" s="3">
        <v>2</v>
      </c>
      <c r="D15" s="5" t="s">
        <v>3145</v>
      </c>
      <c r="E15" s="3">
        <v>2</v>
      </c>
      <c r="F15" s="3"/>
      <c r="G15" s="3"/>
      <c r="H15" s="85" t="s">
        <v>3145</v>
      </c>
      <c r="I15" s="3">
        <v>4</v>
      </c>
      <c r="J15" s="3"/>
      <c r="O15" t="s">
        <v>182</v>
      </c>
      <c r="P15" s="16">
        <v>0</v>
      </c>
      <c r="R15">
        <v>0</v>
      </c>
      <c r="S15">
        <v>0</v>
      </c>
      <c r="T15">
        <v>0</v>
      </c>
      <c r="U15">
        <v>0</v>
      </c>
      <c r="Y15" t="s">
        <v>182</v>
      </c>
      <c r="Z15">
        <v>0.18</v>
      </c>
      <c r="AB15">
        <v>0</v>
      </c>
      <c r="AC15">
        <v>0</v>
      </c>
      <c r="AD15">
        <v>0.18</v>
      </c>
      <c r="AE15">
        <v>0</v>
      </c>
      <c r="AF15">
        <v>0</v>
      </c>
    </row>
    <row r="16" spans="1:32" x14ac:dyDescent="0.3">
      <c r="A16" s="2" t="s">
        <v>15</v>
      </c>
      <c r="B16" s="5" t="s">
        <v>3146</v>
      </c>
      <c r="C16" s="3">
        <v>2</v>
      </c>
      <c r="D16" s="3" t="s">
        <v>54</v>
      </c>
      <c r="E16" s="3">
        <v>1</v>
      </c>
      <c r="F16" s="3"/>
      <c r="G16" s="3"/>
      <c r="H16" s="3"/>
      <c r="I16" s="3"/>
      <c r="J16" s="3"/>
      <c r="O16" t="s">
        <v>953</v>
      </c>
      <c r="P16" s="16">
        <v>0</v>
      </c>
      <c r="R16">
        <v>0</v>
      </c>
      <c r="S16">
        <v>0</v>
      </c>
      <c r="T16">
        <v>0</v>
      </c>
      <c r="U16">
        <v>0</v>
      </c>
      <c r="Y16" t="s">
        <v>953</v>
      </c>
      <c r="Z16">
        <v>5.16</v>
      </c>
      <c r="AB16">
        <v>0</v>
      </c>
      <c r="AC16">
        <v>0</v>
      </c>
      <c r="AD16">
        <v>5.16</v>
      </c>
      <c r="AE16">
        <v>0</v>
      </c>
      <c r="AF16">
        <v>0</v>
      </c>
    </row>
    <row r="17" spans="1:32" x14ac:dyDescent="0.3">
      <c r="A17" s="2"/>
      <c r="B17" s="3"/>
      <c r="C17" s="3"/>
      <c r="D17" s="3"/>
      <c r="E17" s="3"/>
      <c r="F17" s="3"/>
      <c r="G17" s="3"/>
      <c r="H17" s="3"/>
      <c r="I17" s="3"/>
      <c r="J17" s="3"/>
      <c r="O17" t="s">
        <v>3145</v>
      </c>
      <c r="P17" s="16">
        <v>52</v>
      </c>
      <c r="R17">
        <v>14</v>
      </c>
      <c r="S17">
        <v>14</v>
      </c>
      <c r="T17">
        <v>10</v>
      </c>
      <c r="U17">
        <v>14</v>
      </c>
      <c r="Y17" t="s">
        <v>356</v>
      </c>
      <c r="Z17">
        <v>2.38</v>
      </c>
      <c r="AB17">
        <v>0</v>
      </c>
      <c r="AC17">
        <v>2.38</v>
      </c>
      <c r="AD17">
        <v>0</v>
      </c>
      <c r="AE17">
        <v>0</v>
      </c>
      <c r="AF17">
        <v>0</v>
      </c>
    </row>
    <row r="18" spans="1:32" x14ac:dyDescent="0.3">
      <c r="A18" s="2"/>
      <c r="B18" s="3"/>
      <c r="C18" s="3"/>
      <c r="D18" s="3"/>
      <c r="E18" s="3"/>
      <c r="F18" s="3"/>
      <c r="G18" s="3"/>
      <c r="H18" s="3"/>
      <c r="I18" s="3"/>
      <c r="J18" s="3"/>
      <c r="O18" t="s">
        <v>1074</v>
      </c>
      <c r="P18" s="16">
        <v>0</v>
      </c>
      <c r="R18">
        <v>0</v>
      </c>
      <c r="S18">
        <v>0</v>
      </c>
      <c r="T18">
        <v>0</v>
      </c>
      <c r="U18">
        <v>0</v>
      </c>
      <c r="Y18" t="s">
        <v>1074</v>
      </c>
      <c r="Z18">
        <v>3.65</v>
      </c>
      <c r="AB18">
        <v>0</v>
      </c>
      <c r="AC18">
        <v>0</v>
      </c>
      <c r="AD18">
        <v>3.38</v>
      </c>
      <c r="AE18">
        <v>0.27</v>
      </c>
      <c r="AF18">
        <v>0</v>
      </c>
    </row>
    <row r="19" spans="1:32" x14ac:dyDescent="0.3">
      <c r="A19" s="2" t="s">
        <v>16</v>
      </c>
      <c r="B19" s="5" t="s">
        <v>170</v>
      </c>
      <c r="C19" s="3">
        <v>4</v>
      </c>
      <c r="D19" s="5" t="s">
        <v>218</v>
      </c>
      <c r="E19" s="3">
        <v>5</v>
      </c>
      <c r="F19" s="85" t="s">
        <v>3145</v>
      </c>
      <c r="G19" s="3">
        <v>8</v>
      </c>
      <c r="H19" s="85" t="s">
        <v>3146</v>
      </c>
      <c r="I19" s="3">
        <v>4</v>
      </c>
      <c r="J19" s="3" t="s">
        <v>54</v>
      </c>
      <c r="K19">
        <v>8</v>
      </c>
      <c r="O19" t="s">
        <v>96</v>
      </c>
      <c r="P19" s="16">
        <v>0</v>
      </c>
      <c r="R19">
        <v>0</v>
      </c>
      <c r="S19">
        <v>0</v>
      </c>
      <c r="T19">
        <v>0</v>
      </c>
      <c r="U19">
        <v>0</v>
      </c>
      <c r="Y19" t="s">
        <v>96</v>
      </c>
      <c r="Z19">
        <v>16.489999999999998</v>
      </c>
      <c r="AB19">
        <v>0</v>
      </c>
      <c r="AC19">
        <v>2.1599999999999997</v>
      </c>
      <c r="AD19">
        <v>2.64</v>
      </c>
      <c r="AE19">
        <v>11.69</v>
      </c>
      <c r="AF19">
        <v>0</v>
      </c>
    </row>
    <row r="20" spans="1:32" x14ac:dyDescent="0.3">
      <c r="A20" s="2" t="s">
        <v>16</v>
      </c>
      <c r="B20" s="5" t="s">
        <v>218</v>
      </c>
      <c r="C20" s="3">
        <v>2</v>
      </c>
      <c r="D20" s="5" t="s">
        <v>3145</v>
      </c>
      <c r="E20" s="3">
        <v>2</v>
      </c>
      <c r="F20" s="3"/>
      <c r="G20" s="3"/>
      <c r="H20" s="85" t="s">
        <v>3145</v>
      </c>
      <c r="I20" s="3">
        <v>4</v>
      </c>
      <c r="J20" s="3"/>
      <c r="O20" t="s">
        <v>1180</v>
      </c>
      <c r="P20" s="21">
        <v>0</v>
      </c>
      <c r="Q20" s="22"/>
      <c r="R20" s="22">
        <v>0</v>
      </c>
      <c r="S20" s="22">
        <v>0</v>
      </c>
      <c r="T20" s="22">
        <v>0</v>
      </c>
      <c r="U20" s="22">
        <v>0</v>
      </c>
      <c r="Y20" t="s">
        <v>1180</v>
      </c>
      <c r="Z20">
        <v>0.52</v>
      </c>
      <c r="AB20">
        <v>0</v>
      </c>
      <c r="AC20">
        <v>0</v>
      </c>
      <c r="AD20">
        <v>0.52</v>
      </c>
      <c r="AE20">
        <v>0</v>
      </c>
      <c r="AF20">
        <v>0</v>
      </c>
    </row>
    <row r="21" spans="1:32" x14ac:dyDescent="0.3">
      <c r="A21" s="2" t="s">
        <v>16</v>
      </c>
      <c r="B21" s="5" t="s">
        <v>3146</v>
      </c>
      <c r="C21" s="3">
        <v>2</v>
      </c>
      <c r="D21" s="3" t="s">
        <v>54</v>
      </c>
      <c r="E21" s="3">
        <v>1</v>
      </c>
      <c r="F21" s="3"/>
      <c r="G21" s="3"/>
      <c r="H21" s="3"/>
      <c r="I21" s="3"/>
      <c r="J21" s="3"/>
      <c r="O21"/>
      <c r="P21" s="21"/>
      <c r="R21" s="22"/>
      <c r="S21" s="22"/>
      <c r="T21" s="22"/>
      <c r="U21" s="22"/>
    </row>
    <row r="22" spans="1:32" x14ac:dyDescent="0.3">
      <c r="A22" s="2"/>
      <c r="B22" s="3"/>
      <c r="C22" s="3"/>
      <c r="D22" s="3"/>
      <c r="E22" s="3"/>
      <c r="F22" s="3"/>
      <c r="G22" s="3"/>
      <c r="H22" s="3"/>
      <c r="I22" s="3"/>
      <c r="J22" s="3"/>
      <c r="O22"/>
    </row>
    <row r="23" spans="1:32" x14ac:dyDescent="0.3">
      <c r="A23" s="2"/>
      <c r="B23" s="3"/>
      <c r="C23" s="3"/>
      <c r="D23" s="3"/>
      <c r="E23" s="3"/>
      <c r="F23" s="3"/>
      <c r="G23" s="3"/>
      <c r="H23" s="3"/>
      <c r="I23" s="3"/>
      <c r="J23" s="3"/>
      <c r="O23"/>
    </row>
    <row r="24" spans="1:32" x14ac:dyDescent="0.3">
      <c r="A24" s="2" t="s">
        <v>17</v>
      </c>
      <c r="B24" s="3"/>
      <c r="C24" s="3"/>
      <c r="D24" s="3"/>
      <c r="E24" s="3"/>
      <c r="F24" s="3"/>
      <c r="G24" s="3"/>
      <c r="H24" s="3"/>
      <c r="I24" s="3"/>
      <c r="J24" s="3"/>
      <c r="L24" s="1" t="s">
        <v>3144</v>
      </c>
      <c r="M24" s="1">
        <v>168.52000000000004</v>
      </c>
      <c r="O24"/>
    </row>
    <row r="25" spans="1:32" x14ac:dyDescent="0.3">
      <c r="A25" s="2"/>
      <c r="B25" s="2" t="s">
        <v>378</v>
      </c>
      <c r="C25" s="3"/>
      <c r="D25" s="2" t="s">
        <v>576</v>
      </c>
      <c r="E25" s="3"/>
      <c r="F25" s="2" t="s">
        <v>747</v>
      </c>
      <c r="G25" s="3"/>
      <c r="H25" s="2" t="s">
        <v>897</v>
      </c>
      <c r="I25" s="3"/>
      <c r="J25" s="2" t="s">
        <v>33</v>
      </c>
      <c r="O25"/>
    </row>
    <row r="26" spans="1:32" x14ac:dyDescent="0.3">
      <c r="A26" s="2" t="s">
        <v>13</v>
      </c>
      <c r="B26" s="3"/>
      <c r="C26" s="3"/>
      <c r="D26" s="3"/>
      <c r="E26" s="3"/>
      <c r="F26" s="3"/>
      <c r="G26" s="3"/>
      <c r="H26" s="3"/>
      <c r="I26" s="3"/>
      <c r="J26" s="3" t="s">
        <v>54</v>
      </c>
      <c r="K26">
        <v>7.81</v>
      </c>
      <c r="O26"/>
    </row>
    <row r="27" spans="1:32" x14ac:dyDescent="0.3">
      <c r="A27" s="2"/>
      <c r="B27" s="3"/>
      <c r="C27" s="3"/>
      <c r="D27" s="3"/>
      <c r="E27" s="3"/>
      <c r="F27" s="3"/>
      <c r="G27" s="3"/>
      <c r="H27" s="3"/>
      <c r="I27" s="3"/>
      <c r="J27" s="3"/>
      <c r="O27"/>
    </row>
    <row r="28" spans="1:32" x14ac:dyDescent="0.3">
      <c r="A28" s="2"/>
      <c r="B28" s="3"/>
      <c r="C28" s="3"/>
      <c r="D28" s="3"/>
      <c r="E28" s="3"/>
      <c r="F28" s="3"/>
      <c r="G28" s="3"/>
      <c r="H28" s="3"/>
      <c r="I28" s="3"/>
      <c r="J28" s="3"/>
      <c r="O28"/>
    </row>
    <row r="29" spans="1:32" x14ac:dyDescent="0.3">
      <c r="A29" s="2" t="s">
        <v>14</v>
      </c>
      <c r="B29" s="3" t="s">
        <v>54</v>
      </c>
      <c r="C29" s="3">
        <v>8</v>
      </c>
      <c r="D29" s="3" t="s">
        <v>54</v>
      </c>
      <c r="E29" s="3">
        <v>5.59</v>
      </c>
      <c r="F29" s="3" t="s">
        <v>54</v>
      </c>
      <c r="G29" s="3">
        <v>5.3100000000000005</v>
      </c>
      <c r="H29" s="3" t="s">
        <v>54</v>
      </c>
      <c r="I29" s="3">
        <v>5.9700000000000006</v>
      </c>
      <c r="J29" s="3" t="s">
        <v>54</v>
      </c>
      <c r="K29">
        <v>0.18</v>
      </c>
      <c r="O29"/>
    </row>
    <row r="30" spans="1:32" x14ac:dyDescent="0.3">
      <c r="A30" s="2" t="s">
        <v>14</v>
      </c>
      <c r="B30" s="3"/>
      <c r="C30" s="3"/>
      <c r="D30" s="3" t="s">
        <v>371</v>
      </c>
      <c r="E30" s="3">
        <v>0.65</v>
      </c>
      <c r="F30" s="3" t="s">
        <v>106</v>
      </c>
      <c r="G30" s="3">
        <v>2.72</v>
      </c>
      <c r="H30" s="3" t="s">
        <v>229</v>
      </c>
      <c r="I30" s="3">
        <v>2.2999999999999998</v>
      </c>
      <c r="J30" s="3" t="s">
        <v>170</v>
      </c>
      <c r="K30">
        <v>1.3</v>
      </c>
      <c r="O30" t="s">
        <v>3143</v>
      </c>
      <c r="P30" s="21">
        <f>SUM(P2:P29)</f>
        <v>155</v>
      </c>
      <c r="R30" s="22">
        <f>SUM(R2:R29)</f>
        <v>39</v>
      </c>
      <c r="S30" s="22">
        <f>SUM(S2:S29)</f>
        <v>40</v>
      </c>
      <c r="T30" s="22">
        <f>SUM(T2:T29)</f>
        <v>36</v>
      </c>
      <c r="U30" s="22">
        <f>SUM(U2:U29)</f>
        <v>40</v>
      </c>
      <c r="Y30" t="s">
        <v>3143</v>
      </c>
      <c r="Z30">
        <f>SUM(Z2:Z29)</f>
        <v>168.52000000000004</v>
      </c>
      <c r="AB30">
        <f>SUM(AB2:AB29)</f>
        <v>7.81</v>
      </c>
      <c r="AC30">
        <f>SUM(AC2:AC29)</f>
        <v>40.699999999999996</v>
      </c>
      <c r="AD30">
        <f>SUM(AD2:AD29)</f>
        <v>39.88000000000001</v>
      </c>
      <c r="AE30">
        <f>SUM(AE2:AE29)</f>
        <v>40.129999999999995</v>
      </c>
      <c r="AF30">
        <f>SUM(AF2:AF29)</f>
        <v>40</v>
      </c>
    </row>
    <row r="31" spans="1:32" x14ac:dyDescent="0.3">
      <c r="A31" s="19" t="s">
        <v>14</v>
      </c>
      <c r="D31" s="3" t="s">
        <v>96</v>
      </c>
      <c r="E31">
        <v>2.1599999999999997</v>
      </c>
      <c r="F31" s="3"/>
      <c r="H31" s="3"/>
      <c r="J31" s="3" t="s">
        <v>229</v>
      </c>
      <c r="K31">
        <v>4.1399999999999997</v>
      </c>
      <c r="O31"/>
      <c r="P31" s="21"/>
      <c r="R31" s="22"/>
      <c r="S31" s="22"/>
      <c r="T31" s="22"/>
      <c r="U31" s="22"/>
    </row>
    <row r="32" spans="1:32" x14ac:dyDescent="0.3">
      <c r="A32" s="19" t="s">
        <v>14</v>
      </c>
      <c r="F32" s="3"/>
      <c r="H32" s="3"/>
      <c r="J32" s="3" t="s">
        <v>356</v>
      </c>
      <c r="K32">
        <v>2.38</v>
      </c>
      <c r="O32"/>
      <c r="P32" s="21"/>
      <c r="R32" s="22"/>
      <c r="S32" s="22"/>
      <c r="T32" s="22"/>
      <c r="U32" s="22"/>
    </row>
    <row r="33" spans="1:21" x14ac:dyDescent="0.3">
      <c r="F33" s="3"/>
      <c r="H33" s="3"/>
      <c r="J33" s="3"/>
      <c r="O33"/>
    </row>
    <row r="34" spans="1:21" x14ac:dyDescent="0.3">
      <c r="H34" s="3"/>
      <c r="O34"/>
    </row>
    <row r="35" spans="1:21" x14ac:dyDescent="0.3">
      <c r="A35" s="19" t="s">
        <v>15</v>
      </c>
      <c r="B35" t="s">
        <v>1216</v>
      </c>
      <c r="C35">
        <v>0.97</v>
      </c>
      <c r="D35" t="s">
        <v>1216</v>
      </c>
      <c r="E35">
        <v>1.93</v>
      </c>
      <c r="F35" s="16" t="s">
        <v>54</v>
      </c>
      <c r="G35">
        <v>3.77</v>
      </c>
      <c r="H35" s="3" t="s">
        <v>54</v>
      </c>
      <c r="I35">
        <v>6.35</v>
      </c>
      <c r="J35" s="16" t="s">
        <v>54</v>
      </c>
      <c r="K35">
        <v>2.41</v>
      </c>
      <c r="O35"/>
    </row>
    <row r="36" spans="1:21" x14ac:dyDescent="0.3">
      <c r="A36" s="19" t="s">
        <v>15</v>
      </c>
      <c r="B36" t="s">
        <v>54</v>
      </c>
      <c r="C36">
        <v>3.57</v>
      </c>
      <c r="D36" t="s">
        <v>54</v>
      </c>
      <c r="E36">
        <v>3.29</v>
      </c>
      <c r="F36" s="16" t="s">
        <v>229</v>
      </c>
      <c r="G36">
        <v>1.85</v>
      </c>
      <c r="H36" s="3" t="s">
        <v>182</v>
      </c>
      <c r="I36">
        <v>0.18</v>
      </c>
      <c r="J36" s="16" t="s">
        <v>953</v>
      </c>
      <c r="K36">
        <v>5.16</v>
      </c>
      <c r="O36"/>
      <c r="P36" s="21"/>
      <c r="R36" s="22"/>
      <c r="S36" s="22"/>
      <c r="T36" s="22"/>
      <c r="U36" s="22"/>
    </row>
    <row r="37" spans="1:21" x14ac:dyDescent="0.3">
      <c r="A37" s="19" t="s">
        <v>15</v>
      </c>
      <c r="B37" t="s">
        <v>170</v>
      </c>
      <c r="C37">
        <v>0.57000000000000006</v>
      </c>
      <c r="D37" t="s">
        <v>170</v>
      </c>
      <c r="E37">
        <v>0.28000000000000003</v>
      </c>
      <c r="F37" s="16" t="s">
        <v>725</v>
      </c>
      <c r="G37">
        <v>0.62</v>
      </c>
      <c r="H37" s="3" t="s">
        <v>1074</v>
      </c>
      <c r="I37">
        <v>1.18</v>
      </c>
      <c r="J37" s="16" t="s">
        <v>96</v>
      </c>
      <c r="K37">
        <v>0.47</v>
      </c>
      <c r="O37"/>
      <c r="P37" s="21"/>
      <c r="R37" s="22"/>
      <c r="S37" s="22"/>
      <c r="T37" s="22"/>
      <c r="U37" s="22"/>
    </row>
    <row r="38" spans="1:21" x14ac:dyDescent="0.3">
      <c r="A38" s="19" t="s">
        <v>15</v>
      </c>
      <c r="B38" t="s">
        <v>104</v>
      </c>
      <c r="C38">
        <v>0.53</v>
      </c>
      <c r="D38" t="s">
        <v>229</v>
      </c>
      <c r="E38">
        <v>1.5</v>
      </c>
      <c r="F38" s="16" t="s">
        <v>96</v>
      </c>
      <c r="G38">
        <v>1.7999999999999998</v>
      </c>
      <c r="H38" s="16" t="s">
        <v>96</v>
      </c>
      <c r="I38">
        <v>0.37</v>
      </c>
      <c r="O38"/>
    </row>
    <row r="39" spans="1:21" x14ac:dyDescent="0.3">
      <c r="A39" s="19" t="s">
        <v>15</v>
      </c>
      <c r="B39" t="s">
        <v>1074</v>
      </c>
      <c r="C39">
        <v>1.85</v>
      </c>
      <c r="D39" t="s">
        <v>104</v>
      </c>
      <c r="E39">
        <v>0.98</v>
      </c>
      <c r="O39"/>
    </row>
    <row r="40" spans="1:21" x14ac:dyDescent="0.3">
      <c r="A40" s="19" t="s">
        <v>15</v>
      </c>
      <c r="B40" t="s">
        <v>1180</v>
      </c>
      <c r="C40">
        <v>0.52</v>
      </c>
      <c r="D40" t="s">
        <v>1074</v>
      </c>
      <c r="E40">
        <v>0.35</v>
      </c>
      <c r="O40"/>
    </row>
    <row r="41" spans="1:21" x14ac:dyDescent="0.3">
      <c r="O41"/>
    </row>
    <row r="42" spans="1:21" x14ac:dyDescent="0.3">
      <c r="O42"/>
    </row>
    <row r="43" spans="1:21" x14ac:dyDescent="0.3">
      <c r="A43" s="19" t="s">
        <v>16</v>
      </c>
      <c r="B43" t="s">
        <v>54</v>
      </c>
      <c r="C43">
        <v>6.35</v>
      </c>
      <c r="D43" t="s">
        <v>54</v>
      </c>
      <c r="E43">
        <v>2.33</v>
      </c>
      <c r="F43" s="16" t="s">
        <v>54</v>
      </c>
      <c r="G43">
        <v>2.1799999999999997</v>
      </c>
      <c r="H43" s="16" t="s">
        <v>54</v>
      </c>
      <c r="I43">
        <v>5.62</v>
      </c>
      <c r="J43" s="16" t="s">
        <v>54</v>
      </c>
      <c r="K43">
        <v>3.17</v>
      </c>
      <c r="O43"/>
    </row>
    <row r="44" spans="1:21" x14ac:dyDescent="0.3">
      <c r="A44" s="19" t="s">
        <v>16</v>
      </c>
      <c r="B44" t="s">
        <v>229</v>
      </c>
      <c r="C44">
        <v>1.08</v>
      </c>
      <c r="D44" t="s">
        <v>170</v>
      </c>
      <c r="E44">
        <v>0.53</v>
      </c>
      <c r="F44" s="16" t="s">
        <v>170</v>
      </c>
      <c r="G44">
        <v>1.1200000000000001</v>
      </c>
      <c r="H44" s="16" t="s">
        <v>967</v>
      </c>
      <c r="I44">
        <v>0.33</v>
      </c>
      <c r="J44" s="16" t="s">
        <v>227</v>
      </c>
      <c r="K44">
        <v>1.1200000000000001</v>
      </c>
      <c r="O44"/>
    </row>
    <row r="45" spans="1:21" x14ac:dyDescent="0.3">
      <c r="A45" s="19" t="s">
        <v>16</v>
      </c>
      <c r="B45" t="s">
        <v>108</v>
      </c>
      <c r="C45">
        <v>0.48</v>
      </c>
      <c r="D45" t="s">
        <v>96</v>
      </c>
      <c r="E45">
        <v>5.15</v>
      </c>
      <c r="F45" s="16" t="s">
        <v>218</v>
      </c>
      <c r="G45">
        <v>0.33</v>
      </c>
      <c r="H45" s="16" t="s">
        <v>96</v>
      </c>
      <c r="I45">
        <v>2.33</v>
      </c>
      <c r="J45" s="16" t="s">
        <v>229</v>
      </c>
      <c r="K45">
        <v>1.9</v>
      </c>
      <c r="O45"/>
    </row>
    <row r="46" spans="1:21" x14ac:dyDescent="0.3">
      <c r="A46" s="19" t="s">
        <v>16</v>
      </c>
      <c r="B46" t="s">
        <v>1074</v>
      </c>
      <c r="C46">
        <v>0.22</v>
      </c>
      <c r="F46" s="16" t="s">
        <v>1074</v>
      </c>
      <c r="G46">
        <v>0.05</v>
      </c>
      <c r="J46" s="16" t="s">
        <v>102</v>
      </c>
      <c r="K46">
        <v>0.23</v>
      </c>
      <c r="O46"/>
    </row>
    <row r="47" spans="1:21" x14ac:dyDescent="0.3">
      <c r="A47" s="19" t="s">
        <v>16</v>
      </c>
      <c r="F47" s="16" t="s">
        <v>96</v>
      </c>
      <c r="G47">
        <v>4.21</v>
      </c>
      <c r="J47" s="16" t="s">
        <v>104</v>
      </c>
      <c r="K47">
        <v>1.4</v>
      </c>
      <c r="O47"/>
    </row>
    <row r="48" spans="1:21" x14ac:dyDescent="0.3">
      <c r="O48"/>
    </row>
    <row r="49" spans="1:15" x14ac:dyDescent="0.3">
      <c r="O49"/>
    </row>
    <row r="50" spans="1:15" x14ac:dyDescent="0.3">
      <c r="A50" s="19" t="s">
        <v>18</v>
      </c>
      <c r="B50" t="s">
        <v>54</v>
      </c>
      <c r="C50">
        <v>8</v>
      </c>
      <c r="D50" t="s">
        <v>54</v>
      </c>
      <c r="E50">
        <v>8</v>
      </c>
      <c r="F50" s="16" t="s">
        <v>54</v>
      </c>
      <c r="G50">
        <v>8</v>
      </c>
      <c r="H50" s="16" t="s">
        <v>54</v>
      </c>
      <c r="I50">
        <v>8</v>
      </c>
      <c r="J50" s="16" t="s">
        <v>54</v>
      </c>
      <c r="K50">
        <v>8</v>
      </c>
      <c r="O50"/>
    </row>
    <row r="51" spans="1:15" x14ac:dyDescent="0.3">
      <c r="O51"/>
    </row>
    <row r="52" spans="1:15" x14ac:dyDescent="0.3">
      <c r="O52"/>
    </row>
    <row r="53" spans="1:15" x14ac:dyDescent="0.3">
      <c r="O53"/>
    </row>
    <row r="54" spans="1:15" x14ac:dyDescent="0.3">
      <c r="O54"/>
    </row>
    <row r="55" spans="1:15" x14ac:dyDescent="0.3">
      <c r="O55"/>
    </row>
    <row r="56" spans="1:15" x14ac:dyDescent="0.3">
      <c r="O56"/>
    </row>
    <row r="57" spans="1:15" x14ac:dyDescent="0.3">
      <c r="O57"/>
    </row>
    <row r="58" spans="1:15" x14ac:dyDescent="0.3">
      <c r="O58"/>
    </row>
    <row r="59" spans="1:15" x14ac:dyDescent="0.3">
      <c r="O59"/>
    </row>
    <row r="60" spans="1:15" x14ac:dyDescent="0.3">
      <c r="O60"/>
    </row>
    <row r="61" spans="1:15" x14ac:dyDescent="0.3">
      <c r="O61"/>
    </row>
    <row r="62" spans="1:15" x14ac:dyDescent="0.3">
      <c r="O62"/>
    </row>
    <row r="63" spans="1:15" x14ac:dyDescent="0.3">
      <c r="O63"/>
    </row>
    <row r="64" spans="1:15" x14ac:dyDescent="0.3">
      <c r="O64"/>
    </row>
    <row r="65" spans="15:15" x14ac:dyDescent="0.3">
      <c r="O65"/>
    </row>
    <row r="66" spans="15:15" x14ac:dyDescent="0.3">
      <c r="O66"/>
    </row>
    <row r="67" spans="15:15" x14ac:dyDescent="0.3">
      <c r="O67"/>
    </row>
    <row r="68" spans="15:15" x14ac:dyDescent="0.3">
      <c r="O68"/>
    </row>
    <row r="69" spans="15:15" x14ac:dyDescent="0.3">
      <c r="O69"/>
    </row>
    <row r="70" spans="15:15" x14ac:dyDescent="0.3">
      <c r="O70"/>
    </row>
    <row r="71" spans="15:15" x14ac:dyDescent="0.3">
      <c r="O71"/>
    </row>
    <row r="72" spans="15:15" x14ac:dyDescent="0.3">
      <c r="O72"/>
    </row>
    <row r="73" spans="15:15" x14ac:dyDescent="0.3">
      <c r="O73"/>
    </row>
    <row r="74" spans="15:15" x14ac:dyDescent="0.3">
      <c r="O74"/>
    </row>
    <row r="75" spans="15:15" x14ac:dyDescent="0.3">
      <c r="O75"/>
    </row>
    <row r="76" spans="15:15" x14ac:dyDescent="0.3">
      <c r="O76"/>
    </row>
    <row r="77" spans="15:15" x14ac:dyDescent="0.3">
      <c r="O77"/>
    </row>
    <row r="78" spans="15:15" x14ac:dyDescent="0.3">
      <c r="O78"/>
    </row>
    <row r="79" spans="15:15" x14ac:dyDescent="0.3">
      <c r="O79"/>
    </row>
    <row r="80" spans="15:15" x14ac:dyDescent="0.3">
      <c r="O80"/>
    </row>
    <row r="81" spans="15:15" x14ac:dyDescent="0.3">
      <c r="O81"/>
    </row>
    <row r="82" spans="15:15" x14ac:dyDescent="0.3">
      <c r="O82"/>
    </row>
    <row r="83" spans="15:15" x14ac:dyDescent="0.3">
      <c r="O83"/>
    </row>
    <row r="84" spans="15:15" x14ac:dyDescent="0.3">
      <c r="O84"/>
    </row>
    <row r="85" spans="15:15" x14ac:dyDescent="0.3">
      <c r="O85"/>
    </row>
    <row r="86" spans="15:15" x14ac:dyDescent="0.3">
      <c r="O86"/>
    </row>
    <row r="87" spans="15:15" x14ac:dyDescent="0.3">
      <c r="O87"/>
    </row>
    <row r="88" spans="15:15" x14ac:dyDescent="0.3">
      <c r="O88"/>
    </row>
    <row r="89" spans="15:15" x14ac:dyDescent="0.3">
      <c r="O89"/>
    </row>
    <row r="90" spans="15:15" x14ac:dyDescent="0.3">
      <c r="O90"/>
    </row>
    <row r="91" spans="15:15" x14ac:dyDescent="0.3">
      <c r="O91"/>
    </row>
    <row r="92" spans="15:15" x14ac:dyDescent="0.3">
      <c r="O92"/>
    </row>
    <row r="93" spans="15:15" x14ac:dyDescent="0.3">
      <c r="O93"/>
    </row>
    <row r="94" spans="15:15" x14ac:dyDescent="0.3">
      <c r="O94"/>
    </row>
    <row r="95" spans="15:15" x14ac:dyDescent="0.3">
      <c r="O95"/>
    </row>
    <row r="96" spans="15:15" x14ac:dyDescent="0.3">
      <c r="O96"/>
    </row>
    <row r="97" spans="15:15" x14ac:dyDescent="0.3">
      <c r="O97"/>
    </row>
    <row r="98" spans="15:15" x14ac:dyDescent="0.3">
      <c r="O98"/>
    </row>
    <row r="99" spans="15:15" x14ac:dyDescent="0.3">
      <c r="O99"/>
    </row>
    <row r="100" spans="15:15" x14ac:dyDescent="0.3">
      <c r="O100"/>
    </row>
    <row r="101" spans="15:15" x14ac:dyDescent="0.3">
      <c r="O101"/>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0A12E7C-B091-4D9C-871B-4010FAFA678C}">
          <x14:formula1>
            <xm:f>'Client Name'!$A:$A</xm:f>
          </x14:formula1>
          <xm:sqref>H4:H37 B4:B29 J4:J33 D4:D31 F4:F33 O4 O9 O14 Y22 O19 Y4 Y9 Y14 Y19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95CC4-7DBA-43B8-8FB8-C2361E32DD2C}">
  <sheetPr codeName="Sheet9"/>
  <dimension ref="A1:AF37"/>
  <sheetViews>
    <sheetView zoomScale="70" zoomScaleNormal="70" workbookViewId="0">
      <selection activeCell="L1" sqref="L1"/>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26.88671875" style="16" bestFit="1" customWidth="1"/>
    <col min="9" max="9" width="5" customWidth="1"/>
    <col min="10" max="10" width="26.88671875" style="16" bestFit="1" customWidth="1"/>
    <col min="11" max="11" width="5" customWidth="1"/>
    <col min="12" max="12" width="11.109375" bestFit="1" customWidth="1"/>
    <col min="15" max="15" width="45.33203125" customWidth="1"/>
    <col min="16" max="16" width="13.44140625" customWidth="1"/>
    <col min="25" max="25" width="26" customWidth="1"/>
    <col min="26" max="26" width="12.88671875" customWidth="1"/>
  </cols>
  <sheetData>
    <row r="1" spans="1:32" ht="31.95" customHeight="1" thickBot="1" x14ac:dyDescent="0.35">
      <c r="A1" s="49" t="s">
        <v>3051</v>
      </c>
      <c r="B1" s="43" t="s">
        <v>190</v>
      </c>
      <c r="C1" s="14"/>
      <c r="D1" s="2"/>
      <c r="E1" s="14"/>
      <c r="F1" s="2"/>
      <c r="G1" s="14"/>
      <c r="H1" s="2"/>
      <c r="I1" s="14"/>
      <c r="J1" s="2"/>
      <c r="K1" s="14"/>
      <c r="L1" s="1" t="s">
        <v>3144</v>
      </c>
      <c r="M1" s="1">
        <v>160</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54</v>
      </c>
      <c r="P2" s="16">
        <v>160</v>
      </c>
      <c r="Q2" s="16"/>
      <c r="R2">
        <v>40</v>
      </c>
      <c r="S2">
        <v>40</v>
      </c>
      <c r="T2">
        <v>40</v>
      </c>
      <c r="U2">
        <v>40</v>
      </c>
      <c r="Y2" t="s">
        <v>54</v>
      </c>
      <c r="Z2">
        <v>168</v>
      </c>
      <c r="AB2">
        <v>8</v>
      </c>
      <c r="AC2">
        <v>40</v>
      </c>
      <c r="AD2">
        <v>40</v>
      </c>
      <c r="AE2">
        <v>40</v>
      </c>
      <c r="AF2">
        <v>40</v>
      </c>
    </row>
    <row r="3" spans="1:32" x14ac:dyDescent="0.3">
      <c r="A3" s="2"/>
      <c r="B3" s="2" t="s">
        <v>378</v>
      </c>
      <c r="C3" s="2"/>
      <c r="D3" s="2" t="s">
        <v>576</v>
      </c>
      <c r="E3" s="2"/>
      <c r="F3" s="2" t="s">
        <v>747</v>
      </c>
      <c r="G3" s="2"/>
      <c r="H3" s="2" t="s">
        <v>897</v>
      </c>
      <c r="I3" s="2"/>
      <c r="J3" s="2" t="s">
        <v>33</v>
      </c>
      <c r="P3" s="16"/>
      <c r="Q3" s="16"/>
    </row>
    <row r="4" spans="1:32" x14ac:dyDescent="0.3">
      <c r="A4" s="2" t="s">
        <v>13</v>
      </c>
      <c r="B4" s="3" t="s">
        <v>54</v>
      </c>
      <c r="C4" s="3">
        <v>8</v>
      </c>
      <c r="D4" s="3" t="s">
        <v>54</v>
      </c>
      <c r="E4" s="3">
        <v>8</v>
      </c>
      <c r="F4" s="3" t="s">
        <v>54</v>
      </c>
      <c r="G4" s="3">
        <v>8</v>
      </c>
      <c r="H4" s="3" t="s">
        <v>54</v>
      </c>
      <c r="I4" s="3">
        <v>8</v>
      </c>
      <c r="J4" s="3" t="s">
        <v>54</v>
      </c>
      <c r="K4">
        <v>8</v>
      </c>
      <c r="P4" s="16"/>
      <c r="Q4" s="16"/>
    </row>
    <row r="5" spans="1:32" x14ac:dyDescent="0.3">
      <c r="A5" s="2"/>
      <c r="B5" s="3"/>
      <c r="C5" s="3"/>
      <c r="D5" s="3"/>
      <c r="E5" s="3"/>
      <c r="F5" s="3"/>
      <c r="G5" s="3"/>
      <c r="H5" s="3"/>
      <c r="I5" s="3"/>
      <c r="J5" s="3"/>
      <c r="P5" s="16"/>
      <c r="Q5" s="16"/>
    </row>
    <row r="6" spans="1:32" x14ac:dyDescent="0.3">
      <c r="A6" s="2"/>
      <c r="B6" s="3"/>
      <c r="C6" s="3"/>
      <c r="D6" s="3"/>
      <c r="E6" s="3"/>
      <c r="F6" s="3"/>
      <c r="G6" s="3"/>
      <c r="H6" s="3"/>
      <c r="I6" s="3"/>
      <c r="J6" s="3"/>
      <c r="P6" s="16"/>
      <c r="Q6" s="16"/>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14</v>
      </c>
      <c r="B9" s="3" t="s">
        <v>54</v>
      </c>
      <c r="C9" s="3">
        <v>8</v>
      </c>
      <c r="D9" s="3" t="s">
        <v>54</v>
      </c>
      <c r="E9" s="3">
        <v>8</v>
      </c>
      <c r="F9" s="3" t="s">
        <v>54</v>
      </c>
      <c r="G9" s="3">
        <v>8</v>
      </c>
      <c r="H9" s="3" t="s">
        <v>54</v>
      </c>
      <c r="I9" s="3">
        <v>8</v>
      </c>
      <c r="J9" s="3" t="s">
        <v>54</v>
      </c>
      <c r="K9">
        <v>8</v>
      </c>
    </row>
    <row r="10" spans="1:32" x14ac:dyDescent="0.3">
      <c r="A10" s="2"/>
      <c r="B10" s="3"/>
      <c r="C10" s="3"/>
      <c r="D10" s="3"/>
      <c r="E10" s="3"/>
      <c r="F10" s="3"/>
      <c r="G10" s="3"/>
      <c r="H10" s="3"/>
      <c r="I10" s="3"/>
      <c r="J10" s="3"/>
    </row>
    <row r="11" spans="1:32" x14ac:dyDescent="0.3">
      <c r="A11" s="2"/>
      <c r="B11" s="3"/>
      <c r="C11" s="3"/>
      <c r="D11" s="3"/>
      <c r="E11" s="3"/>
      <c r="F11" s="3"/>
      <c r="G11" s="3"/>
      <c r="H11" s="3"/>
      <c r="I11" s="3"/>
      <c r="J11" s="3"/>
    </row>
    <row r="12" spans="1:32" x14ac:dyDescent="0.3">
      <c r="A12" s="2"/>
      <c r="B12" s="3"/>
      <c r="C12" s="3"/>
      <c r="D12" s="3"/>
      <c r="E12" s="3"/>
      <c r="F12" s="3"/>
      <c r="G12" s="3"/>
      <c r="H12" s="3"/>
      <c r="I12" s="3"/>
      <c r="J12" s="3"/>
      <c r="O12" t="s">
        <v>3143</v>
      </c>
      <c r="P12">
        <f>SUM(P2:P11)</f>
        <v>160</v>
      </c>
      <c r="R12">
        <f>SUM(R2:R11)</f>
        <v>40</v>
      </c>
      <c r="S12">
        <f>SUM(S2:S11)</f>
        <v>40</v>
      </c>
      <c r="T12">
        <f>SUM(T2:T11)</f>
        <v>40</v>
      </c>
      <c r="U12">
        <f>SUM(U2:U11)</f>
        <v>40</v>
      </c>
      <c r="Y12" t="s">
        <v>3143</v>
      </c>
      <c r="Z12">
        <f>SUM(Z2:Z11)</f>
        <v>168</v>
      </c>
      <c r="AB12">
        <f>SUM(AB2:AB11)</f>
        <v>8</v>
      </c>
      <c r="AC12">
        <f>SUM(AC2:AC11)</f>
        <v>40</v>
      </c>
      <c r="AD12">
        <f>SUM(AD2:AD11)</f>
        <v>40</v>
      </c>
      <c r="AE12">
        <f>SUM(AE2:AE11)</f>
        <v>40</v>
      </c>
      <c r="AF12">
        <f>SUM(AF2:AF11)</f>
        <v>40</v>
      </c>
    </row>
    <row r="13" spans="1:32" x14ac:dyDescent="0.3">
      <c r="A13" s="2"/>
      <c r="B13" s="3"/>
      <c r="C13" s="3"/>
      <c r="D13" s="3"/>
      <c r="E13" s="3"/>
      <c r="F13" s="3"/>
      <c r="G13" s="3"/>
      <c r="H13" s="3"/>
      <c r="I13" s="3"/>
      <c r="J13" s="3"/>
    </row>
    <row r="14" spans="1:32" x14ac:dyDescent="0.3">
      <c r="A14" s="2" t="s">
        <v>15</v>
      </c>
      <c r="B14" s="3" t="s">
        <v>54</v>
      </c>
      <c r="C14" s="3">
        <v>8</v>
      </c>
      <c r="D14" s="3" t="s">
        <v>54</v>
      </c>
      <c r="E14" s="3">
        <v>8</v>
      </c>
      <c r="F14" s="3" t="s">
        <v>54</v>
      </c>
      <c r="G14" s="3">
        <v>8</v>
      </c>
      <c r="H14" s="3" t="s">
        <v>54</v>
      </c>
      <c r="I14" s="3">
        <v>8</v>
      </c>
      <c r="J14" s="3" t="s">
        <v>54</v>
      </c>
      <c r="K14">
        <v>8</v>
      </c>
    </row>
    <row r="15" spans="1:32" x14ac:dyDescent="0.3">
      <c r="A15" s="2"/>
      <c r="B15" s="3"/>
      <c r="C15" s="3"/>
      <c r="D15" s="3"/>
      <c r="E15" s="3"/>
      <c r="F15" s="3"/>
      <c r="G15" s="3"/>
      <c r="H15" s="3"/>
      <c r="I15" s="3"/>
      <c r="J15" s="3"/>
    </row>
    <row r="16" spans="1:32" x14ac:dyDescent="0.3">
      <c r="A16" s="2"/>
      <c r="B16" s="3"/>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16</v>
      </c>
      <c r="B19" s="3" t="s">
        <v>54</v>
      </c>
      <c r="C19" s="3">
        <v>8</v>
      </c>
      <c r="D19" s="3" t="s">
        <v>54</v>
      </c>
      <c r="E19" s="3">
        <v>8</v>
      </c>
      <c r="F19" s="3" t="s">
        <v>54</v>
      </c>
      <c r="G19" s="3">
        <v>8</v>
      </c>
      <c r="H19" s="3" t="s">
        <v>54</v>
      </c>
      <c r="I19" s="3">
        <v>8</v>
      </c>
      <c r="J19" s="3" t="s">
        <v>54</v>
      </c>
      <c r="K19">
        <v>8</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17</v>
      </c>
      <c r="B22" s="3"/>
      <c r="C22" s="3"/>
      <c r="D22" s="3"/>
      <c r="E22" s="3"/>
      <c r="F22" s="3"/>
      <c r="G22" s="3"/>
      <c r="H22" s="3"/>
      <c r="I22" s="3"/>
      <c r="J22" s="3"/>
      <c r="L22" s="1" t="s">
        <v>3144</v>
      </c>
      <c r="M22" s="1">
        <v>168</v>
      </c>
    </row>
    <row r="23" spans="1:13" x14ac:dyDescent="0.3">
      <c r="B23" s="2" t="s">
        <v>378</v>
      </c>
      <c r="C23" s="3"/>
      <c r="D23" s="2" t="s">
        <v>576</v>
      </c>
      <c r="E23" s="3"/>
      <c r="F23" s="2" t="s">
        <v>747</v>
      </c>
      <c r="G23" s="3"/>
      <c r="H23" s="2" t="s">
        <v>897</v>
      </c>
      <c r="I23" s="3"/>
      <c r="J23" s="2" t="s">
        <v>33</v>
      </c>
    </row>
    <row r="24" spans="1:13" x14ac:dyDescent="0.3">
      <c r="A24" s="2" t="s">
        <v>13</v>
      </c>
      <c r="B24" s="3"/>
      <c r="C24" s="3"/>
      <c r="D24" s="3"/>
      <c r="E24" s="3"/>
      <c r="F24" s="3"/>
      <c r="G24" s="3"/>
      <c r="H24" s="3"/>
      <c r="I24" s="3"/>
      <c r="J24" s="3" t="s">
        <v>54</v>
      </c>
      <c r="K24">
        <v>8</v>
      </c>
    </row>
    <row r="25" spans="1:13" x14ac:dyDescent="0.3">
      <c r="A25" s="2"/>
      <c r="B25" s="3"/>
      <c r="C25" s="3"/>
      <c r="D25" s="3"/>
      <c r="E25" s="3"/>
      <c r="F25" s="3"/>
      <c r="G25" s="3"/>
      <c r="H25" s="3"/>
      <c r="I25" s="3"/>
      <c r="J25" s="3"/>
    </row>
    <row r="26" spans="1:13" x14ac:dyDescent="0.3">
      <c r="A26" s="2"/>
      <c r="B26" s="3"/>
      <c r="C26" s="3"/>
      <c r="D26" s="3"/>
      <c r="E26" s="3"/>
      <c r="F26" s="3"/>
      <c r="G26" s="3"/>
      <c r="H26" s="3"/>
      <c r="I26" s="3"/>
      <c r="J26" s="3"/>
    </row>
    <row r="27" spans="1:13" x14ac:dyDescent="0.3">
      <c r="A27" s="2" t="s">
        <v>14</v>
      </c>
      <c r="B27" s="3" t="s">
        <v>54</v>
      </c>
      <c r="C27" s="3">
        <v>8</v>
      </c>
      <c r="D27" s="3" t="s">
        <v>54</v>
      </c>
      <c r="E27" s="3">
        <v>8</v>
      </c>
      <c r="F27" s="3" t="s">
        <v>54</v>
      </c>
      <c r="G27" s="3">
        <v>8</v>
      </c>
      <c r="H27" s="3" t="s">
        <v>54</v>
      </c>
      <c r="I27" s="3">
        <v>8</v>
      </c>
      <c r="J27" s="3" t="s">
        <v>54</v>
      </c>
      <c r="K27">
        <v>8</v>
      </c>
    </row>
    <row r="28" spans="1:13" x14ac:dyDescent="0.3">
      <c r="A28" s="2"/>
      <c r="B28" s="3"/>
      <c r="C28" s="3"/>
      <c r="D28" s="3"/>
      <c r="E28" s="3"/>
      <c r="F28" s="3"/>
      <c r="G28" s="3"/>
      <c r="H28" s="3"/>
      <c r="I28" s="3"/>
      <c r="J28" s="3"/>
    </row>
    <row r="29" spans="1:13" x14ac:dyDescent="0.3">
      <c r="A29" s="2"/>
      <c r="B29" s="3"/>
      <c r="C29" s="3"/>
      <c r="D29" s="3"/>
      <c r="E29" s="3"/>
      <c r="F29" s="3"/>
      <c r="G29" s="3"/>
      <c r="H29" s="3"/>
      <c r="I29" s="3"/>
      <c r="J29" s="3"/>
    </row>
    <row r="30" spans="1:13" x14ac:dyDescent="0.3">
      <c r="A30" s="2" t="s">
        <v>15</v>
      </c>
      <c r="B30" s="3" t="s">
        <v>54</v>
      </c>
      <c r="C30" s="3">
        <v>8</v>
      </c>
      <c r="D30" s="3" t="s">
        <v>54</v>
      </c>
      <c r="E30" s="3">
        <v>8</v>
      </c>
      <c r="F30" s="3" t="s">
        <v>54</v>
      </c>
      <c r="G30" s="3">
        <v>8</v>
      </c>
      <c r="H30" s="3" t="s">
        <v>54</v>
      </c>
      <c r="I30" s="3">
        <v>8</v>
      </c>
      <c r="J30" s="3" t="s">
        <v>54</v>
      </c>
      <c r="K30">
        <v>8</v>
      </c>
    </row>
    <row r="31" spans="1:13" x14ac:dyDescent="0.3">
      <c r="D31" s="3"/>
      <c r="F31" s="3"/>
      <c r="H31" s="3"/>
      <c r="J31" s="3"/>
    </row>
    <row r="32" spans="1:13" x14ac:dyDescent="0.3">
      <c r="F32" s="3"/>
      <c r="H32" s="3"/>
      <c r="J32" s="3"/>
    </row>
    <row r="33" spans="1:11" x14ac:dyDescent="0.3">
      <c r="A33" s="19" t="s">
        <v>16</v>
      </c>
      <c r="B33" s="16" t="s">
        <v>54</v>
      </c>
      <c r="C33">
        <v>8</v>
      </c>
      <c r="D33" s="16" t="s">
        <v>54</v>
      </c>
      <c r="E33">
        <v>8</v>
      </c>
      <c r="F33" s="3" t="s">
        <v>54</v>
      </c>
      <c r="G33">
        <v>8</v>
      </c>
      <c r="H33" s="3" t="s">
        <v>54</v>
      </c>
      <c r="I33">
        <v>8</v>
      </c>
      <c r="J33" s="3" t="s">
        <v>54</v>
      </c>
      <c r="K33">
        <v>8</v>
      </c>
    </row>
    <row r="34" spans="1:11" x14ac:dyDescent="0.3">
      <c r="H34" s="3"/>
    </row>
    <row r="35" spans="1:11" x14ac:dyDescent="0.3">
      <c r="H35" s="3"/>
    </row>
    <row r="36" spans="1:11" x14ac:dyDescent="0.3">
      <c r="A36" s="19" t="s">
        <v>18</v>
      </c>
      <c r="B36" s="16" t="s">
        <v>54</v>
      </c>
      <c r="C36">
        <v>8</v>
      </c>
      <c r="D36" s="16" t="s">
        <v>54</v>
      </c>
      <c r="E36">
        <v>8</v>
      </c>
      <c r="F36" s="16" t="s">
        <v>54</v>
      </c>
      <c r="G36">
        <v>8</v>
      </c>
      <c r="H36" s="3" t="s">
        <v>54</v>
      </c>
      <c r="I36">
        <v>8</v>
      </c>
      <c r="J36" s="16" t="s">
        <v>54</v>
      </c>
      <c r="K36">
        <v>8</v>
      </c>
    </row>
    <row r="37" spans="1:11" x14ac:dyDescent="0.3">
      <c r="H37" s="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BDCC945-BFCD-4117-8C92-862DE3F34CE3}">
          <x14:formula1>
            <xm:f>'Client Name'!$A:$A</xm:f>
          </x14:formula1>
          <xm:sqref>J4:J33 D4:D31 B4:B29 H4:H37 F4:F33 Y4:Y8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2A26E-A35A-4E38-B4A0-08C95B648750}">
  <sheetPr codeName="Sheet14"/>
  <dimension ref="A1:AF44"/>
  <sheetViews>
    <sheetView zoomScale="70" zoomScaleNormal="70" workbookViewId="0">
      <selection activeCell="B40" sqref="B40"/>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customWidth="1"/>
    <col min="25" max="25" width="26" customWidth="1"/>
    <col min="26" max="26" width="12.88671875" customWidth="1"/>
  </cols>
  <sheetData>
    <row r="1" spans="1:32" ht="31.95" customHeight="1" thickBot="1" x14ac:dyDescent="0.35">
      <c r="A1" s="49" t="s">
        <v>3051</v>
      </c>
      <c r="B1" s="43" t="s">
        <v>262</v>
      </c>
      <c r="C1" s="14"/>
      <c r="D1" s="2"/>
      <c r="E1" s="14"/>
      <c r="F1" s="2"/>
      <c r="G1" s="14"/>
      <c r="H1" s="2"/>
      <c r="I1" s="14"/>
      <c r="J1" s="2"/>
      <c r="K1" s="14"/>
      <c r="L1" s="1" t="s">
        <v>3144</v>
      </c>
      <c r="M1" s="1">
        <v>130</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263</v>
      </c>
      <c r="P2" s="16">
        <v>130</v>
      </c>
      <c r="Q2" s="16"/>
      <c r="R2">
        <v>32.5</v>
      </c>
      <c r="S2">
        <v>32.5</v>
      </c>
      <c r="T2">
        <v>32.5</v>
      </c>
      <c r="U2">
        <v>32.5</v>
      </c>
      <c r="Y2" t="s">
        <v>263</v>
      </c>
      <c r="Z2">
        <v>128.22</v>
      </c>
      <c r="AB2">
        <v>6.81</v>
      </c>
      <c r="AC2">
        <v>35.089999999999996</v>
      </c>
      <c r="AD2">
        <v>35.96</v>
      </c>
      <c r="AE2">
        <v>29.590000000000003</v>
      </c>
      <c r="AF2">
        <v>20.77</v>
      </c>
    </row>
    <row r="3" spans="1:32" x14ac:dyDescent="0.3">
      <c r="A3" s="2"/>
      <c r="B3" s="2" t="s">
        <v>378</v>
      </c>
      <c r="C3" s="2"/>
      <c r="D3" s="2" t="s">
        <v>576</v>
      </c>
      <c r="E3" s="2"/>
      <c r="F3" s="2" t="s">
        <v>747</v>
      </c>
      <c r="G3" s="2"/>
      <c r="H3" s="2" t="s">
        <v>897</v>
      </c>
      <c r="I3" s="2"/>
      <c r="J3" s="2" t="s">
        <v>33</v>
      </c>
      <c r="O3" t="s">
        <v>54</v>
      </c>
      <c r="P3" s="16">
        <v>0</v>
      </c>
      <c r="Q3" s="16"/>
      <c r="R3">
        <v>0</v>
      </c>
      <c r="S3">
        <v>0</v>
      </c>
      <c r="T3">
        <v>0</v>
      </c>
      <c r="U3">
        <v>0</v>
      </c>
      <c r="Y3" t="s">
        <v>54</v>
      </c>
      <c r="Z3">
        <v>39.129999999999995</v>
      </c>
      <c r="AB3">
        <v>1.25</v>
      </c>
      <c r="AC3">
        <v>4.67</v>
      </c>
      <c r="AD3">
        <v>3.92</v>
      </c>
      <c r="AE3">
        <v>10.239999999999998</v>
      </c>
      <c r="AF3">
        <v>19.049999999999997</v>
      </c>
    </row>
    <row r="4" spans="1:32" x14ac:dyDescent="0.3">
      <c r="A4" s="2" t="s">
        <v>13</v>
      </c>
      <c r="B4" s="5" t="s">
        <v>263</v>
      </c>
      <c r="C4" s="3">
        <v>6.5</v>
      </c>
      <c r="D4" s="5" t="s">
        <v>263</v>
      </c>
      <c r="E4" s="3">
        <v>6.5</v>
      </c>
      <c r="F4" s="5" t="s">
        <v>263</v>
      </c>
      <c r="G4" s="3">
        <v>6.5</v>
      </c>
      <c r="H4" s="5" t="s">
        <v>263</v>
      </c>
      <c r="I4" s="3">
        <v>6.5</v>
      </c>
      <c r="J4" s="5" t="s">
        <v>263</v>
      </c>
      <c r="K4" s="3">
        <v>6.5</v>
      </c>
      <c r="O4" t="s">
        <v>139</v>
      </c>
      <c r="P4" s="16">
        <v>0</v>
      </c>
      <c r="Q4" s="16"/>
      <c r="R4">
        <v>0</v>
      </c>
      <c r="S4">
        <v>0</v>
      </c>
      <c r="T4">
        <v>0</v>
      </c>
      <c r="U4">
        <v>0</v>
      </c>
      <c r="Y4" t="s">
        <v>139</v>
      </c>
      <c r="Z4">
        <v>0.23</v>
      </c>
      <c r="AB4">
        <v>0</v>
      </c>
      <c r="AC4">
        <v>0</v>
      </c>
      <c r="AD4">
        <v>0</v>
      </c>
      <c r="AE4">
        <v>0</v>
      </c>
      <c r="AF4">
        <v>0.23</v>
      </c>
    </row>
    <row r="5" spans="1:32" x14ac:dyDescent="0.3">
      <c r="A5" s="2"/>
      <c r="B5" s="5"/>
      <c r="C5" s="3"/>
      <c r="D5" s="5"/>
      <c r="E5" s="3"/>
      <c r="F5" s="3"/>
      <c r="G5" s="3"/>
      <c r="H5" s="5"/>
      <c r="I5" s="3"/>
      <c r="J5" s="3" t="s">
        <v>1180</v>
      </c>
      <c r="K5">
        <v>0.375</v>
      </c>
      <c r="O5" t="s">
        <v>1180</v>
      </c>
      <c r="P5" s="16">
        <v>0</v>
      </c>
      <c r="Q5" s="16"/>
      <c r="R5">
        <v>0</v>
      </c>
      <c r="S5">
        <v>0</v>
      </c>
      <c r="T5">
        <v>0</v>
      </c>
      <c r="U5">
        <v>0</v>
      </c>
      <c r="Y5" t="s">
        <v>1180</v>
      </c>
      <c r="Z5">
        <v>0.69</v>
      </c>
      <c r="AB5">
        <v>0</v>
      </c>
      <c r="AC5">
        <v>0.3</v>
      </c>
      <c r="AD5">
        <v>0.17</v>
      </c>
      <c r="AE5">
        <v>0.22</v>
      </c>
      <c r="AF5">
        <v>0</v>
      </c>
    </row>
    <row r="6" spans="1:32" x14ac:dyDescent="0.3">
      <c r="A6" s="2"/>
      <c r="B6" s="5"/>
      <c r="C6" s="3"/>
      <c r="D6" s="3"/>
      <c r="E6" s="3"/>
      <c r="F6" s="3"/>
      <c r="G6" s="3"/>
      <c r="H6" s="3"/>
      <c r="I6" s="3"/>
      <c r="J6" s="3"/>
      <c r="P6" s="16"/>
      <c r="Q6" s="16"/>
    </row>
    <row r="7" spans="1:32" x14ac:dyDescent="0.3">
      <c r="A7" s="2"/>
      <c r="B7" s="3"/>
      <c r="C7" s="3"/>
      <c r="D7" s="3"/>
      <c r="E7" s="3"/>
      <c r="F7" s="3"/>
      <c r="G7" s="3"/>
      <c r="H7" s="3"/>
      <c r="I7" s="3"/>
      <c r="J7" s="3"/>
    </row>
    <row r="8" spans="1:32" x14ac:dyDescent="0.3">
      <c r="A8" s="2"/>
      <c r="B8" s="3"/>
      <c r="C8" s="3"/>
      <c r="D8" s="3"/>
      <c r="E8" s="3"/>
      <c r="F8" s="3"/>
      <c r="G8" s="3"/>
      <c r="H8" s="3"/>
      <c r="I8" s="3"/>
      <c r="J8" s="3"/>
    </row>
    <row r="9" spans="1:32" x14ac:dyDescent="0.3">
      <c r="A9" s="2" t="s">
        <v>14</v>
      </c>
      <c r="B9" s="5" t="s">
        <v>263</v>
      </c>
      <c r="C9" s="3">
        <v>6.5</v>
      </c>
      <c r="D9" s="5" t="s">
        <v>263</v>
      </c>
      <c r="E9" s="3">
        <v>6.5</v>
      </c>
      <c r="F9" s="5" t="s">
        <v>263</v>
      </c>
      <c r="G9" s="3">
        <v>6.5</v>
      </c>
      <c r="H9" s="5" t="s">
        <v>263</v>
      </c>
      <c r="I9" s="3">
        <v>6.5</v>
      </c>
      <c r="J9" s="5" t="s">
        <v>263</v>
      </c>
      <c r="K9" s="3">
        <v>6.5</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15</v>
      </c>
      <c r="B14" s="5" t="s">
        <v>263</v>
      </c>
      <c r="C14" s="3">
        <v>6.5</v>
      </c>
      <c r="D14" s="5" t="s">
        <v>263</v>
      </c>
      <c r="E14" s="3">
        <v>6.5</v>
      </c>
      <c r="F14" s="5" t="s">
        <v>263</v>
      </c>
      <c r="G14" s="3">
        <v>6.5</v>
      </c>
      <c r="H14" s="5" t="s">
        <v>263</v>
      </c>
      <c r="I14" s="3">
        <v>6.5</v>
      </c>
      <c r="J14" s="5" t="s">
        <v>263</v>
      </c>
      <c r="K14" s="3">
        <v>6.5</v>
      </c>
    </row>
    <row r="15" spans="1:32" x14ac:dyDescent="0.3">
      <c r="A15" s="2"/>
      <c r="B15" s="5"/>
      <c r="C15" s="3"/>
      <c r="D15" s="5"/>
      <c r="E15" s="3"/>
      <c r="F15" s="3"/>
      <c r="G15" s="3"/>
      <c r="H15" s="5"/>
      <c r="I15" s="3"/>
      <c r="J15" s="3" t="s">
        <v>1180</v>
      </c>
      <c r="K15">
        <v>0.375</v>
      </c>
      <c r="O15" t="s">
        <v>3143</v>
      </c>
      <c r="P15">
        <f>SUM(P2:P14)</f>
        <v>130</v>
      </c>
      <c r="R15">
        <f>SUM(R2:R14)</f>
        <v>32.5</v>
      </c>
      <c r="S15">
        <f>SUM(S2:S14)</f>
        <v>32.5</v>
      </c>
      <c r="T15">
        <f>SUM(T2:T14)</f>
        <v>32.5</v>
      </c>
      <c r="U15">
        <f>SUM(U2:U14)</f>
        <v>32.5</v>
      </c>
      <c r="Y15" t="s">
        <v>3143</v>
      </c>
      <c r="Z15">
        <f>SUM(Z2:Z14)</f>
        <v>168.26999999999998</v>
      </c>
      <c r="AB15">
        <f>SUM(AB2:AB14)</f>
        <v>8.0599999999999987</v>
      </c>
      <c r="AC15">
        <f>SUM(AC2:AC14)</f>
        <v>40.059999999999995</v>
      </c>
      <c r="AD15">
        <f>SUM(AD2:AD14)</f>
        <v>40.050000000000004</v>
      </c>
      <c r="AE15">
        <f>SUM(AE2:AE14)</f>
        <v>40.049999999999997</v>
      </c>
      <c r="AF15">
        <f>SUM(AF2:AF14)</f>
        <v>40.04999999999999</v>
      </c>
    </row>
    <row r="16" spans="1:32" x14ac:dyDescent="0.3">
      <c r="A16" s="2"/>
      <c r="B16" s="5"/>
      <c r="C16" s="3"/>
      <c r="D16" s="3"/>
      <c r="E16" s="3"/>
      <c r="F16" s="3"/>
      <c r="G16" s="3"/>
      <c r="H16" s="3"/>
      <c r="I16" s="3"/>
      <c r="J16" s="3"/>
    </row>
    <row r="17" spans="1:13" x14ac:dyDescent="0.3">
      <c r="A17" s="2"/>
      <c r="B17" s="3"/>
      <c r="C17" s="3"/>
      <c r="D17" s="3"/>
      <c r="E17" s="3"/>
      <c r="F17" s="3"/>
      <c r="G17" s="3"/>
      <c r="H17" s="3"/>
      <c r="I17" s="3"/>
      <c r="J17" s="3"/>
    </row>
    <row r="18" spans="1:13" x14ac:dyDescent="0.3">
      <c r="A18" s="2"/>
      <c r="B18" s="3"/>
      <c r="C18" s="3"/>
      <c r="D18" s="3"/>
      <c r="E18" s="3"/>
      <c r="F18" s="3"/>
      <c r="G18" s="3"/>
      <c r="H18" s="3"/>
      <c r="I18" s="3"/>
      <c r="J18" s="3"/>
    </row>
    <row r="19" spans="1:13" x14ac:dyDescent="0.3">
      <c r="A19" s="2" t="s">
        <v>16</v>
      </c>
      <c r="B19" s="5" t="s">
        <v>263</v>
      </c>
      <c r="C19" s="3">
        <v>6.5</v>
      </c>
      <c r="D19" s="5" t="s">
        <v>263</v>
      </c>
      <c r="E19" s="3">
        <v>6.5</v>
      </c>
      <c r="F19" s="5" t="s">
        <v>263</v>
      </c>
      <c r="G19" s="3">
        <v>6.5</v>
      </c>
      <c r="H19" s="5" t="s">
        <v>263</v>
      </c>
      <c r="I19" s="3">
        <v>6.5</v>
      </c>
      <c r="J19" s="5" t="s">
        <v>263</v>
      </c>
      <c r="K19" s="3">
        <v>6.5</v>
      </c>
    </row>
    <row r="20" spans="1:13" x14ac:dyDescent="0.3">
      <c r="A20" s="2"/>
      <c r="B20" s="3"/>
      <c r="C20" s="3"/>
      <c r="D20" s="3"/>
      <c r="E20" s="3"/>
      <c r="F20" s="3"/>
      <c r="G20" s="3"/>
      <c r="H20" s="3"/>
      <c r="I20" s="3"/>
      <c r="J20" s="3"/>
    </row>
    <row r="21" spans="1:13" x14ac:dyDescent="0.3">
      <c r="A21" s="2"/>
      <c r="B21" s="3"/>
      <c r="C21" s="3"/>
      <c r="D21" s="3"/>
      <c r="E21" s="3"/>
      <c r="F21" s="3"/>
      <c r="G21" s="3"/>
      <c r="H21" s="3"/>
      <c r="I21" s="3"/>
      <c r="J21" s="3"/>
    </row>
    <row r="22" spans="1:13" x14ac:dyDescent="0.3">
      <c r="A22" s="2" t="s">
        <v>17</v>
      </c>
      <c r="B22" s="3"/>
      <c r="C22" s="3"/>
      <c r="D22" s="3"/>
      <c r="E22" s="3"/>
      <c r="F22" s="3"/>
      <c r="G22" s="3"/>
      <c r="H22" s="3"/>
      <c r="I22" s="3"/>
      <c r="J22" s="3"/>
      <c r="L22" s="1" t="s">
        <v>3144</v>
      </c>
      <c r="M22" s="1">
        <v>168.26999999999998</v>
      </c>
    </row>
    <row r="23" spans="1:13" x14ac:dyDescent="0.3">
      <c r="A23" s="2"/>
      <c r="B23" s="2" t="s">
        <v>378</v>
      </c>
      <c r="C23" s="3"/>
      <c r="D23" s="2" t="s">
        <v>576</v>
      </c>
      <c r="E23" s="3"/>
      <c r="F23" s="2" t="s">
        <v>747</v>
      </c>
      <c r="G23" s="3"/>
      <c r="H23" s="2" t="s">
        <v>897</v>
      </c>
      <c r="I23" s="3"/>
      <c r="J23" s="2" t="s">
        <v>33</v>
      </c>
    </row>
    <row r="24" spans="1:13" x14ac:dyDescent="0.3">
      <c r="A24" s="2" t="s">
        <v>13</v>
      </c>
      <c r="B24" s="3"/>
      <c r="C24" s="3"/>
      <c r="D24" s="3"/>
      <c r="E24" s="3"/>
      <c r="F24" s="3"/>
      <c r="G24" s="3"/>
      <c r="H24" s="3"/>
      <c r="I24" s="3"/>
      <c r="J24" s="3" t="s">
        <v>263</v>
      </c>
      <c r="K24">
        <v>6.81</v>
      </c>
    </row>
    <row r="25" spans="1:13" x14ac:dyDescent="0.3">
      <c r="A25" s="2" t="s">
        <v>13</v>
      </c>
      <c r="B25" s="3"/>
      <c r="C25" s="3"/>
      <c r="D25" s="3"/>
      <c r="E25" s="3"/>
      <c r="F25" s="3"/>
      <c r="G25" s="3"/>
      <c r="H25" s="3"/>
      <c r="I25" s="3"/>
      <c r="J25" s="3" t="s">
        <v>54</v>
      </c>
      <c r="K25">
        <v>1.25</v>
      </c>
    </row>
    <row r="26" spans="1:13" x14ac:dyDescent="0.3">
      <c r="A26" s="2"/>
      <c r="B26" s="3"/>
      <c r="C26" s="3"/>
      <c r="D26" s="3"/>
      <c r="E26" s="3"/>
      <c r="F26" s="3"/>
      <c r="G26" s="3"/>
      <c r="H26" s="3"/>
      <c r="I26" s="3"/>
      <c r="J26" s="3"/>
    </row>
    <row r="27" spans="1:13" x14ac:dyDescent="0.3">
      <c r="A27" s="2"/>
      <c r="B27" s="3"/>
      <c r="C27" s="3"/>
      <c r="D27" s="3"/>
      <c r="E27" s="3"/>
      <c r="F27" s="3"/>
      <c r="G27" s="3"/>
      <c r="H27" s="3"/>
      <c r="I27" s="3"/>
      <c r="J27" s="3"/>
    </row>
    <row r="28" spans="1:13" x14ac:dyDescent="0.3">
      <c r="A28" s="2" t="s">
        <v>14</v>
      </c>
      <c r="B28" s="3" t="s">
        <v>263</v>
      </c>
      <c r="C28" s="3">
        <v>7.5200000000000005</v>
      </c>
      <c r="D28" s="3" t="s">
        <v>263</v>
      </c>
      <c r="E28" s="3">
        <v>6.55</v>
      </c>
      <c r="F28" s="3" t="s">
        <v>263</v>
      </c>
      <c r="G28" s="3">
        <v>5.7799999999999994</v>
      </c>
      <c r="H28" s="3" t="s">
        <v>263</v>
      </c>
      <c r="I28" s="3">
        <v>7.53</v>
      </c>
      <c r="J28" s="3" t="s">
        <v>263</v>
      </c>
      <c r="K28">
        <v>7.71</v>
      </c>
    </row>
    <row r="29" spans="1:13" x14ac:dyDescent="0.3">
      <c r="A29" s="2" t="s">
        <v>14</v>
      </c>
      <c r="B29" s="3" t="s">
        <v>54</v>
      </c>
      <c r="C29" s="3">
        <v>0.5</v>
      </c>
      <c r="D29" s="3" t="s">
        <v>54</v>
      </c>
      <c r="E29" s="3">
        <v>1.45</v>
      </c>
      <c r="F29" s="3" t="s">
        <v>54</v>
      </c>
      <c r="G29" s="3">
        <v>2.2199999999999998</v>
      </c>
      <c r="H29" s="3" t="s">
        <v>54</v>
      </c>
      <c r="I29" s="3">
        <v>0.5</v>
      </c>
      <c r="J29" s="3" t="s">
        <v>1180</v>
      </c>
      <c r="K29">
        <v>0.3</v>
      </c>
    </row>
    <row r="30" spans="1:13" x14ac:dyDescent="0.3">
      <c r="A30" s="2"/>
      <c r="B30" s="3"/>
      <c r="C30" s="3"/>
      <c r="D30" s="3"/>
      <c r="E30" s="3"/>
      <c r="F30" s="3"/>
      <c r="G30" s="3"/>
      <c r="H30" s="3"/>
      <c r="I30" s="3"/>
      <c r="J30" s="3"/>
    </row>
    <row r="31" spans="1:13" x14ac:dyDescent="0.3">
      <c r="D31" s="3"/>
      <c r="F31" s="3"/>
      <c r="H31" s="3"/>
      <c r="J31" s="3"/>
    </row>
    <row r="32" spans="1:13" x14ac:dyDescent="0.3">
      <c r="A32" s="19" t="s">
        <v>15</v>
      </c>
      <c r="B32" s="16" t="s">
        <v>263</v>
      </c>
      <c r="C32">
        <v>7.5</v>
      </c>
      <c r="D32" s="16" t="s">
        <v>263</v>
      </c>
      <c r="E32">
        <v>7.5099999999999989</v>
      </c>
      <c r="F32" s="3" t="s">
        <v>263</v>
      </c>
      <c r="G32">
        <v>7.5</v>
      </c>
      <c r="H32" s="3" t="s">
        <v>263</v>
      </c>
      <c r="I32">
        <v>6.5</v>
      </c>
      <c r="J32" s="3" t="s">
        <v>263</v>
      </c>
      <c r="K32">
        <v>6.95</v>
      </c>
    </row>
    <row r="33" spans="1:11" x14ac:dyDescent="0.3">
      <c r="A33" s="19" t="s">
        <v>15</v>
      </c>
      <c r="B33" s="16" t="s">
        <v>54</v>
      </c>
      <c r="C33">
        <v>0.5</v>
      </c>
      <c r="D33" s="16" t="s">
        <v>54</v>
      </c>
      <c r="E33">
        <v>0.5</v>
      </c>
      <c r="F33" s="3" t="s">
        <v>54</v>
      </c>
      <c r="G33">
        <v>0.5</v>
      </c>
      <c r="H33" s="3" t="s">
        <v>54</v>
      </c>
      <c r="I33">
        <v>1.37</v>
      </c>
      <c r="J33" s="3" t="s">
        <v>54</v>
      </c>
      <c r="K33">
        <v>1.05</v>
      </c>
    </row>
    <row r="34" spans="1:11" x14ac:dyDescent="0.3">
      <c r="A34" s="19" t="s">
        <v>15</v>
      </c>
      <c r="H34" s="3" t="s">
        <v>1180</v>
      </c>
      <c r="I34">
        <v>0.17</v>
      </c>
    </row>
    <row r="35" spans="1:11" x14ac:dyDescent="0.3">
      <c r="H35" s="3"/>
    </row>
    <row r="36" spans="1:11" x14ac:dyDescent="0.3">
      <c r="H36" s="3"/>
    </row>
    <row r="37" spans="1:11" x14ac:dyDescent="0.3">
      <c r="A37" s="19" t="s">
        <v>16</v>
      </c>
      <c r="B37" s="16" t="s">
        <v>263</v>
      </c>
      <c r="C37">
        <v>5.1999999999999993</v>
      </c>
      <c r="D37" s="16" t="s">
        <v>263</v>
      </c>
      <c r="E37">
        <v>4.7699999999999996</v>
      </c>
      <c r="F37" s="16" t="s">
        <v>263</v>
      </c>
      <c r="G37">
        <v>4.87</v>
      </c>
      <c r="H37" s="3" t="s">
        <v>263</v>
      </c>
      <c r="I37">
        <v>7.5500000000000007</v>
      </c>
      <c r="J37" s="16" t="s">
        <v>263</v>
      </c>
      <c r="K37">
        <v>7.2</v>
      </c>
    </row>
    <row r="38" spans="1:11" x14ac:dyDescent="0.3">
      <c r="A38" s="19" t="s">
        <v>16</v>
      </c>
      <c r="B38" s="16" t="s">
        <v>54</v>
      </c>
      <c r="C38">
        <v>2.8</v>
      </c>
      <c r="D38" s="16" t="s">
        <v>54</v>
      </c>
      <c r="E38">
        <v>3.23</v>
      </c>
      <c r="F38" s="16" t="s">
        <v>54</v>
      </c>
      <c r="G38">
        <v>3.13</v>
      </c>
      <c r="H38" s="16" t="s">
        <v>54</v>
      </c>
      <c r="I38">
        <v>0.5</v>
      </c>
      <c r="J38" s="16" t="s">
        <v>54</v>
      </c>
      <c r="K38">
        <v>0.57999999999999996</v>
      </c>
    </row>
    <row r="39" spans="1:11" x14ac:dyDescent="0.3">
      <c r="A39" s="19" t="s">
        <v>16</v>
      </c>
      <c r="J39" s="16" t="s">
        <v>1180</v>
      </c>
      <c r="K39">
        <v>0.22</v>
      </c>
    </row>
    <row r="42" spans="1:11" x14ac:dyDescent="0.3">
      <c r="A42" s="19" t="s">
        <v>18</v>
      </c>
      <c r="B42" s="16" t="s">
        <v>263</v>
      </c>
      <c r="C42">
        <v>7.5600000000000005</v>
      </c>
      <c r="D42" s="16" t="s">
        <v>263</v>
      </c>
      <c r="E42">
        <v>6.63</v>
      </c>
      <c r="F42" s="16" t="s">
        <v>263</v>
      </c>
      <c r="G42">
        <v>6.58</v>
      </c>
      <c r="H42" s="16" t="s">
        <v>54</v>
      </c>
      <c r="I42">
        <v>8</v>
      </c>
      <c r="J42" s="16" t="s">
        <v>54</v>
      </c>
      <c r="K42">
        <v>8</v>
      </c>
    </row>
    <row r="43" spans="1:11" x14ac:dyDescent="0.3">
      <c r="A43" s="19" t="s">
        <v>18</v>
      </c>
      <c r="B43" s="16" t="s">
        <v>54</v>
      </c>
      <c r="C43">
        <v>0.5</v>
      </c>
      <c r="D43" s="16" t="s">
        <v>54</v>
      </c>
      <c r="E43">
        <v>1.37</v>
      </c>
      <c r="F43" s="16" t="s">
        <v>54</v>
      </c>
      <c r="G43">
        <v>1.1800000000000002</v>
      </c>
    </row>
    <row r="44" spans="1:11" x14ac:dyDescent="0.3">
      <c r="A44" s="19" t="s">
        <v>18</v>
      </c>
      <c r="F44" s="16" t="s">
        <v>139</v>
      </c>
      <c r="G44">
        <v>0.23</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A92DB4D-FDAB-47D7-A2A0-C059F8B9AC86}">
          <x14:formula1>
            <xm:f>'Client Name'!$A:$A</xm:f>
          </x14:formula1>
          <xm:sqref>D20:D31 B20:B29 H20:H37 F20:F33 J20:J33 Y6:Y8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A42B-9087-4DAC-80E8-467B80FFC12B}">
  <sheetPr codeName="Sheet15"/>
  <dimension ref="A1:AF55"/>
  <sheetViews>
    <sheetView zoomScale="70" zoomScaleNormal="70" workbookViewId="0">
      <selection activeCell="L1" sqref="L1"/>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customWidth="1"/>
    <col min="25" max="25" width="26" customWidth="1"/>
    <col min="26" max="26" width="12.88671875" customWidth="1"/>
  </cols>
  <sheetData>
    <row r="1" spans="1:32" ht="31.95" customHeight="1" thickBot="1" x14ac:dyDescent="0.35">
      <c r="A1" s="49" t="s">
        <v>3051</v>
      </c>
      <c r="B1" s="43" t="s">
        <v>313</v>
      </c>
      <c r="C1" s="14"/>
      <c r="D1" s="2"/>
      <c r="E1" s="14"/>
      <c r="F1" s="2"/>
      <c r="G1" s="14"/>
      <c r="H1" s="2"/>
      <c r="I1" s="14"/>
      <c r="J1" s="2"/>
      <c r="K1" s="14"/>
      <c r="L1" s="1" t="s">
        <v>3144</v>
      </c>
      <c r="M1" s="1">
        <v>138</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91</v>
      </c>
      <c r="P2" s="16">
        <v>32</v>
      </c>
      <c r="Q2" s="16"/>
      <c r="R2">
        <v>8</v>
      </c>
      <c r="S2">
        <v>8</v>
      </c>
      <c r="T2">
        <v>8</v>
      </c>
      <c r="U2">
        <v>8</v>
      </c>
      <c r="Y2" t="s">
        <v>91</v>
      </c>
      <c r="Z2">
        <v>42.459999999999994</v>
      </c>
      <c r="AB2">
        <v>4.2799999999999994</v>
      </c>
      <c r="AC2">
        <v>2.92</v>
      </c>
      <c r="AD2">
        <v>16.649999999999999</v>
      </c>
      <c r="AE2">
        <v>9.34</v>
      </c>
      <c r="AF2">
        <v>9.27</v>
      </c>
    </row>
    <row r="3" spans="1:32" x14ac:dyDescent="0.3">
      <c r="A3" s="3"/>
      <c r="B3" s="2" t="s">
        <v>378</v>
      </c>
      <c r="C3" s="2"/>
      <c r="D3" s="2" t="s">
        <v>576</v>
      </c>
      <c r="E3" s="2"/>
      <c r="F3" s="2" t="s">
        <v>747</v>
      </c>
      <c r="G3" s="2"/>
      <c r="H3" s="2" t="s">
        <v>897</v>
      </c>
      <c r="I3" s="2"/>
      <c r="J3" s="2" t="s">
        <v>33</v>
      </c>
      <c r="O3" t="s">
        <v>54</v>
      </c>
      <c r="P3" s="16">
        <v>0</v>
      </c>
      <c r="Q3" s="16"/>
      <c r="R3">
        <v>0</v>
      </c>
      <c r="S3">
        <v>0</v>
      </c>
      <c r="T3">
        <v>0</v>
      </c>
      <c r="U3">
        <v>0</v>
      </c>
      <c r="Y3" t="s">
        <v>54</v>
      </c>
      <c r="Z3">
        <v>22.479999999999997</v>
      </c>
      <c r="AB3">
        <v>1.22</v>
      </c>
      <c r="AC3">
        <v>3.1299999999999994</v>
      </c>
      <c r="AD3">
        <v>6.16</v>
      </c>
      <c r="AE3">
        <v>1.6999999999999997</v>
      </c>
      <c r="AF3">
        <v>10.27</v>
      </c>
    </row>
    <row r="4" spans="1:32" x14ac:dyDescent="0.3">
      <c r="A4" s="2" t="s">
        <v>13</v>
      </c>
      <c r="B4" s="5" t="s">
        <v>170</v>
      </c>
      <c r="C4" s="3">
        <v>3.3</v>
      </c>
      <c r="D4" s="5" t="s">
        <v>170</v>
      </c>
      <c r="E4" s="3">
        <v>3.3</v>
      </c>
      <c r="F4" s="5" t="s">
        <v>170</v>
      </c>
      <c r="G4" s="3">
        <v>3.3</v>
      </c>
      <c r="H4" s="5" t="s">
        <v>170</v>
      </c>
      <c r="I4" s="3">
        <v>3.3</v>
      </c>
      <c r="J4" s="5" t="s">
        <v>170</v>
      </c>
      <c r="K4" s="3">
        <v>3.3</v>
      </c>
      <c r="O4" t="s">
        <v>170</v>
      </c>
      <c r="P4" s="16">
        <v>66</v>
      </c>
      <c r="Q4" s="16"/>
      <c r="R4">
        <v>16.5</v>
      </c>
      <c r="S4">
        <v>16.5</v>
      </c>
      <c r="T4">
        <v>16.5</v>
      </c>
      <c r="U4">
        <v>16.5</v>
      </c>
      <c r="Y4" t="s">
        <v>170</v>
      </c>
      <c r="Z4">
        <v>110.56</v>
      </c>
      <c r="AB4">
        <v>2.95</v>
      </c>
      <c r="AC4">
        <v>42.17</v>
      </c>
      <c r="AD4">
        <v>20.48</v>
      </c>
      <c r="AE4">
        <v>27.58</v>
      </c>
      <c r="AF4">
        <v>17.38</v>
      </c>
    </row>
    <row r="5" spans="1:32" x14ac:dyDescent="0.3">
      <c r="A5" s="2" t="s">
        <v>13</v>
      </c>
      <c r="B5" s="5" t="s">
        <v>91</v>
      </c>
      <c r="C5" s="3">
        <v>1.6</v>
      </c>
      <c r="D5" s="5" t="s">
        <v>91</v>
      </c>
      <c r="E5" s="3">
        <v>1.6</v>
      </c>
      <c r="F5" s="5" t="s">
        <v>91</v>
      </c>
      <c r="G5" s="3">
        <v>1.6</v>
      </c>
      <c r="H5" s="5" t="s">
        <v>91</v>
      </c>
      <c r="I5" s="3">
        <v>1.6</v>
      </c>
      <c r="J5" s="5" t="s">
        <v>91</v>
      </c>
      <c r="K5" s="3">
        <v>1.6</v>
      </c>
      <c r="O5" t="s">
        <v>3147</v>
      </c>
      <c r="P5" s="16">
        <v>40</v>
      </c>
      <c r="Q5" s="16"/>
      <c r="R5">
        <v>10</v>
      </c>
      <c r="S5">
        <v>10</v>
      </c>
      <c r="T5">
        <v>10</v>
      </c>
      <c r="U5">
        <v>10</v>
      </c>
      <c r="Y5" t="s">
        <v>3147</v>
      </c>
      <c r="Z5">
        <v>0</v>
      </c>
      <c r="AB5">
        <v>0</v>
      </c>
      <c r="AC5">
        <v>0</v>
      </c>
      <c r="AD5">
        <v>0</v>
      </c>
      <c r="AE5">
        <v>0</v>
      </c>
      <c r="AF5">
        <v>0</v>
      </c>
    </row>
    <row r="6" spans="1:32" x14ac:dyDescent="0.3">
      <c r="A6" s="2" t="s">
        <v>13</v>
      </c>
      <c r="B6" s="5" t="s">
        <v>3147</v>
      </c>
      <c r="C6" s="3">
        <v>2</v>
      </c>
      <c r="D6" s="5" t="s">
        <v>3147</v>
      </c>
      <c r="E6" s="3">
        <v>2</v>
      </c>
      <c r="F6" s="5" t="s">
        <v>3147</v>
      </c>
      <c r="G6" s="3">
        <v>2</v>
      </c>
      <c r="H6" s="5" t="s">
        <v>3147</v>
      </c>
      <c r="I6" s="3">
        <v>2</v>
      </c>
      <c r="J6" s="5" t="s">
        <v>3147</v>
      </c>
      <c r="K6" s="3">
        <v>2</v>
      </c>
      <c r="O6" t="s">
        <v>162</v>
      </c>
      <c r="P6" s="16">
        <v>0</v>
      </c>
      <c r="Q6" s="16"/>
      <c r="R6">
        <v>0</v>
      </c>
      <c r="S6">
        <v>0</v>
      </c>
      <c r="T6">
        <v>0</v>
      </c>
      <c r="U6">
        <v>0</v>
      </c>
      <c r="Y6" t="s">
        <v>162</v>
      </c>
      <c r="Z6">
        <v>6.48</v>
      </c>
      <c r="AB6">
        <v>0</v>
      </c>
      <c r="AC6">
        <v>0</v>
      </c>
      <c r="AD6">
        <v>0</v>
      </c>
      <c r="AE6">
        <v>1.6400000000000001</v>
      </c>
      <c r="AF6">
        <v>4.84</v>
      </c>
    </row>
    <row r="7" spans="1:32" x14ac:dyDescent="0.3">
      <c r="A7" s="2"/>
      <c r="B7" s="3"/>
      <c r="C7" s="3"/>
      <c r="D7" s="3"/>
      <c r="E7" s="3"/>
      <c r="F7" s="3"/>
      <c r="G7" s="3"/>
      <c r="H7" s="3"/>
      <c r="I7" s="3"/>
      <c r="J7" s="3"/>
      <c r="O7" t="s">
        <v>35</v>
      </c>
      <c r="P7">
        <v>0</v>
      </c>
      <c r="R7">
        <v>0</v>
      </c>
      <c r="S7">
        <v>0</v>
      </c>
      <c r="T7">
        <v>0</v>
      </c>
      <c r="U7">
        <v>0</v>
      </c>
      <c r="Y7" t="s">
        <v>35</v>
      </c>
      <c r="Z7">
        <v>4.32</v>
      </c>
      <c r="AB7">
        <v>0</v>
      </c>
      <c r="AC7">
        <v>0.15</v>
      </c>
      <c r="AD7">
        <v>0.38</v>
      </c>
      <c r="AE7">
        <v>3.42</v>
      </c>
      <c r="AF7">
        <v>0.37</v>
      </c>
    </row>
    <row r="8" spans="1:32" x14ac:dyDescent="0.3">
      <c r="A8" s="2"/>
      <c r="B8" s="3"/>
      <c r="C8" s="3"/>
      <c r="D8" s="3"/>
      <c r="E8" s="3"/>
      <c r="F8" s="3"/>
      <c r="G8" s="3"/>
      <c r="H8" s="3"/>
      <c r="I8" s="3"/>
      <c r="J8" s="3"/>
    </row>
    <row r="9" spans="1:32" x14ac:dyDescent="0.3">
      <c r="A9" s="2" t="s">
        <v>14</v>
      </c>
      <c r="B9" s="5" t="s">
        <v>170</v>
      </c>
      <c r="C9" s="3">
        <v>3.3</v>
      </c>
      <c r="D9" s="5" t="s">
        <v>170</v>
      </c>
      <c r="E9" s="3">
        <v>3.3</v>
      </c>
      <c r="F9" s="5" t="s">
        <v>170</v>
      </c>
      <c r="G9" s="3">
        <v>3.3</v>
      </c>
      <c r="H9" s="5" t="s">
        <v>170</v>
      </c>
      <c r="I9" s="3">
        <v>3.3</v>
      </c>
      <c r="J9" s="5" t="s">
        <v>170</v>
      </c>
      <c r="K9" s="3">
        <v>3.3</v>
      </c>
    </row>
    <row r="10" spans="1:32" x14ac:dyDescent="0.3">
      <c r="A10" s="2" t="s">
        <v>14</v>
      </c>
      <c r="B10" s="5" t="s">
        <v>91</v>
      </c>
      <c r="C10" s="3">
        <v>1.6</v>
      </c>
      <c r="D10" s="5" t="s">
        <v>91</v>
      </c>
      <c r="E10" s="3">
        <v>1.6</v>
      </c>
      <c r="F10" s="5" t="s">
        <v>91</v>
      </c>
      <c r="G10" s="3">
        <v>1.6</v>
      </c>
      <c r="H10" s="5" t="s">
        <v>91</v>
      </c>
      <c r="I10" s="3">
        <v>1.6</v>
      </c>
      <c r="J10" s="5" t="s">
        <v>91</v>
      </c>
      <c r="K10" s="3">
        <v>1.6</v>
      </c>
    </row>
    <row r="11" spans="1:32" x14ac:dyDescent="0.3">
      <c r="A11" s="2" t="s">
        <v>14</v>
      </c>
      <c r="B11" s="5" t="s">
        <v>3147</v>
      </c>
      <c r="C11" s="3">
        <v>2</v>
      </c>
      <c r="D11" s="5" t="s">
        <v>3147</v>
      </c>
      <c r="E11" s="3">
        <v>2</v>
      </c>
      <c r="F11" s="5" t="s">
        <v>3147</v>
      </c>
      <c r="G11" s="3">
        <v>2</v>
      </c>
      <c r="H11" s="5" t="s">
        <v>3147</v>
      </c>
      <c r="I11" s="3">
        <v>2</v>
      </c>
      <c r="J11" s="5" t="s">
        <v>3147</v>
      </c>
      <c r="K11" s="3">
        <v>2</v>
      </c>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15</v>
      </c>
      <c r="B14" s="5" t="s">
        <v>170</v>
      </c>
      <c r="C14" s="3">
        <v>3.3</v>
      </c>
      <c r="D14" s="5" t="s">
        <v>170</v>
      </c>
      <c r="E14" s="3">
        <v>3.3</v>
      </c>
      <c r="F14" s="5" t="s">
        <v>170</v>
      </c>
      <c r="G14" s="3">
        <v>3.3</v>
      </c>
      <c r="H14" s="5" t="s">
        <v>170</v>
      </c>
      <c r="I14" s="3">
        <v>3.3</v>
      </c>
      <c r="J14" s="5" t="s">
        <v>170</v>
      </c>
      <c r="K14" s="3">
        <v>3.3</v>
      </c>
    </row>
    <row r="15" spans="1:32" x14ac:dyDescent="0.3">
      <c r="A15" s="2" t="s">
        <v>15</v>
      </c>
      <c r="B15" s="5" t="s">
        <v>91</v>
      </c>
      <c r="C15" s="3">
        <v>1.6</v>
      </c>
      <c r="D15" s="5" t="s">
        <v>91</v>
      </c>
      <c r="E15" s="3">
        <v>1.6</v>
      </c>
      <c r="F15" s="5" t="s">
        <v>91</v>
      </c>
      <c r="G15" s="3">
        <v>1.6</v>
      </c>
      <c r="H15" s="5" t="s">
        <v>91</v>
      </c>
      <c r="I15" s="3">
        <v>1.6</v>
      </c>
      <c r="J15" s="5" t="s">
        <v>91</v>
      </c>
      <c r="K15" s="3">
        <v>1.6</v>
      </c>
    </row>
    <row r="16" spans="1:32" x14ac:dyDescent="0.3">
      <c r="A16" s="2" t="s">
        <v>15</v>
      </c>
      <c r="B16" s="5" t="s">
        <v>3147</v>
      </c>
      <c r="C16" s="3">
        <v>2</v>
      </c>
      <c r="D16" s="5" t="s">
        <v>3147</v>
      </c>
      <c r="E16" s="3">
        <v>2</v>
      </c>
      <c r="F16" s="5" t="s">
        <v>3147</v>
      </c>
      <c r="G16" s="3">
        <v>2</v>
      </c>
      <c r="H16" s="5" t="s">
        <v>3147</v>
      </c>
      <c r="I16" s="3">
        <v>2</v>
      </c>
      <c r="J16" s="5" t="s">
        <v>3147</v>
      </c>
      <c r="K16" s="3">
        <v>2</v>
      </c>
    </row>
    <row r="17" spans="1:32" x14ac:dyDescent="0.3">
      <c r="A17" s="2"/>
      <c r="B17" s="3"/>
      <c r="C17" s="3"/>
      <c r="D17" s="3"/>
      <c r="E17" s="3"/>
      <c r="F17" s="3"/>
      <c r="G17" s="3"/>
      <c r="H17" s="3"/>
      <c r="I17" s="3"/>
      <c r="J17" s="3"/>
      <c r="O17" t="s">
        <v>3143</v>
      </c>
      <c r="P17">
        <f>SUM(P2:P16)</f>
        <v>138</v>
      </c>
      <c r="R17">
        <f>SUM(R2:R16)</f>
        <v>34.5</v>
      </c>
      <c r="S17">
        <f>SUM(S2:S16)</f>
        <v>34.5</v>
      </c>
      <c r="T17">
        <f>SUM(T2:T16)</f>
        <v>34.5</v>
      </c>
      <c r="U17">
        <f>SUM(U2:U16)</f>
        <v>34.5</v>
      </c>
      <c r="Y17" t="s">
        <v>3143</v>
      </c>
      <c r="Z17">
        <f>SUM(Z2:Z16)</f>
        <v>186.29999999999998</v>
      </c>
      <c r="AB17">
        <f>SUM(AB2:AB16)</f>
        <v>8.4499999999999993</v>
      </c>
      <c r="AC17">
        <f>SUM(AC2:AC16)</f>
        <v>48.37</v>
      </c>
      <c r="AD17">
        <f>SUM(AD2:AD16)</f>
        <v>43.67</v>
      </c>
      <c r="AE17">
        <f>SUM(AE2:AE16)</f>
        <v>43.68</v>
      </c>
      <c r="AF17">
        <f>SUM(AF2:AF16)</f>
        <v>42.13</v>
      </c>
    </row>
    <row r="18" spans="1:32" x14ac:dyDescent="0.3">
      <c r="A18" s="2"/>
      <c r="B18" s="3"/>
      <c r="C18" s="3"/>
      <c r="D18" s="3"/>
      <c r="E18" s="3"/>
      <c r="F18" s="3"/>
      <c r="G18" s="3"/>
      <c r="H18" s="3"/>
      <c r="I18" s="3"/>
      <c r="J18" s="3"/>
    </row>
    <row r="19" spans="1:32" x14ac:dyDescent="0.3">
      <c r="A19" s="2" t="s">
        <v>16</v>
      </c>
      <c r="B19" s="5" t="s">
        <v>170</v>
      </c>
      <c r="C19" s="3">
        <v>3.3</v>
      </c>
      <c r="D19" s="5" t="s">
        <v>170</v>
      </c>
      <c r="E19" s="3">
        <v>3.3</v>
      </c>
      <c r="F19" s="5" t="s">
        <v>170</v>
      </c>
      <c r="G19" s="3">
        <v>3.3</v>
      </c>
      <c r="H19" s="5" t="s">
        <v>170</v>
      </c>
      <c r="I19" s="3">
        <v>3.3</v>
      </c>
      <c r="J19" s="5" t="s">
        <v>170</v>
      </c>
      <c r="K19" s="3">
        <v>3.3</v>
      </c>
    </row>
    <row r="20" spans="1:32" x14ac:dyDescent="0.3">
      <c r="A20" s="2" t="s">
        <v>16</v>
      </c>
      <c r="B20" s="5" t="s">
        <v>91</v>
      </c>
      <c r="C20" s="3">
        <v>1.6</v>
      </c>
      <c r="D20" s="5" t="s">
        <v>91</v>
      </c>
      <c r="E20" s="3">
        <v>1.6</v>
      </c>
      <c r="F20" s="5" t="s">
        <v>91</v>
      </c>
      <c r="G20" s="3">
        <v>1.6</v>
      </c>
      <c r="H20" s="5" t="s">
        <v>91</v>
      </c>
      <c r="I20" s="3">
        <v>1.6</v>
      </c>
      <c r="J20" s="5" t="s">
        <v>91</v>
      </c>
      <c r="K20" s="3">
        <v>1.6</v>
      </c>
    </row>
    <row r="21" spans="1:32" x14ac:dyDescent="0.3">
      <c r="A21" s="2" t="s">
        <v>16</v>
      </c>
      <c r="B21" s="5" t="s">
        <v>3147</v>
      </c>
      <c r="C21" s="3">
        <v>2</v>
      </c>
      <c r="D21" s="5" t="s">
        <v>3147</v>
      </c>
      <c r="E21" s="3">
        <v>2</v>
      </c>
      <c r="F21" s="5" t="s">
        <v>3147</v>
      </c>
      <c r="G21" s="3">
        <v>2</v>
      </c>
      <c r="H21" s="5" t="s">
        <v>3147</v>
      </c>
      <c r="I21" s="3">
        <v>2</v>
      </c>
      <c r="J21" s="5" t="s">
        <v>3147</v>
      </c>
      <c r="K21" s="3">
        <v>2</v>
      </c>
    </row>
    <row r="24" spans="1:32" x14ac:dyDescent="0.3">
      <c r="A24" s="2" t="s">
        <v>17</v>
      </c>
      <c r="B24" s="3"/>
      <c r="C24" s="3"/>
      <c r="D24" s="3"/>
      <c r="E24" s="3"/>
      <c r="F24" s="3"/>
      <c r="G24" s="3"/>
      <c r="H24" s="3"/>
      <c r="I24" s="3"/>
      <c r="J24" s="3"/>
      <c r="L24" s="1" t="s">
        <v>3144</v>
      </c>
      <c r="M24" s="1">
        <v>186.29999999999998</v>
      </c>
    </row>
    <row r="25" spans="1:32" x14ac:dyDescent="0.3">
      <c r="A25" s="2"/>
      <c r="B25" s="2" t="s">
        <v>378</v>
      </c>
      <c r="C25" s="3"/>
      <c r="D25" s="2" t="s">
        <v>576</v>
      </c>
      <c r="E25" s="3"/>
      <c r="F25" s="2" t="s">
        <v>747</v>
      </c>
      <c r="G25" s="3"/>
      <c r="H25" s="2" t="s">
        <v>897</v>
      </c>
      <c r="I25" s="3"/>
      <c r="J25" s="2" t="s">
        <v>33</v>
      </c>
    </row>
    <row r="26" spans="1:32" x14ac:dyDescent="0.3">
      <c r="A26" s="2" t="s">
        <v>13</v>
      </c>
      <c r="B26" s="3"/>
      <c r="C26" s="3"/>
      <c r="D26" s="3"/>
      <c r="E26" s="3"/>
      <c r="F26" s="3"/>
      <c r="G26" s="3"/>
      <c r="H26" s="3"/>
      <c r="I26" s="3"/>
      <c r="J26" s="3" t="s">
        <v>91</v>
      </c>
      <c r="K26">
        <v>4.2799999999999994</v>
      </c>
    </row>
    <row r="27" spans="1:32" x14ac:dyDescent="0.3">
      <c r="A27" s="2" t="s">
        <v>13</v>
      </c>
      <c r="B27" s="3"/>
      <c r="C27" s="3"/>
      <c r="D27" s="3"/>
      <c r="E27" s="3"/>
      <c r="F27" s="3"/>
      <c r="G27" s="3"/>
      <c r="H27" s="3"/>
      <c r="I27" s="3"/>
      <c r="J27" s="3" t="s">
        <v>54</v>
      </c>
      <c r="K27">
        <v>1.22</v>
      </c>
    </row>
    <row r="28" spans="1:32" x14ac:dyDescent="0.3">
      <c r="A28" s="2" t="s">
        <v>13</v>
      </c>
      <c r="B28" s="3"/>
      <c r="C28" s="3"/>
      <c r="D28" s="3"/>
      <c r="E28" s="3"/>
      <c r="F28" s="3"/>
      <c r="G28" s="3"/>
      <c r="H28" s="3"/>
      <c r="I28" s="3"/>
      <c r="J28" s="3" t="s">
        <v>170</v>
      </c>
      <c r="K28">
        <v>2.95</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14</v>
      </c>
      <c r="B31" s="3" t="s">
        <v>54</v>
      </c>
      <c r="C31" s="3">
        <v>0.15</v>
      </c>
      <c r="D31" s="3" t="s">
        <v>91</v>
      </c>
      <c r="E31" s="3">
        <v>1.92</v>
      </c>
      <c r="F31" s="3" t="s">
        <v>91</v>
      </c>
      <c r="G31" s="3">
        <v>1</v>
      </c>
      <c r="H31" s="3" t="s">
        <v>54</v>
      </c>
      <c r="I31" s="3">
        <v>0.13</v>
      </c>
      <c r="J31" s="3" t="s">
        <v>54</v>
      </c>
      <c r="K31">
        <v>0.25</v>
      </c>
    </row>
    <row r="32" spans="1:32" x14ac:dyDescent="0.3">
      <c r="A32" s="2" t="s">
        <v>14</v>
      </c>
      <c r="B32" s="3" t="s">
        <v>170</v>
      </c>
      <c r="C32" s="3">
        <v>9.35</v>
      </c>
      <c r="D32" s="3" t="s">
        <v>54</v>
      </c>
      <c r="E32" s="3">
        <v>2.33</v>
      </c>
      <c r="F32" s="3" t="s">
        <v>54</v>
      </c>
      <c r="G32" s="3">
        <v>0.27</v>
      </c>
      <c r="H32" s="3" t="s">
        <v>170</v>
      </c>
      <c r="I32" s="3">
        <v>10.08</v>
      </c>
      <c r="J32" s="3" t="s">
        <v>170</v>
      </c>
      <c r="K32">
        <v>10.46</v>
      </c>
    </row>
    <row r="33" spans="1:11" x14ac:dyDescent="0.3">
      <c r="A33" s="19" t="s">
        <v>14</v>
      </c>
      <c r="D33" s="3" t="s">
        <v>170</v>
      </c>
      <c r="E33">
        <v>4.68</v>
      </c>
      <c r="F33" s="3" t="s">
        <v>170</v>
      </c>
      <c r="G33">
        <v>7.6</v>
      </c>
      <c r="H33" s="3"/>
      <c r="J33" s="3"/>
    </row>
    <row r="34" spans="1:11" x14ac:dyDescent="0.3">
      <c r="A34" s="19" t="s">
        <v>14</v>
      </c>
      <c r="F34" s="3" t="s">
        <v>35</v>
      </c>
      <c r="G34">
        <v>0.15</v>
      </c>
      <c r="H34" s="3"/>
      <c r="J34" s="3"/>
    </row>
    <row r="35" spans="1:11" x14ac:dyDescent="0.3">
      <c r="F35" s="3"/>
      <c r="H35" s="3"/>
      <c r="J35" s="3"/>
    </row>
    <row r="36" spans="1:11" x14ac:dyDescent="0.3">
      <c r="H36" s="3"/>
    </row>
    <row r="37" spans="1:11" x14ac:dyDescent="0.3">
      <c r="A37" s="19" t="s">
        <v>15</v>
      </c>
      <c r="B37" s="16" t="s">
        <v>91</v>
      </c>
      <c r="C37">
        <v>4.75</v>
      </c>
      <c r="D37" s="16" t="s">
        <v>91</v>
      </c>
      <c r="E37">
        <v>7.32</v>
      </c>
      <c r="F37" s="16" t="s">
        <v>54</v>
      </c>
      <c r="G37">
        <v>0.28000000000000003</v>
      </c>
      <c r="H37" s="3" t="s">
        <v>91</v>
      </c>
      <c r="I37">
        <v>1.5</v>
      </c>
      <c r="J37" s="16" t="s">
        <v>91</v>
      </c>
      <c r="K37">
        <v>3.08</v>
      </c>
    </row>
    <row r="38" spans="1:11" x14ac:dyDescent="0.3">
      <c r="A38" s="19" t="s">
        <v>15</v>
      </c>
      <c r="B38" s="16" t="s">
        <v>54</v>
      </c>
      <c r="C38">
        <v>0.64</v>
      </c>
      <c r="D38" s="16" t="s">
        <v>54</v>
      </c>
      <c r="E38">
        <v>0.55000000000000004</v>
      </c>
      <c r="F38" s="16" t="s">
        <v>170</v>
      </c>
      <c r="G38">
        <v>7.72</v>
      </c>
      <c r="H38" s="3" t="s">
        <v>54</v>
      </c>
      <c r="I38">
        <v>0.37</v>
      </c>
      <c r="J38" s="16" t="s">
        <v>54</v>
      </c>
      <c r="K38">
        <v>4.32</v>
      </c>
    </row>
    <row r="39" spans="1:11" x14ac:dyDescent="0.3">
      <c r="A39" s="19" t="s">
        <v>15</v>
      </c>
      <c r="B39" s="16" t="s">
        <v>170</v>
      </c>
      <c r="C39">
        <v>3.3000000000000003</v>
      </c>
      <c r="D39" s="16" t="s">
        <v>170</v>
      </c>
      <c r="E39">
        <v>1.22</v>
      </c>
      <c r="F39" s="16" t="s">
        <v>35</v>
      </c>
      <c r="G39">
        <v>0.38</v>
      </c>
      <c r="H39" s="3" t="s">
        <v>170</v>
      </c>
      <c r="I39">
        <v>6.67</v>
      </c>
      <c r="J39" s="16" t="s">
        <v>170</v>
      </c>
      <c r="K39">
        <v>1.57</v>
      </c>
    </row>
    <row r="42" spans="1:11" x14ac:dyDescent="0.3">
      <c r="A42" s="19" t="s">
        <v>16</v>
      </c>
      <c r="B42" s="16" t="s">
        <v>91</v>
      </c>
      <c r="C42">
        <v>3.6900000000000004</v>
      </c>
      <c r="D42" s="16" t="s">
        <v>91</v>
      </c>
      <c r="E42">
        <v>4.1500000000000004</v>
      </c>
      <c r="F42" s="16" t="s">
        <v>91</v>
      </c>
      <c r="G42">
        <v>0.42</v>
      </c>
      <c r="H42" s="16" t="s">
        <v>54</v>
      </c>
      <c r="I42">
        <v>0.43</v>
      </c>
      <c r="J42" s="16" t="s">
        <v>91</v>
      </c>
      <c r="K42">
        <v>1.08</v>
      </c>
    </row>
    <row r="43" spans="1:11" x14ac:dyDescent="0.3">
      <c r="A43" s="19" t="s">
        <v>16</v>
      </c>
      <c r="B43" s="16" t="s">
        <v>54</v>
      </c>
      <c r="C43">
        <v>0.15</v>
      </c>
      <c r="D43" s="16" t="s">
        <v>54</v>
      </c>
      <c r="E43">
        <v>0.25</v>
      </c>
      <c r="F43" s="16" t="s">
        <v>54</v>
      </c>
      <c r="G43">
        <v>0.37</v>
      </c>
      <c r="H43" s="16" t="s">
        <v>170</v>
      </c>
      <c r="I43">
        <v>8.1</v>
      </c>
      <c r="J43" s="16" t="s">
        <v>54</v>
      </c>
      <c r="K43">
        <v>0.5</v>
      </c>
    </row>
    <row r="44" spans="1:11" x14ac:dyDescent="0.3">
      <c r="A44" s="19" t="s">
        <v>16</v>
      </c>
      <c r="B44" s="16" t="s">
        <v>170</v>
      </c>
      <c r="C44">
        <v>4.99</v>
      </c>
      <c r="D44" s="16" t="s">
        <v>170</v>
      </c>
      <c r="E44">
        <v>3.91</v>
      </c>
      <c r="F44" s="16" t="s">
        <v>170</v>
      </c>
      <c r="G44">
        <v>4.21</v>
      </c>
      <c r="H44" s="16" t="s">
        <v>162</v>
      </c>
      <c r="I44">
        <v>0.25</v>
      </c>
      <c r="J44" s="16" t="s">
        <v>170</v>
      </c>
      <c r="K44">
        <v>6.3699999999999992</v>
      </c>
    </row>
    <row r="45" spans="1:11" x14ac:dyDescent="0.3">
      <c r="A45" s="19" t="s">
        <v>16</v>
      </c>
      <c r="D45" s="16" t="s">
        <v>162</v>
      </c>
      <c r="E45">
        <v>0.62</v>
      </c>
      <c r="F45" s="16" t="s">
        <v>162</v>
      </c>
      <c r="G45">
        <v>0.77</v>
      </c>
      <c r="J45" s="16" t="s">
        <v>35</v>
      </c>
      <c r="K45">
        <v>0.15</v>
      </c>
    </row>
    <row r="46" spans="1:11" x14ac:dyDescent="0.3">
      <c r="A46" s="19" t="s">
        <v>16</v>
      </c>
      <c r="F46" s="16" t="s">
        <v>35</v>
      </c>
      <c r="G46">
        <v>3.27</v>
      </c>
    </row>
    <row r="49" spans="1:11" x14ac:dyDescent="0.3">
      <c r="A49" s="19" t="s">
        <v>18</v>
      </c>
      <c r="B49" s="16" t="s">
        <v>91</v>
      </c>
      <c r="C49">
        <v>2.4300000000000002</v>
      </c>
      <c r="D49" s="16" t="s">
        <v>91</v>
      </c>
      <c r="E49">
        <v>1.9</v>
      </c>
      <c r="F49" s="16" t="s">
        <v>91</v>
      </c>
      <c r="G49">
        <v>2.27</v>
      </c>
      <c r="H49" s="16" t="s">
        <v>91</v>
      </c>
      <c r="I49">
        <v>2.67</v>
      </c>
      <c r="J49" s="16" t="s">
        <v>54</v>
      </c>
      <c r="K49">
        <v>8</v>
      </c>
    </row>
    <row r="50" spans="1:11" x14ac:dyDescent="0.3">
      <c r="A50" s="19" t="s">
        <v>18</v>
      </c>
      <c r="B50" s="16" t="s">
        <v>54</v>
      </c>
      <c r="C50">
        <v>0.45</v>
      </c>
      <c r="D50" s="16" t="s">
        <v>54</v>
      </c>
      <c r="E50">
        <v>0.69</v>
      </c>
      <c r="F50" s="16" t="s">
        <v>54</v>
      </c>
      <c r="G50">
        <v>0.83000000000000007</v>
      </c>
      <c r="H50" s="16" t="s">
        <v>54</v>
      </c>
      <c r="I50">
        <v>0.3</v>
      </c>
    </row>
    <row r="51" spans="1:11" x14ac:dyDescent="0.3">
      <c r="A51" s="19" t="s">
        <v>18</v>
      </c>
      <c r="B51" s="16" t="s">
        <v>170</v>
      </c>
      <c r="C51">
        <v>5.56</v>
      </c>
      <c r="D51" s="16" t="s">
        <v>170</v>
      </c>
      <c r="E51">
        <v>4.42</v>
      </c>
      <c r="F51" s="16" t="s">
        <v>170</v>
      </c>
      <c r="G51">
        <v>3.21</v>
      </c>
      <c r="H51" s="16" t="s">
        <v>170</v>
      </c>
      <c r="I51">
        <v>4.1899999999999995</v>
      </c>
    </row>
    <row r="52" spans="1:11" x14ac:dyDescent="0.3">
      <c r="A52" s="19" t="s">
        <v>18</v>
      </c>
      <c r="D52" s="16" t="s">
        <v>162</v>
      </c>
      <c r="E52">
        <v>1.45</v>
      </c>
      <c r="F52" s="16" t="s">
        <v>162</v>
      </c>
      <c r="G52">
        <v>1.42</v>
      </c>
      <c r="H52" s="16" t="s">
        <v>162</v>
      </c>
      <c r="I52">
        <v>1.97</v>
      </c>
    </row>
    <row r="53" spans="1:11" x14ac:dyDescent="0.3">
      <c r="A53" s="19" t="s">
        <v>18</v>
      </c>
      <c r="F53" s="16" t="s">
        <v>35</v>
      </c>
      <c r="G53">
        <v>0.37</v>
      </c>
    </row>
    <row r="55" spans="1:11" x14ac:dyDescent="0.3">
      <c r="C55" s="19"/>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174F29F-33FE-415C-8A86-73F827DEF0D3}">
          <x14:formula1>
            <xm:f>'Client Name'!$A:$A</xm:f>
          </x14:formula1>
          <xm:sqref>B24:B31 H24:H39 F24:F35 J24:J35 O7 D24:D33 Y7:Y8</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937C1-1C60-4CD7-A5E3-6E8A74A3AC09}">
  <sheetPr codeName="Sheet16"/>
  <dimension ref="A1:AF85"/>
  <sheetViews>
    <sheetView topLeftCell="D1" zoomScale="70" zoomScaleNormal="70" workbookViewId="0">
      <selection activeCell="O24" sqref="O24"/>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style="53" customWidth="1"/>
    <col min="25" max="25" width="26" customWidth="1"/>
    <col min="26" max="26" width="12.88671875" customWidth="1"/>
  </cols>
  <sheetData>
    <row r="1" spans="1:32" ht="31.95" customHeight="1" thickBot="1" x14ac:dyDescent="0.35">
      <c r="A1" s="49" t="s">
        <v>3051</v>
      </c>
      <c r="B1" s="43" t="s">
        <v>175</v>
      </c>
      <c r="C1" s="14"/>
      <c r="D1" s="2"/>
      <c r="E1" s="14"/>
      <c r="F1" s="2"/>
      <c r="G1" s="14"/>
      <c r="H1" s="2"/>
      <c r="I1" s="14"/>
      <c r="J1" s="2"/>
      <c r="K1" s="14"/>
      <c r="L1" s="1" t="s">
        <v>3144</v>
      </c>
      <c r="M1" s="1">
        <v>155.5</v>
      </c>
      <c r="O1" s="32" t="s">
        <v>0</v>
      </c>
      <c r="P1" s="52"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54</v>
      </c>
      <c r="P2" s="53">
        <v>8</v>
      </c>
      <c r="Q2" s="16"/>
      <c r="R2">
        <v>2</v>
      </c>
      <c r="S2">
        <v>2</v>
      </c>
      <c r="T2">
        <v>2</v>
      </c>
      <c r="U2">
        <v>2</v>
      </c>
      <c r="Y2" t="s">
        <v>54</v>
      </c>
      <c r="Z2">
        <v>27.54</v>
      </c>
      <c r="AB2">
        <v>0.77</v>
      </c>
      <c r="AC2">
        <v>5.4699999999999989</v>
      </c>
      <c r="AD2">
        <v>1.08</v>
      </c>
      <c r="AE2">
        <v>2.93</v>
      </c>
      <c r="AF2">
        <v>17.29</v>
      </c>
    </row>
    <row r="3" spans="1:32" x14ac:dyDescent="0.3">
      <c r="A3" s="3"/>
      <c r="B3" s="2" t="s">
        <v>378</v>
      </c>
      <c r="C3" s="2"/>
      <c r="D3" s="2" t="s">
        <v>576</v>
      </c>
      <c r="E3" s="2"/>
      <c r="F3" s="2" t="s">
        <v>747</v>
      </c>
      <c r="G3" s="2"/>
      <c r="H3" s="2" t="s">
        <v>897</v>
      </c>
      <c r="I3" s="2"/>
      <c r="J3" s="2" t="s">
        <v>33</v>
      </c>
      <c r="O3" t="s">
        <v>185</v>
      </c>
      <c r="P3" s="53">
        <v>18</v>
      </c>
      <c r="Q3" s="16"/>
      <c r="R3">
        <v>6</v>
      </c>
      <c r="S3">
        <v>4</v>
      </c>
      <c r="T3">
        <v>4</v>
      </c>
      <c r="U3">
        <v>4</v>
      </c>
      <c r="Y3" t="s">
        <v>185</v>
      </c>
      <c r="Z3">
        <v>13.25</v>
      </c>
      <c r="AB3">
        <v>1.83</v>
      </c>
      <c r="AC3">
        <v>3.7399999999999993</v>
      </c>
      <c r="AD3">
        <v>3.1</v>
      </c>
      <c r="AE3">
        <v>2.66</v>
      </c>
      <c r="AF3">
        <v>1.92</v>
      </c>
    </row>
    <row r="4" spans="1:32" x14ac:dyDescent="0.3">
      <c r="A4" s="2" t="s">
        <v>13</v>
      </c>
      <c r="B4" s="5" t="s">
        <v>185</v>
      </c>
      <c r="C4" s="3">
        <v>2</v>
      </c>
      <c r="D4" s="5" t="s">
        <v>185</v>
      </c>
      <c r="E4" s="3">
        <v>2</v>
      </c>
      <c r="F4" s="5" t="s">
        <v>185</v>
      </c>
      <c r="G4" s="3">
        <v>2</v>
      </c>
      <c r="H4" s="5" t="s">
        <v>170</v>
      </c>
      <c r="I4" s="3">
        <v>2</v>
      </c>
      <c r="J4" s="5" t="s">
        <v>178</v>
      </c>
      <c r="K4" s="3">
        <v>0.5</v>
      </c>
      <c r="O4" t="s">
        <v>179</v>
      </c>
      <c r="P4" s="53">
        <v>10</v>
      </c>
      <c r="Q4" s="16"/>
      <c r="R4">
        <v>2.5</v>
      </c>
      <c r="S4">
        <v>2.5</v>
      </c>
      <c r="T4">
        <v>2.5</v>
      </c>
      <c r="U4">
        <v>2.5</v>
      </c>
      <c r="Y4" t="s">
        <v>179</v>
      </c>
      <c r="Z4">
        <v>9.9400000000000013</v>
      </c>
      <c r="AB4">
        <v>0.33</v>
      </c>
      <c r="AC4">
        <v>1.53</v>
      </c>
      <c r="AD4">
        <v>3.53</v>
      </c>
      <c r="AE4">
        <v>3.0700000000000003</v>
      </c>
      <c r="AF4">
        <v>1.48</v>
      </c>
    </row>
    <row r="5" spans="1:32" x14ac:dyDescent="0.3">
      <c r="A5" s="2" t="s">
        <v>13</v>
      </c>
      <c r="B5" s="5" t="s">
        <v>179</v>
      </c>
      <c r="C5" s="3">
        <v>1</v>
      </c>
      <c r="D5" s="5" t="s">
        <v>179</v>
      </c>
      <c r="E5" s="3">
        <v>1.5</v>
      </c>
      <c r="F5" s="5" t="s">
        <v>177</v>
      </c>
      <c r="G5" s="3">
        <v>0.5</v>
      </c>
      <c r="H5" s="5" t="s">
        <v>177</v>
      </c>
      <c r="I5" s="3">
        <v>0.5</v>
      </c>
      <c r="J5" s="5" t="s">
        <v>177</v>
      </c>
      <c r="K5" s="3">
        <v>0.5</v>
      </c>
      <c r="O5" t="s">
        <v>170</v>
      </c>
      <c r="P5" s="53">
        <v>8</v>
      </c>
      <c r="Q5" s="16"/>
      <c r="R5">
        <v>2</v>
      </c>
      <c r="S5">
        <v>2</v>
      </c>
      <c r="T5">
        <v>2</v>
      </c>
      <c r="U5">
        <v>2</v>
      </c>
      <c r="Y5" t="s">
        <v>170</v>
      </c>
      <c r="Z5">
        <v>7.1899999999999995</v>
      </c>
      <c r="AB5">
        <v>0</v>
      </c>
      <c r="AC5">
        <v>2.17</v>
      </c>
      <c r="AD5">
        <v>2</v>
      </c>
      <c r="AE5">
        <v>2.02</v>
      </c>
      <c r="AF5">
        <v>1</v>
      </c>
    </row>
    <row r="6" spans="1:32" x14ac:dyDescent="0.3">
      <c r="A6" s="2" t="s">
        <v>13</v>
      </c>
      <c r="B6" s="5" t="s">
        <v>177</v>
      </c>
      <c r="C6" s="3">
        <v>1</v>
      </c>
      <c r="D6" s="5" t="s">
        <v>177</v>
      </c>
      <c r="E6" s="3">
        <v>0.5</v>
      </c>
      <c r="F6" s="15" t="s">
        <v>182</v>
      </c>
      <c r="G6" s="3">
        <v>3.5</v>
      </c>
      <c r="H6" s="15" t="s">
        <v>182</v>
      </c>
      <c r="I6" s="3">
        <v>1.5</v>
      </c>
      <c r="J6" s="15" t="s">
        <v>182</v>
      </c>
      <c r="K6" s="3">
        <v>1</v>
      </c>
      <c r="O6" t="s">
        <v>176</v>
      </c>
      <c r="P6" s="53">
        <v>7.5</v>
      </c>
      <c r="Q6" s="16"/>
      <c r="R6">
        <v>2</v>
      </c>
      <c r="S6">
        <v>2</v>
      </c>
      <c r="T6">
        <v>2</v>
      </c>
      <c r="U6">
        <v>1.5</v>
      </c>
      <c r="Y6" t="s">
        <v>176</v>
      </c>
      <c r="Z6">
        <v>7.04</v>
      </c>
      <c r="AB6">
        <v>0.67</v>
      </c>
      <c r="AC6">
        <v>1.88</v>
      </c>
      <c r="AD6">
        <v>2.0300000000000002</v>
      </c>
      <c r="AE6">
        <v>1.59</v>
      </c>
      <c r="AF6">
        <v>0.87</v>
      </c>
    </row>
    <row r="7" spans="1:32" x14ac:dyDescent="0.3">
      <c r="A7" s="2" t="s">
        <v>13</v>
      </c>
      <c r="B7" s="15" t="s">
        <v>182</v>
      </c>
      <c r="C7" s="3">
        <v>1</v>
      </c>
      <c r="D7" s="15" t="s">
        <v>182</v>
      </c>
      <c r="E7" s="3">
        <v>2</v>
      </c>
      <c r="F7" s="15" t="s">
        <v>127</v>
      </c>
      <c r="G7" s="3">
        <v>2</v>
      </c>
      <c r="H7" s="15" t="s">
        <v>127</v>
      </c>
      <c r="I7" s="3">
        <v>3</v>
      </c>
      <c r="J7" s="15" t="s">
        <v>127</v>
      </c>
      <c r="K7" s="3">
        <v>2</v>
      </c>
      <c r="O7" t="s">
        <v>127</v>
      </c>
      <c r="P7" s="53">
        <v>51</v>
      </c>
      <c r="R7">
        <v>13</v>
      </c>
      <c r="S7">
        <v>12</v>
      </c>
      <c r="T7">
        <v>12.5</v>
      </c>
      <c r="U7">
        <v>13.5</v>
      </c>
      <c r="Y7" t="s">
        <v>127</v>
      </c>
      <c r="Z7">
        <v>47.550000000000004</v>
      </c>
      <c r="AB7">
        <v>3.5599999999999996</v>
      </c>
      <c r="AC7">
        <v>12.490000000000002</v>
      </c>
      <c r="AD7">
        <v>12.540000000000003</v>
      </c>
      <c r="AE7">
        <v>11.329999999999998</v>
      </c>
      <c r="AF7">
        <v>7.63</v>
      </c>
    </row>
    <row r="8" spans="1:32" x14ac:dyDescent="0.3">
      <c r="A8" s="2" t="s">
        <v>13</v>
      </c>
      <c r="B8" s="15" t="s">
        <v>127</v>
      </c>
      <c r="C8" s="3">
        <v>4</v>
      </c>
      <c r="D8" s="15" t="s">
        <v>127</v>
      </c>
      <c r="E8" s="3">
        <v>2</v>
      </c>
      <c r="F8" s="3"/>
      <c r="G8" s="3"/>
      <c r="H8" s="15" t="s">
        <v>176</v>
      </c>
      <c r="I8" s="3">
        <v>1</v>
      </c>
      <c r="J8" s="15" t="s">
        <v>176</v>
      </c>
      <c r="K8" s="3">
        <v>1</v>
      </c>
      <c r="O8" t="s">
        <v>218</v>
      </c>
      <c r="P8" s="53">
        <v>0</v>
      </c>
      <c r="R8">
        <v>0</v>
      </c>
      <c r="S8">
        <v>0</v>
      </c>
      <c r="T8">
        <v>0</v>
      </c>
      <c r="U8">
        <v>0</v>
      </c>
      <c r="Y8" t="s">
        <v>218</v>
      </c>
      <c r="Z8">
        <v>1.48</v>
      </c>
      <c r="AB8">
        <v>0</v>
      </c>
      <c r="AC8">
        <v>0</v>
      </c>
      <c r="AD8">
        <v>0</v>
      </c>
      <c r="AE8">
        <v>1.48</v>
      </c>
      <c r="AF8">
        <v>0</v>
      </c>
    </row>
    <row r="9" spans="1:32" x14ac:dyDescent="0.3">
      <c r="A9" s="2" t="s">
        <v>13</v>
      </c>
      <c r="B9" s="3"/>
      <c r="C9" s="3"/>
      <c r="D9" s="3"/>
      <c r="E9" s="3"/>
      <c r="F9" s="3"/>
      <c r="G9" s="3"/>
      <c r="H9" s="3"/>
      <c r="I9" s="3"/>
      <c r="J9" s="15" t="s">
        <v>54</v>
      </c>
      <c r="K9" s="3">
        <v>2</v>
      </c>
      <c r="O9" t="s">
        <v>177</v>
      </c>
      <c r="P9" s="53">
        <v>13</v>
      </c>
      <c r="R9">
        <v>3</v>
      </c>
      <c r="S9">
        <v>3</v>
      </c>
      <c r="T9">
        <v>3.5</v>
      </c>
      <c r="U9">
        <v>3.5</v>
      </c>
      <c r="Y9" t="s">
        <v>177</v>
      </c>
      <c r="Z9">
        <v>12.78</v>
      </c>
      <c r="AB9">
        <v>0.17</v>
      </c>
      <c r="AC9">
        <v>2.89</v>
      </c>
      <c r="AD9">
        <v>3.76</v>
      </c>
      <c r="AE9">
        <v>3.36</v>
      </c>
      <c r="AF9">
        <v>2.6</v>
      </c>
    </row>
    <row r="10" spans="1:32" x14ac:dyDescent="0.3">
      <c r="A10" s="2"/>
      <c r="B10" s="3"/>
      <c r="C10" s="3"/>
      <c r="D10" s="3"/>
      <c r="E10" s="3"/>
      <c r="F10" s="3"/>
      <c r="G10" s="3"/>
      <c r="H10" s="3"/>
      <c r="I10" s="3"/>
      <c r="J10" s="3"/>
      <c r="O10" t="s">
        <v>182</v>
      </c>
      <c r="P10" s="53">
        <v>38</v>
      </c>
      <c r="R10">
        <v>9</v>
      </c>
      <c r="S10">
        <v>10</v>
      </c>
      <c r="T10">
        <v>9.5</v>
      </c>
      <c r="U10">
        <v>9.5</v>
      </c>
      <c r="Y10" t="s">
        <v>182</v>
      </c>
      <c r="Z10">
        <v>40.92</v>
      </c>
      <c r="AB10">
        <v>0.5</v>
      </c>
      <c r="AC10">
        <v>10.79</v>
      </c>
      <c r="AD10">
        <v>11.540000000000001</v>
      </c>
      <c r="AE10">
        <v>11.06</v>
      </c>
      <c r="AF10">
        <v>7.0300000000000011</v>
      </c>
    </row>
    <row r="11" spans="1:32" x14ac:dyDescent="0.3">
      <c r="O11" t="s">
        <v>178</v>
      </c>
      <c r="P11" s="53">
        <v>2</v>
      </c>
      <c r="R11">
        <v>0.5</v>
      </c>
      <c r="S11">
        <v>0.5</v>
      </c>
      <c r="T11">
        <v>0.5</v>
      </c>
      <c r="U11">
        <v>0.5</v>
      </c>
      <c r="Y11" t="s">
        <v>178</v>
      </c>
      <c r="Z11">
        <v>1.74</v>
      </c>
      <c r="AB11">
        <v>0.17</v>
      </c>
      <c r="AC11">
        <v>0.4</v>
      </c>
      <c r="AD11">
        <v>0.5</v>
      </c>
      <c r="AE11">
        <v>0.5</v>
      </c>
      <c r="AF11">
        <v>0.17</v>
      </c>
    </row>
    <row r="12" spans="1:32" x14ac:dyDescent="0.3">
      <c r="A12" s="2" t="s">
        <v>14</v>
      </c>
      <c r="B12" s="5" t="s">
        <v>179</v>
      </c>
      <c r="C12" s="3">
        <v>1.5</v>
      </c>
      <c r="D12" s="5" t="s">
        <v>179</v>
      </c>
      <c r="E12" s="3">
        <v>1</v>
      </c>
      <c r="F12" s="5" t="s">
        <v>177</v>
      </c>
      <c r="G12" s="3">
        <v>0.5</v>
      </c>
      <c r="H12" s="5" t="s">
        <v>170</v>
      </c>
      <c r="I12" s="3">
        <v>2</v>
      </c>
      <c r="J12" s="5" t="s">
        <v>178</v>
      </c>
      <c r="K12" s="3">
        <v>0.5</v>
      </c>
    </row>
    <row r="13" spans="1:32" x14ac:dyDescent="0.3">
      <c r="A13" s="2" t="s">
        <v>14</v>
      </c>
      <c r="B13" s="5" t="s">
        <v>177</v>
      </c>
      <c r="C13" s="3">
        <v>1</v>
      </c>
      <c r="D13" s="5" t="s">
        <v>177</v>
      </c>
      <c r="E13" s="3">
        <v>0.5</v>
      </c>
      <c r="F13" s="15" t="s">
        <v>182</v>
      </c>
      <c r="G13" s="3">
        <v>3</v>
      </c>
      <c r="H13" s="5" t="s">
        <v>177</v>
      </c>
      <c r="I13" s="3">
        <v>0.5</v>
      </c>
      <c r="J13" s="5" t="s">
        <v>177</v>
      </c>
      <c r="K13" s="3">
        <v>0.5</v>
      </c>
    </row>
    <row r="14" spans="1:32" x14ac:dyDescent="0.3">
      <c r="A14" s="2" t="s">
        <v>14</v>
      </c>
      <c r="B14" s="5" t="s">
        <v>185</v>
      </c>
      <c r="C14" s="3">
        <v>1.5</v>
      </c>
      <c r="D14" s="15" t="s">
        <v>182</v>
      </c>
      <c r="E14" s="3">
        <v>3</v>
      </c>
      <c r="F14" s="15" t="s">
        <v>127</v>
      </c>
      <c r="G14" s="3">
        <v>2</v>
      </c>
      <c r="H14" s="15" t="s">
        <v>182</v>
      </c>
      <c r="I14" s="3">
        <v>2</v>
      </c>
      <c r="J14" s="15" t="s">
        <v>185</v>
      </c>
      <c r="K14" s="3">
        <v>1.5</v>
      </c>
    </row>
    <row r="15" spans="1:32" x14ac:dyDescent="0.3">
      <c r="A15" s="2" t="s">
        <v>14</v>
      </c>
      <c r="B15" s="15" t="s">
        <v>182</v>
      </c>
      <c r="C15" s="3">
        <v>1</v>
      </c>
      <c r="D15" s="15" t="s">
        <v>127</v>
      </c>
      <c r="E15" s="3">
        <v>3</v>
      </c>
      <c r="F15" s="5" t="s">
        <v>185</v>
      </c>
      <c r="G15" s="3">
        <v>1</v>
      </c>
      <c r="H15" s="15" t="s">
        <v>127</v>
      </c>
      <c r="I15" s="3">
        <v>2</v>
      </c>
      <c r="J15" s="15" t="s">
        <v>182</v>
      </c>
      <c r="K15" s="3">
        <v>1</v>
      </c>
    </row>
    <row r="16" spans="1:32" x14ac:dyDescent="0.3">
      <c r="A16" s="2" t="s">
        <v>14</v>
      </c>
      <c r="B16" s="15" t="s">
        <v>127</v>
      </c>
      <c r="C16" s="3">
        <v>3</v>
      </c>
      <c r="D16" s="5"/>
      <c r="E16" s="3"/>
      <c r="F16" s="5"/>
      <c r="G16" s="3"/>
      <c r="H16" s="15" t="s">
        <v>176</v>
      </c>
      <c r="I16" s="3">
        <v>1</v>
      </c>
      <c r="J16" s="15" t="s">
        <v>127</v>
      </c>
      <c r="K16" s="3">
        <v>2</v>
      </c>
    </row>
    <row r="17" spans="1:32" x14ac:dyDescent="0.3">
      <c r="A17" s="2" t="s">
        <v>14</v>
      </c>
      <c r="B17" s="15" t="s">
        <v>176</v>
      </c>
      <c r="C17" s="3">
        <v>0.5</v>
      </c>
      <c r="D17" s="3"/>
      <c r="E17" s="3"/>
      <c r="F17" s="3"/>
      <c r="G17" s="3"/>
      <c r="H17" s="3"/>
      <c r="I17" s="3"/>
      <c r="J17" s="15" t="s">
        <v>176</v>
      </c>
      <c r="K17" s="3">
        <v>0.5</v>
      </c>
    </row>
    <row r="18" spans="1:32" x14ac:dyDescent="0.3">
      <c r="A18" s="2" t="s">
        <v>14</v>
      </c>
      <c r="B18" s="3"/>
      <c r="C18" s="3"/>
      <c r="D18" s="3"/>
      <c r="E18" s="3"/>
      <c r="F18" s="3"/>
      <c r="G18" s="3"/>
      <c r="H18" s="3"/>
      <c r="I18" s="3"/>
      <c r="J18" s="15" t="s">
        <v>54</v>
      </c>
      <c r="K18" s="3">
        <v>2</v>
      </c>
    </row>
    <row r="21" spans="1:32" x14ac:dyDescent="0.3">
      <c r="A21" s="2" t="s">
        <v>15</v>
      </c>
      <c r="B21" s="5" t="s">
        <v>179</v>
      </c>
      <c r="C21" s="3">
        <v>1.5</v>
      </c>
      <c r="D21" s="5" t="s">
        <v>179</v>
      </c>
      <c r="E21" s="3">
        <v>1</v>
      </c>
      <c r="F21" s="5" t="s">
        <v>177</v>
      </c>
      <c r="G21" s="3">
        <v>0.5</v>
      </c>
      <c r="H21" s="5" t="s">
        <v>170</v>
      </c>
      <c r="I21" s="3">
        <v>2</v>
      </c>
      <c r="J21" s="5" t="s">
        <v>178</v>
      </c>
      <c r="K21" s="3">
        <v>0.5</v>
      </c>
      <c r="O21" t="s">
        <v>3143</v>
      </c>
      <c r="P21" s="53">
        <f>SUM(P2:P20)</f>
        <v>155.5</v>
      </c>
      <c r="R21">
        <f>SUM(R2:R20)</f>
        <v>40</v>
      </c>
      <c r="S21">
        <f>SUM(S2:S20)</f>
        <v>38</v>
      </c>
      <c r="T21">
        <f>SUM(T2:T20)</f>
        <v>38.5</v>
      </c>
      <c r="U21">
        <f>SUM(U2:U20)</f>
        <v>39</v>
      </c>
      <c r="Y21" t="s">
        <v>3143</v>
      </c>
      <c r="Z21">
        <f>SUM(Z2:Z20)</f>
        <v>169.43000000000004</v>
      </c>
      <c r="AB21">
        <f>SUM(AB2:AB20)</f>
        <v>8</v>
      </c>
      <c r="AC21">
        <f>SUM(AC2:AC20)</f>
        <v>41.359999999999992</v>
      </c>
      <c r="AD21">
        <f>SUM(AD2:AD20)</f>
        <v>40.08</v>
      </c>
      <c r="AE21">
        <f>SUM(AE2:AE20)</f>
        <v>40</v>
      </c>
      <c r="AF21">
        <f>SUM(AF2:AF20)</f>
        <v>39.99</v>
      </c>
    </row>
    <row r="22" spans="1:32" x14ac:dyDescent="0.3">
      <c r="A22" s="2" t="s">
        <v>15</v>
      </c>
      <c r="B22" s="5" t="s">
        <v>177</v>
      </c>
      <c r="C22" s="3">
        <v>1.5</v>
      </c>
      <c r="D22" s="5" t="s">
        <v>177</v>
      </c>
      <c r="E22" s="3">
        <v>0.5</v>
      </c>
      <c r="F22" s="15" t="s">
        <v>182</v>
      </c>
      <c r="G22" s="3">
        <v>3.5</v>
      </c>
      <c r="H22" s="5" t="s">
        <v>177</v>
      </c>
      <c r="I22" s="3">
        <v>0.5</v>
      </c>
      <c r="J22" s="5" t="s">
        <v>177</v>
      </c>
      <c r="K22" s="3">
        <v>0.5</v>
      </c>
    </row>
    <row r="23" spans="1:32" x14ac:dyDescent="0.3">
      <c r="A23" s="2" t="s">
        <v>15</v>
      </c>
      <c r="B23" s="5" t="s">
        <v>185</v>
      </c>
      <c r="C23" s="3">
        <v>1.5</v>
      </c>
      <c r="D23" s="15" t="s">
        <v>182</v>
      </c>
      <c r="E23" s="3">
        <v>2</v>
      </c>
      <c r="F23" s="15" t="s">
        <v>127</v>
      </c>
      <c r="G23" s="3">
        <v>2</v>
      </c>
      <c r="H23" s="15" t="s">
        <v>182</v>
      </c>
      <c r="I23" s="3">
        <v>2</v>
      </c>
      <c r="J23" s="15" t="s">
        <v>185</v>
      </c>
      <c r="K23" s="3">
        <v>1.5</v>
      </c>
    </row>
    <row r="24" spans="1:32" x14ac:dyDescent="0.3">
      <c r="A24" s="2" t="s">
        <v>15</v>
      </c>
      <c r="B24" s="15" t="s">
        <v>182</v>
      </c>
      <c r="C24" s="3">
        <v>1</v>
      </c>
      <c r="D24" s="15" t="s">
        <v>127</v>
      </c>
      <c r="E24" s="3">
        <v>3.5</v>
      </c>
      <c r="F24" s="5" t="s">
        <v>185</v>
      </c>
      <c r="G24" s="3">
        <v>1</v>
      </c>
      <c r="H24" s="15" t="s">
        <v>127</v>
      </c>
      <c r="I24" s="3">
        <v>2</v>
      </c>
      <c r="J24" s="15" t="s">
        <v>182</v>
      </c>
      <c r="K24" s="3">
        <v>1</v>
      </c>
      <c r="L24" s="1"/>
      <c r="M24" s="1"/>
    </row>
    <row r="25" spans="1:32" x14ac:dyDescent="0.3">
      <c r="A25" s="2" t="s">
        <v>15</v>
      </c>
      <c r="B25" s="15" t="s">
        <v>127</v>
      </c>
      <c r="C25" s="3">
        <v>3</v>
      </c>
      <c r="D25" s="5"/>
      <c r="E25" s="3"/>
      <c r="F25" s="5"/>
      <c r="G25" s="3"/>
      <c r="H25" s="15" t="s">
        <v>176</v>
      </c>
      <c r="I25" s="3">
        <v>1</v>
      </c>
      <c r="J25" s="15" t="s">
        <v>127</v>
      </c>
      <c r="K25" s="3">
        <v>2</v>
      </c>
    </row>
    <row r="26" spans="1:32" x14ac:dyDescent="0.3">
      <c r="A26" s="2" t="s">
        <v>15</v>
      </c>
      <c r="B26" s="15" t="s">
        <v>176</v>
      </c>
      <c r="C26" s="3">
        <v>0.5</v>
      </c>
      <c r="D26" s="3"/>
      <c r="E26" s="3"/>
      <c r="F26" s="3"/>
      <c r="G26" s="3"/>
      <c r="H26" s="3"/>
      <c r="I26" s="3"/>
      <c r="J26" s="15" t="s">
        <v>176</v>
      </c>
      <c r="K26" s="3">
        <v>0.5</v>
      </c>
    </row>
    <row r="27" spans="1:32" x14ac:dyDescent="0.3">
      <c r="A27" s="2" t="s">
        <v>15</v>
      </c>
      <c r="B27" s="3"/>
      <c r="C27" s="3"/>
      <c r="D27" s="3"/>
      <c r="E27" s="3"/>
      <c r="F27" s="3"/>
      <c r="G27" s="3"/>
      <c r="H27" s="3"/>
      <c r="I27" s="3"/>
      <c r="J27" s="15" t="s">
        <v>54</v>
      </c>
      <c r="K27" s="3">
        <v>2</v>
      </c>
    </row>
    <row r="30" spans="1:32" x14ac:dyDescent="0.3">
      <c r="A30" s="2" t="s">
        <v>16</v>
      </c>
      <c r="B30" s="5" t="s">
        <v>179</v>
      </c>
      <c r="C30" s="3">
        <v>1.5</v>
      </c>
      <c r="D30" s="5" t="s">
        <v>179</v>
      </c>
      <c r="E30" s="3">
        <v>1</v>
      </c>
      <c r="F30" s="5" t="s">
        <v>177</v>
      </c>
      <c r="G30" s="3">
        <v>0.5</v>
      </c>
      <c r="H30" s="5" t="s">
        <v>170</v>
      </c>
      <c r="I30" s="3">
        <v>2</v>
      </c>
      <c r="J30" s="5" t="s">
        <v>178</v>
      </c>
      <c r="K30" s="3">
        <v>0.5</v>
      </c>
    </row>
    <row r="31" spans="1:32" x14ac:dyDescent="0.3">
      <c r="A31" s="2" t="s">
        <v>16</v>
      </c>
      <c r="B31" s="5" t="s">
        <v>177</v>
      </c>
      <c r="C31" s="3">
        <v>1.5</v>
      </c>
      <c r="D31" s="5" t="s">
        <v>177</v>
      </c>
      <c r="E31" s="3">
        <v>0.5</v>
      </c>
      <c r="F31" s="15" t="s">
        <v>182</v>
      </c>
      <c r="G31" s="3">
        <v>3.5</v>
      </c>
      <c r="H31" s="5" t="s">
        <v>177</v>
      </c>
      <c r="I31" s="3">
        <v>0.5</v>
      </c>
      <c r="J31" s="5" t="s">
        <v>177</v>
      </c>
      <c r="K31" s="3">
        <v>0.5</v>
      </c>
    </row>
    <row r="32" spans="1:32" x14ac:dyDescent="0.3">
      <c r="A32" s="2" t="s">
        <v>16</v>
      </c>
      <c r="B32" s="5" t="s">
        <v>185</v>
      </c>
      <c r="C32" s="3">
        <v>1.5</v>
      </c>
      <c r="D32" s="15" t="s">
        <v>182</v>
      </c>
      <c r="E32" s="3">
        <v>2</v>
      </c>
      <c r="F32" s="15" t="s">
        <v>127</v>
      </c>
      <c r="G32" s="3">
        <v>4</v>
      </c>
      <c r="H32" s="15" t="s">
        <v>182</v>
      </c>
      <c r="I32" s="3">
        <v>2</v>
      </c>
      <c r="J32" s="15" t="s">
        <v>185</v>
      </c>
      <c r="K32" s="3">
        <v>1.5</v>
      </c>
    </row>
    <row r="33" spans="1:13" x14ac:dyDescent="0.3">
      <c r="A33" s="2" t="s">
        <v>16</v>
      </c>
      <c r="B33" s="15" t="s">
        <v>182</v>
      </c>
      <c r="C33" s="3">
        <v>1</v>
      </c>
      <c r="D33" s="15" t="s">
        <v>127</v>
      </c>
      <c r="E33" s="3">
        <v>3.5</v>
      </c>
      <c r="F33" s="3"/>
      <c r="G33" s="3"/>
      <c r="H33" s="15" t="s">
        <v>127</v>
      </c>
      <c r="I33" s="3">
        <v>2</v>
      </c>
      <c r="J33" s="15" t="s">
        <v>182</v>
      </c>
      <c r="K33" s="3">
        <v>1</v>
      </c>
    </row>
    <row r="34" spans="1:13" x14ac:dyDescent="0.3">
      <c r="A34" s="2" t="s">
        <v>16</v>
      </c>
      <c r="B34" s="15" t="s">
        <v>127</v>
      </c>
      <c r="C34" s="3">
        <v>2</v>
      </c>
      <c r="D34" s="3"/>
      <c r="E34" s="3"/>
      <c r="F34" s="3"/>
      <c r="G34" s="3"/>
      <c r="H34" s="15" t="s">
        <v>176</v>
      </c>
      <c r="I34" s="3">
        <v>0.5</v>
      </c>
      <c r="J34" s="15" t="s">
        <v>127</v>
      </c>
      <c r="K34" s="3">
        <v>2</v>
      </c>
    </row>
    <row r="35" spans="1:13" x14ac:dyDescent="0.3">
      <c r="A35" s="2" t="s">
        <v>16</v>
      </c>
      <c r="B35" s="15" t="s">
        <v>176</v>
      </c>
      <c r="C35" s="3">
        <v>0.5</v>
      </c>
      <c r="D35" s="3"/>
      <c r="E35" s="3"/>
      <c r="F35" s="3"/>
      <c r="G35" s="3"/>
      <c r="H35" s="15" t="s">
        <v>185</v>
      </c>
      <c r="I35" s="3">
        <v>1</v>
      </c>
      <c r="J35" s="15" t="s">
        <v>176</v>
      </c>
      <c r="K35" s="3">
        <v>0.5</v>
      </c>
    </row>
    <row r="36" spans="1:13" x14ac:dyDescent="0.3">
      <c r="A36" s="2" t="s">
        <v>16</v>
      </c>
      <c r="B36" s="3"/>
      <c r="C36" s="3"/>
      <c r="D36" s="3"/>
      <c r="E36" s="3"/>
      <c r="F36" s="3"/>
      <c r="G36" s="3"/>
      <c r="H36" s="3"/>
      <c r="I36" s="3"/>
      <c r="J36" s="15" t="s">
        <v>54</v>
      </c>
      <c r="K36" s="3">
        <v>2</v>
      </c>
    </row>
    <row r="37" spans="1:13" x14ac:dyDescent="0.3">
      <c r="H37" s="3"/>
    </row>
    <row r="38" spans="1:13" x14ac:dyDescent="0.3">
      <c r="A38" s="2"/>
      <c r="H38" s="3"/>
    </row>
    <row r="39" spans="1:13" x14ac:dyDescent="0.3">
      <c r="A39" s="2" t="s">
        <v>17</v>
      </c>
      <c r="H39" s="3"/>
      <c r="L39" s="1" t="s">
        <v>3144</v>
      </c>
      <c r="M39" s="1">
        <v>169.43000000000004</v>
      </c>
    </row>
    <row r="40" spans="1:13" x14ac:dyDescent="0.3">
      <c r="B40" s="19" t="s">
        <v>378</v>
      </c>
      <c r="D40" s="19" t="s">
        <v>576</v>
      </c>
      <c r="F40" s="19" t="s">
        <v>747</v>
      </c>
      <c r="H40" s="19" t="s">
        <v>897</v>
      </c>
      <c r="J40" s="19" t="s">
        <v>33</v>
      </c>
    </row>
    <row r="41" spans="1:13" x14ac:dyDescent="0.3">
      <c r="A41" s="19" t="s">
        <v>13</v>
      </c>
      <c r="J41" s="16" t="s">
        <v>54</v>
      </c>
      <c r="K41">
        <v>0.77</v>
      </c>
    </row>
    <row r="42" spans="1:13" x14ac:dyDescent="0.3">
      <c r="A42" s="19" t="s">
        <v>13</v>
      </c>
      <c r="J42" s="16" t="s">
        <v>185</v>
      </c>
      <c r="K42">
        <v>1.83</v>
      </c>
    </row>
    <row r="43" spans="1:13" x14ac:dyDescent="0.3">
      <c r="A43" s="19" t="s">
        <v>13</v>
      </c>
      <c r="J43" s="16" t="s">
        <v>179</v>
      </c>
      <c r="K43">
        <v>0.33</v>
      </c>
    </row>
    <row r="44" spans="1:13" x14ac:dyDescent="0.3">
      <c r="A44" s="19" t="s">
        <v>13</v>
      </c>
      <c r="J44" s="16" t="s">
        <v>176</v>
      </c>
      <c r="K44">
        <v>0.67</v>
      </c>
    </row>
    <row r="45" spans="1:13" x14ac:dyDescent="0.3">
      <c r="A45" s="19" t="s">
        <v>13</v>
      </c>
      <c r="J45" s="16" t="s">
        <v>127</v>
      </c>
      <c r="K45">
        <v>3.5599999999999996</v>
      </c>
    </row>
    <row r="46" spans="1:13" x14ac:dyDescent="0.3">
      <c r="A46" s="19" t="s">
        <v>13</v>
      </c>
      <c r="J46" s="16" t="s">
        <v>177</v>
      </c>
      <c r="K46">
        <v>0.17</v>
      </c>
    </row>
    <row r="47" spans="1:13" x14ac:dyDescent="0.3">
      <c r="A47" s="19" t="s">
        <v>13</v>
      </c>
      <c r="J47" s="16" t="s">
        <v>182</v>
      </c>
      <c r="K47">
        <v>0.5</v>
      </c>
    </row>
    <row r="48" spans="1:13" x14ac:dyDescent="0.3">
      <c r="A48" s="19" t="s">
        <v>13</v>
      </c>
      <c r="J48" s="16" t="s">
        <v>178</v>
      </c>
      <c r="K48">
        <v>0.17</v>
      </c>
    </row>
    <row r="51" spans="1:11" x14ac:dyDescent="0.3">
      <c r="A51" s="19" t="s">
        <v>14</v>
      </c>
      <c r="B51" s="16" t="s">
        <v>54</v>
      </c>
      <c r="C51">
        <v>1.02</v>
      </c>
      <c r="D51" s="16" t="s">
        <v>54</v>
      </c>
      <c r="E51">
        <v>1.02</v>
      </c>
      <c r="F51" s="16" t="s">
        <v>54</v>
      </c>
      <c r="G51">
        <v>1.73</v>
      </c>
      <c r="H51" s="16" t="s">
        <v>170</v>
      </c>
      <c r="I51">
        <v>2.17</v>
      </c>
      <c r="J51" s="16" t="s">
        <v>54</v>
      </c>
      <c r="K51">
        <v>1.7</v>
      </c>
    </row>
    <row r="52" spans="1:11" x14ac:dyDescent="0.3">
      <c r="A52" s="19" t="s">
        <v>14</v>
      </c>
      <c r="B52" s="16" t="s">
        <v>185</v>
      </c>
      <c r="C52">
        <v>0.13</v>
      </c>
      <c r="D52" s="16" t="s">
        <v>185</v>
      </c>
      <c r="E52">
        <v>1.18</v>
      </c>
      <c r="F52" s="16" t="s">
        <v>185</v>
      </c>
      <c r="G52">
        <v>1.9300000000000002</v>
      </c>
      <c r="H52" s="16" t="s">
        <v>127</v>
      </c>
      <c r="I52">
        <v>3.1</v>
      </c>
      <c r="J52" s="16" t="s">
        <v>185</v>
      </c>
      <c r="K52">
        <v>0.5</v>
      </c>
    </row>
    <row r="53" spans="1:11" x14ac:dyDescent="0.3">
      <c r="A53" s="19" t="s">
        <v>14</v>
      </c>
      <c r="B53" s="16" t="s">
        <v>179</v>
      </c>
      <c r="C53">
        <v>1.53</v>
      </c>
      <c r="D53" s="16" t="s">
        <v>176</v>
      </c>
      <c r="E53">
        <v>0.38</v>
      </c>
      <c r="F53" s="16" t="s">
        <v>176</v>
      </c>
      <c r="G53">
        <v>0.63</v>
      </c>
      <c r="H53" s="16" t="s">
        <v>177</v>
      </c>
      <c r="I53">
        <v>1.4200000000000002</v>
      </c>
      <c r="J53" s="16" t="s">
        <v>127</v>
      </c>
      <c r="K53">
        <v>2.2999999999999998</v>
      </c>
    </row>
    <row r="54" spans="1:11" x14ac:dyDescent="0.3">
      <c r="A54" s="19" t="s">
        <v>14</v>
      </c>
      <c r="B54" s="16" t="s">
        <v>176</v>
      </c>
      <c r="C54">
        <v>0.87</v>
      </c>
      <c r="D54" s="16" t="s">
        <v>127</v>
      </c>
      <c r="E54">
        <v>3.4699999999999998</v>
      </c>
      <c r="F54" s="16" t="s">
        <v>127</v>
      </c>
      <c r="G54">
        <v>0.67</v>
      </c>
      <c r="H54" s="16" t="s">
        <v>182</v>
      </c>
      <c r="I54">
        <v>1.32</v>
      </c>
      <c r="J54" s="16" t="s">
        <v>177</v>
      </c>
      <c r="K54">
        <v>1</v>
      </c>
    </row>
    <row r="55" spans="1:11" x14ac:dyDescent="0.3">
      <c r="A55" s="19" t="s">
        <v>14</v>
      </c>
      <c r="B55" s="16" t="s">
        <v>127</v>
      </c>
      <c r="C55">
        <v>2.95</v>
      </c>
      <c r="D55" s="16" t="s">
        <v>177</v>
      </c>
      <c r="E55">
        <v>0.15</v>
      </c>
      <c r="F55" s="16" t="s">
        <v>177</v>
      </c>
      <c r="G55">
        <v>0.32</v>
      </c>
      <c r="J55" s="16" t="s">
        <v>182</v>
      </c>
      <c r="K55">
        <v>2.5299999999999998</v>
      </c>
    </row>
    <row r="56" spans="1:11" x14ac:dyDescent="0.3">
      <c r="A56" s="19" t="s">
        <v>14</v>
      </c>
      <c r="B56" s="16" t="s">
        <v>182</v>
      </c>
      <c r="C56">
        <v>1.42</v>
      </c>
      <c r="D56" s="16" t="s">
        <v>182</v>
      </c>
      <c r="E56">
        <v>2.5300000000000002</v>
      </c>
      <c r="F56" s="16" t="s">
        <v>182</v>
      </c>
      <c r="G56">
        <v>2.9899999999999998</v>
      </c>
    </row>
    <row r="57" spans="1:11" x14ac:dyDescent="0.3">
      <c r="A57" s="19" t="s">
        <v>14</v>
      </c>
      <c r="B57" s="16" t="s">
        <v>178</v>
      </c>
      <c r="C57">
        <v>0.4</v>
      </c>
    </row>
    <row r="60" spans="1:11" x14ac:dyDescent="0.3">
      <c r="A60" s="19" t="s">
        <v>15</v>
      </c>
      <c r="B60" s="16" t="s">
        <v>185</v>
      </c>
      <c r="C60">
        <v>0.6</v>
      </c>
      <c r="D60" s="16" t="s">
        <v>185</v>
      </c>
      <c r="E60">
        <v>0.32</v>
      </c>
      <c r="F60" s="16" t="s">
        <v>54</v>
      </c>
      <c r="G60">
        <v>0.57999999999999996</v>
      </c>
      <c r="H60" s="16" t="s">
        <v>185</v>
      </c>
      <c r="I60">
        <v>0.92999999999999994</v>
      </c>
      <c r="J60" s="16" t="s">
        <v>54</v>
      </c>
      <c r="K60">
        <v>0.5</v>
      </c>
    </row>
    <row r="61" spans="1:11" x14ac:dyDescent="0.3">
      <c r="A61" s="19" t="s">
        <v>15</v>
      </c>
      <c r="B61" s="16" t="s">
        <v>179</v>
      </c>
      <c r="C61">
        <v>2.12</v>
      </c>
      <c r="D61" s="16" t="s">
        <v>179</v>
      </c>
      <c r="E61">
        <v>0.78</v>
      </c>
      <c r="F61" s="16" t="s">
        <v>185</v>
      </c>
      <c r="G61">
        <v>1.25</v>
      </c>
      <c r="H61" s="16" t="s">
        <v>170</v>
      </c>
      <c r="I61">
        <v>2</v>
      </c>
      <c r="J61" s="16" t="s">
        <v>179</v>
      </c>
      <c r="K61">
        <v>0.13</v>
      </c>
    </row>
    <row r="62" spans="1:11" x14ac:dyDescent="0.3">
      <c r="A62" s="19" t="s">
        <v>15</v>
      </c>
      <c r="B62" s="16" t="s">
        <v>176</v>
      </c>
      <c r="C62">
        <v>0.43</v>
      </c>
      <c r="D62" s="16" t="s">
        <v>176</v>
      </c>
      <c r="E62">
        <v>0.35</v>
      </c>
      <c r="F62" s="16" t="s">
        <v>179</v>
      </c>
      <c r="G62">
        <v>0.5</v>
      </c>
      <c r="H62" s="16" t="s">
        <v>176</v>
      </c>
      <c r="I62">
        <v>0.5</v>
      </c>
      <c r="J62" s="16" t="s">
        <v>176</v>
      </c>
      <c r="K62">
        <v>0.25</v>
      </c>
    </row>
    <row r="63" spans="1:11" x14ac:dyDescent="0.3">
      <c r="A63" s="19" t="s">
        <v>15</v>
      </c>
      <c r="B63" s="16" t="s">
        <v>127</v>
      </c>
      <c r="C63">
        <v>2.67</v>
      </c>
      <c r="D63" s="16" t="s">
        <v>127</v>
      </c>
      <c r="E63">
        <v>4.59</v>
      </c>
      <c r="F63" s="16" t="s">
        <v>176</v>
      </c>
      <c r="G63">
        <v>0.5</v>
      </c>
      <c r="H63" s="16" t="s">
        <v>127</v>
      </c>
      <c r="I63">
        <v>0.47</v>
      </c>
      <c r="J63" s="16" t="s">
        <v>127</v>
      </c>
      <c r="K63">
        <v>2.13</v>
      </c>
    </row>
    <row r="64" spans="1:11" x14ac:dyDescent="0.3">
      <c r="A64" s="19" t="s">
        <v>15</v>
      </c>
      <c r="B64" s="16" t="s">
        <v>177</v>
      </c>
      <c r="C64">
        <v>1.38</v>
      </c>
      <c r="D64" s="16" t="s">
        <v>177</v>
      </c>
      <c r="E64">
        <v>0.75</v>
      </c>
      <c r="F64" s="16" t="s">
        <v>127</v>
      </c>
      <c r="G64">
        <v>2.6799999999999997</v>
      </c>
      <c r="H64" s="16" t="s">
        <v>177</v>
      </c>
      <c r="I64">
        <v>0.83000000000000007</v>
      </c>
      <c r="J64" s="16" t="s">
        <v>177</v>
      </c>
      <c r="K64">
        <v>0.67</v>
      </c>
    </row>
    <row r="65" spans="1:11" x14ac:dyDescent="0.3">
      <c r="A65" s="19" t="s">
        <v>15</v>
      </c>
      <c r="B65" s="16" t="s">
        <v>182</v>
      </c>
      <c r="C65">
        <v>0.8</v>
      </c>
      <c r="D65" s="16" t="s">
        <v>182</v>
      </c>
      <c r="E65">
        <v>1.3</v>
      </c>
      <c r="F65" s="16" t="s">
        <v>177</v>
      </c>
      <c r="G65">
        <v>0.13</v>
      </c>
      <c r="H65" s="16" t="s">
        <v>182</v>
      </c>
      <c r="I65">
        <v>3.27</v>
      </c>
      <c r="J65" s="16" t="s">
        <v>182</v>
      </c>
      <c r="K65">
        <v>3.82</v>
      </c>
    </row>
    <row r="66" spans="1:11" x14ac:dyDescent="0.3">
      <c r="A66" s="19" t="s">
        <v>15</v>
      </c>
      <c r="F66" s="16" t="s">
        <v>182</v>
      </c>
      <c r="G66">
        <v>2.35</v>
      </c>
      <c r="J66" s="16" t="s">
        <v>178</v>
      </c>
      <c r="K66">
        <v>0.5</v>
      </c>
    </row>
    <row r="69" spans="1:11" x14ac:dyDescent="0.3">
      <c r="A69" s="19" t="s">
        <v>16</v>
      </c>
      <c r="B69" s="16" t="s">
        <v>54</v>
      </c>
      <c r="C69">
        <v>0.4</v>
      </c>
      <c r="D69" s="16" t="s">
        <v>54</v>
      </c>
      <c r="E69">
        <v>0.51</v>
      </c>
      <c r="F69" s="16" t="s">
        <v>179</v>
      </c>
      <c r="G69">
        <v>0.17</v>
      </c>
      <c r="H69" s="16" t="s">
        <v>54</v>
      </c>
      <c r="I69">
        <v>0.4</v>
      </c>
      <c r="J69" s="16" t="s">
        <v>54</v>
      </c>
      <c r="K69">
        <v>1.62</v>
      </c>
    </row>
    <row r="70" spans="1:11" x14ac:dyDescent="0.3">
      <c r="A70" s="19" t="s">
        <v>16</v>
      </c>
      <c r="B70" s="16" t="s">
        <v>179</v>
      </c>
      <c r="C70">
        <v>1.47</v>
      </c>
      <c r="D70" s="16" t="s">
        <v>185</v>
      </c>
      <c r="E70">
        <v>0.78</v>
      </c>
      <c r="F70" s="16" t="s">
        <v>170</v>
      </c>
      <c r="G70">
        <v>0.25</v>
      </c>
      <c r="H70" s="16" t="s">
        <v>185</v>
      </c>
      <c r="I70">
        <v>0.48</v>
      </c>
      <c r="J70" s="16" t="s">
        <v>185</v>
      </c>
      <c r="K70">
        <v>1.4</v>
      </c>
    </row>
    <row r="71" spans="1:11" x14ac:dyDescent="0.3">
      <c r="A71" s="19" t="s">
        <v>16</v>
      </c>
      <c r="B71" s="16" t="s">
        <v>176</v>
      </c>
      <c r="C71">
        <v>0.67</v>
      </c>
      <c r="D71" s="16" t="s">
        <v>179</v>
      </c>
      <c r="E71">
        <v>0.98</v>
      </c>
      <c r="F71" s="16" t="s">
        <v>127</v>
      </c>
      <c r="G71">
        <v>2.33</v>
      </c>
      <c r="H71" s="16" t="s">
        <v>170</v>
      </c>
      <c r="I71">
        <v>1.77</v>
      </c>
      <c r="J71" s="16" t="s">
        <v>179</v>
      </c>
      <c r="K71">
        <v>0.45</v>
      </c>
    </row>
    <row r="72" spans="1:11" x14ac:dyDescent="0.3">
      <c r="A72" s="19" t="s">
        <v>16</v>
      </c>
      <c r="B72" s="16" t="s">
        <v>127</v>
      </c>
      <c r="C72">
        <v>3.49</v>
      </c>
      <c r="D72" s="16" t="s">
        <v>127</v>
      </c>
      <c r="E72">
        <v>1.33</v>
      </c>
      <c r="F72" s="16" t="s">
        <v>218</v>
      </c>
      <c r="G72">
        <v>1.48</v>
      </c>
      <c r="H72" s="16" t="s">
        <v>176</v>
      </c>
      <c r="I72">
        <v>0.92</v>
      </c>
      <c r="J72" s="16" t="s">
        <v>127</v>
      </c>
      <c r="K72">
        <v>2.0299999999999998</v>
      </c>
    </row>
    <row r="73" spans="1:11" x14ac:dyDescent="0.3">
      <c r="A73" s="19" t="s">
        <v>16</v>
      </c>
      <c r="B73" s="16" t="s">
        <v>177</v>
      </c>
      <c r="C73">
        <v>0.23</v>
      </c>
      <c r="D73" s="16" t="s">
        <v>177</v>
      </c>
      <c r="E73">
        <v>1.92</v>
      </c>
      <c r="F73" s="16" t="s">
        <v>177</v>
      </c>
      <c r="G73">
        <v>0.33</v>
      </c>
      <c r="H73" s="16" t="s">
        <v>127</v>
      </c>
      <c r="I73">
        <v>2.15</v>
      </c>
      <c r="J73" s="16" t="s">
        <v>177</v>
      </c>
      <c r="K73">
        <v>0.5</v>
      </c>
    </row>
    <row r="74" spans="1:11" x14ac:dyDescent="0.3">
      <c r="A74" s="19" t="s">
        <v>16</v>
      </c>
      <c r="B74" s="16" t="s">
        <v>182</v>
      </c>
      <c r="C74">
        <v>1.75</v>
      </c>
      <c r="D74" s="16" t="s">
        <v>182</v>
      </c>
      <c r="E74">
        <v>2.4700000000000002</v>
      </c>
      <c r="F74" s="16" t="s">
        <v>182</v>
      </c>
      <c r="G74">
        <v>3.44</v>
      </c>
      <c r="H74" s="16" t="s">
        <v>177</v>
      </c>
      <c r="I74">
        <v>0.38</v>
      </c>
      <c r="J74" s="16" t="s">
        <v>182</v>
      </c>
      <c r="K74">
        <v>1.5</v>
      </c>
    </row>
    <row r="75" spans="1:11" x14ac:dyDescent="0.3">
      <c r="A75" s="19" t="s">
        <v>16</v>
      </c>
      <c r="H75" s="16" t="s">
        <v>182</v>
      </c>
      <c r="I75">
        <v>1.9</v>
      </c>
      <c r="J75" s="16" t="s">
        <v>178</v>
      </c>
      <c r="K75">
        <v>0.5</v>
      </c>
    </row>
    <row r="78" spans="1:11" x14ac:dyDescent="0.3">
      <c r="A78" s="19" t="s">
        <v>18</v>
      </c>
      <c r="B78" s="16" t="s">
        <v>185</v>
      </c>
      <c r="C78">
        <v>0.92</v>
      </c>
      <c r="D78" s="16" t="s">
        <v>54</v>
      </c>
      <c r="E78">
        <v>0.6100000000000001</v>
      </c>
      <c r="F78" s="16" t="s">
        <v>54</v>
      </c>
      <c r="G78">
        <v>0.68</v>
      </c>
      <c r="H78" s="16" t="s">
        <v>54</v>
      </c>
      <c r="I78">
        <v>8</v>
      </c>
      <c r="J78" s="16" t="s">
        <v>54</v>
      </c>
      <c r="K78">
        <v>8</v>
      </c>
    </row>
    <row r="79" spans="1:11" x14ac:dyDescent="0.3">
      <c r="A79" s="19" t="s">
        <v>18</v>
      </c>
      <c r="B79" s="16" t="s">
        <v>179</v>
      </c>
      <c r="C79">
        <v>1.03</v>
      </c>
      <c r="D79" s="16" t="s">
        <v>185</v>
      </c>
      <c r="E79">
        <v>1</v>
      </c>
      <c r="F79" s="16" t="s">
        <v>170</v>
      </c>
      <c r="G79">
        <v>1</v>
      </c>
    </row>
    <row r="80" spans="1:11" x14ac:dyDescent="0.3">
      <c r="A80" s="19" t="s">
        <v>18</v>
      </c>
      <c r="B80" s="16" t="s">
        <v>176</v>
      </c>
      <c r="C80">
        <v>0.5</v>
      </c>
      <c r="D80" s="16" t="s">
        <v>179</v>
      </c>
      <c r="E80">
        <v>0.45</v>
      </c>
      <c r="F80" s="16" t="s">
        <v>127</v>
      </c>
      <c r="G80">
        <v>2.87</v>
      </c>
    </row>
    <row r="81" spans="1:7" x14ac:dyDescent="0.3">
      <c r="A81" s="19" t="s">
        <v>18</v>
      </c>
      <c r="B81" s="16" t="s">
        <v>127</v>
      </c>
      <c r="C81">
        <v>2.2800000000000002</v>
      </c>
      <c r="D81" s="16" t="s">
        <v>176</v>
      </c>
      <c r="E81">
        <v>0.37</v>
      </c>
      <c r="F81" s="16" t="s">
        <v>182</v>
      </c>
      <c r="G81">
        <v>3.45</v>
      </c>
    </row>
    <row r="82" spans="1:7" x14ac:dyDescent="0.3">
      <c r="A82" s="19" t="s">
        <v>18</v>
      </c>
      <c r="B82" s="16" t="s">
        <v>177</v>
      </c>
      <c r="C82">
        <v>1.28</v>
      </c>
      <c r="D82" s="16" t="s">
        <v>127</v>
      </c>
      <c r="E82">
        <v>2.48</v>
      </c>
    </row>
    <row r="83" spans="1:7" x14ac:dyDescent="0.3">
      <c r="A83" s="19" t="s">
        <v>18</v>
      </c>
      <c r="B83" s="16" t="s">
        <v>182</v>
      </c>
      <c r="C83">
        <v>1.98</v>
      </c>
      <c r="D83" s="16" t="s">
        <v>177</v>
      </c>
      <c r="E83">
        <v>1.32</v>
      </c>
    </row>
    <row r="84" spans="1:7" x14ac:dyDescent="0.3">
      <c r="A84" s="19" t="s">
        <v>18</v>
      </c>
      <c r="D84" s="16" t="s">
        <v>182</v>
      </c>
      <c r="E84">
        <v>1.6</v>
      </c>
    </row>
    <row r="85" spans="1:7" x14ac:dyDescent="0.3">
      <c r="A85" s="19" t="s">
        <v>18</v>
      </c>
      <c r="D85" s="16" t="s">
        <v>178</v>
      </c>
      <c r="E85">
        <v>0.17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35B6BD3-20CE-4234-824C-213E93F7CEA9}">
          <x14:formula1>
            <xm:f>'Client Name'!$A:$A</xm:f>
          </x14:formula1>
          <xm:sqref>H37:H39 Y4:Y8</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5DE70-F772-47D0-8699-CD6A30E645AA}">
  <sheetPr codeName="Sheet17"/>
  <dimension ref="A1:AF89"/>
  <sheetViews>
    <sheetView zoomScale="70" zoomScaleNormal="70" workbookViewId="0">
      <selection activeCell="L1" sqref="L1"/>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8.5546875" customWidth="1"/>
    <col min="6" max="6" width="31.109375" style="16" customWidth="1"/>
    <col min="7" max="7" width="7.3320312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style="53" customWidth="1"/>
    <col min="25" max="25" width="26" customWidth="1"/>
    <col min="26" max="26" width="12.88671875" customWidth="1"/>
  </cols>
  <sheetData>
    <row r="1" spans="1:32" ht="31.95" customHeight="1" thickBot="1" x14ac:dyDescent="0.35">
      <c r="A1" s="49" t="s">
        <v>3051</v>
      </c>
      <c r="B1" s="43" t="s">
        <v>331</v>
      </c>
      <c r="C1" s="14"/>
      <c r="D1" s="2"/>
      <c r="E1" s="14"/>
      <c r="F1" s="2"/>
      <c r="G1" s="14"/>
      <c r="H1" s="2"/>
      <c r="I1" s="14"/>
      <c r="J1" s="2"/>
      <c r="K1" s="14"/>
      <c r="L1" s="1" t="s">
        <v>3144</v>
      </c>
      <c r="M1" s="1">
        <v>192</v>
      </c>
      <c r="O1" s="32" t="s">
        <v>0</v>
      </c>
      <c r="P1" s="52"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91</v>
      </c>
      <c r="P2" s="53">
        <v>144</v>
      </c>
      <c r="Q2" s="16"/>
      <c r="R2">
        <v>36</v>
      </c>
      <c r="S2">
        <v>36</v>
      </c>
      <c r="T2">
        <v>36</v>
      </c>
      <c r="U2">
        <v>36</v>
      </c>
      <c r="Y2" t="s">
        <v>91</v>
      </c>
      <c r="Z2">
        <v>62.050000000000004</v>
      </c>
      <c r="AB2">
        <v>0</v>
      </c>
      <c r="AC2">
        <v>19.48</v>
      </c>
      <c r="AD2">
        <v>13.339999999999998</v>
      </c>
      <c r="AE2">
        <v>13.639999999999999</v>
      </c>
      <c r="AF2">
        <v>15.590000000000002</v>
      </c>
    </row>
    <row r="3" spans="1:32" x14ac:dyDescent="0.3">
      <c r="A3" s="3"/>
      <c r="B3" s="2" t="s">
        <v>378</v>
      </c>
      <c r="C3" s="2"/>
      <c r="D3" s="2" t="s">
        <v>576</v>
      </c>
      <c r="E3" s="2"/>
      <c r="F3" s="2" t="s">
        <v>747</v>
      </c>
      <c r="G3" s="2"/>
      <c r="H3" s="2" t="s">
        <v>897</v>
      </c>
      <c r="I3" s="2"/>
      <c r="J3" s="2" t="s">
        <v>33</v>
      </c>
      <c r="O3" t="s">
        <v>1170</v>
      </c>
      <c r="P3" s="53">
        <v>0</v>
      </c>
      <c r="Q3" s="16"/>
      <c r="R3">
        <v>0</v>
      </c>
      <c r="S3">
        <v>0</v>
      </c>
      <c r="T3">
        <v>0</v>
      </c>
      <c r="U3">
        <v>0</v>
      </c>
      <c r="Y3" t="s">
        <v>1170</v>
      </c>
      <c r="Z3">
        <v>0.1</v>
      </c>
      <c r="AB3">
        <v>0</v>
      </c>
      <c r="AC3">
        <v>0.1</v>
      </c>
      <c r="AD3">
        <v>0</v>
      </c>
      <c r="AE3">
        <v>0</v>
      </c>
      <c r="AF3">
        <v>0</v>
      </c>
    </row>
    <row r="4" spans="1:32" x14ac:dyDescent="0.3">
      <c r="A4" s="2" t="s">
        <v>13</v>
      </c>
      <c r="B4" s="5" t="s">
        <v>176</v>
      </c>
      <c r="C4" s="3">
        <v>0.8</v>
      </c>
      <c r="D4" s="5" t="s">
        <v>176</v>
      </c>
      <c r="E4" s="3">
        <v>0.8</v>
      </c>
      <c r="F4" s="5" t="s">
        <v>176</v>
      </c>
      <c r="G4" s="3">
        <v>0.8</v>
      </c>
      <c r="H4" s="5" t="s">
        <v>176</v>
      </c>
      <c r="I4" s="3">
        <v>0.8</v>
      </c>
      <c r="J4" s="5" t="s">
        <v>176</v>
      </c>
      <c r="K4" s="3">
        <v>0.8</v>
      </c>
      <c r="O4" t="s">
        <v>54</v>
      </c>
      <c r="P4" s="53">
        <v>2</v>
      </c>
      <c r="Q4" s="16"/>
      <c r="R4">
        <v>0</v>
      </c>
      <c r="S4">
        <v>0</v>
      </c>
      <c r="T4">
        <v>0</v>
      </c>
      <c r="U4">
        <v>2</v>
      </c>
      <c r="Y4" t="s">
        <v>54</v>
      </c>
      <c r="Z4">
        <v>50.1</v>
      </c>
      <c r="AB4">
        <v>1.25</v>
      </c>
      <c r="AC4">
        <v>6.18</v>
      </c>
      <c r="AD4">
        <v>11.1</v>
      </c>
      <c r="AE4">
        <v>17.5</v>
      </c>
      <c r="AF4">
        <v>14.07</v>
      </c>
    </row>
    <row r="5" spans="1:32" x14ac:dyDescent="0.3">
      <c r="A5" s="2" t="s">
        <v>13</v>
      </c>
      <c r="B5" s="5" t="s">
        <v>182</v>
      </c>
      <c r="C5" s="3">
        <v>0.6</v>
      </c>
      <c r="D5" s="5" t="s">
        <v>182</v>
      </c>
      <c r="E5" s="3">
        <v>0.6</v>
      </c>
      <c r="F5" s="5" t="s">
        <v>182</v>
      </c>
      <c r="G5" s="3">
        <v>0.6</v>
      </c>
      <c r="H5" s="5" t="s">
        <v>182</v>
      </c>
      <c r="I5" s="3">
        <v>0.6</v>
      </c>
      <c r="J5" s="5" t="s">
        <v>182</v>
      </c>
      <c r="K5" s="3">
        <v>0.6</v>
      </c>
      <c r="O5" t="s">
        <v>185</v>
      </c>
      <c r="P5" s="53">
        <v>1</v>
      </c>
      <c r="Q5" s="16"/>
      <c r="R5">
        <v>0</v>
      </c>
      <c r="S5">
        <v>0</v>
      </c>
      <c r="T5">
        <v>0</v>
      </c>
      <c r="U5">
        <v>1</v>
      </c>
      <c r="Y5" t="s">
        <v>185</v>
      </c>
      <c r="Z5">
        <v>0</v>
      </c>
      <c r="AB5">
        <v>0</v>
      </c>
      <c r="AC5">
        <v>0</v>
      </c>
      <c r="AD5">
        <v>0</v>
      </c>
      <c r="AE5">
        <v>0</v>
      </c>
      <c r="AF5">
        <v>0</v>
      </c>
    </row>
    <row r="6" spans="1:32" x14ac:dyDescent="0.3">
      <c r="A6" s="2" t="s">
        <v>13</v>
      </c>
      <c r="B6" s="5" t="s">
        <v>337</v>
      </c>
      <c r="C6" s="3">
        <v>0.2</v>
      </c>
      <c r="D6" s="5" t="s">
        <v>337</v>
      </c>
      <c r="E6" s="3">
        <v>0.2</v>
      </c>
      <c r="F6" s="5" t="s">
        <v>337</v>
      </c>
      <c r="G6" s="3">
        <v>0.2</v>
      </c>
      <c r="H6" s="5" t="s">
        <v>337</v>
      </c>
      <c r="I6" s="3">
        <v>0.2</v>
      </c>
      <c r="J6" s="5" t="s">
        <v>337</v>
      </c>
      <c r="K6" s="3">
        <v>0.2</v>
      </c>
      <c r="O6" t="s">
        <v>176</v>
      </c>
      <c r="P6" s="53">
        <v>17</v>
      </c>
      <c r="Q6" s="16"/>
      <c r="R6">
        <v>4</v>
      </c>
      <c r="S6">
        <v>4</v>
      </c>
      <c r="T6">
        <v>4</v>
      </c>
      <c r="U6">
        <v>5</v>
      </c>
      <c r="Y6" t="s">
        <v>176</v>
      </c>
      <c r="Z6">
        <v>17.340000000000003</v>
      </c>
      <c r="AB6">
        <v>0</v>
      </c>
      <c r="AC6">
        <v>5.9600000000000009</v>
      </c>
      <c r="AD6">
        <v>4.3899999999999997</v>
      </c>
      <c r="AE6">
        <v>3.4099999999999997</v>
      </c>
      <c r="AF6">
        <v>3.58</v>
      </c>
    </row>
    <row r="7" spans="1:32" x14ac:dyDescent="0.3">
      <c r="A7" s="2" t="s">
        <v>13</v>
      </c>
      <c r="B7" s="15" t="s">
        <v>334</v>
      </c>
      <c r="C7" s="3">
        <v>0.2</v>
      </c>
      <c r="D7" s="15" t="s">
        <v>334</v>
      </c>
      <c r="E7" s="3">
        <v>0.2</v>
      </c>
      <c r="F7" s="15" t="s">
        <v>334</v>
      </c>
      <c r="G7" s="3">
        <v>0.2</v>
      </c>
      <c r="H7" s="15" t="s">
        <v>334</v>
      </c>
      <c r="I7" s="3">
        <v>0.2</v>
      </c>
      <c r="J7" s="15" t="s">
        <v>334</v>
      </c>
      <c r="K7" s="3">
        <v>0.2</v>
      </c>
      <c r="O7" t="s">
        <v>334</v>
      </c>
      <c r="P7" s="53">
        <v>4</v>
      </c>
      <c r="R7">
        <v>1</v>
      </c>
      <c r="S7">
        <v>1</v>
      </c>
      <c r="T7">
        <v>1</v>
      </c>
      <c r="U7">
        <v>1</v>
      </c>
      <c r="Y7" t="s">
        <v>334</v>
      </c>
      <c r="Z7">
        <v>20.56</v>
      </c>
      <c r="AB7">
        <v>4.95</v>
      </c>
      <c r="AC7">
        <v>2.8499999999999996</v>
      </c>
      <c r="AD7">
        <v>8.58</v>
      </c>
      <c r="AE7">
        <v>0</v>
      </c>
      <c r="AF7">
        <v>4.18</v>
      </c>
    </row>
    <row r="8" spans="1:32" x14ac:dyDescent="0.3">
      <c r="A8" s="2" t="s">
        <v>13</v>
      </c>
      <c r="B8" s="15" t="s">
        <v>218</v>
      </c>
      <c r="C8" s="3">
        <v>0.2</v>
      </c>
      <c r="D8" s="15" t="s">
        <v>218</v>
      </c>
      <c r="E8" s="3">
        <v>0.2</v>
      </c>
      <c r="F8" s="15" t="s">
        <v>218</v>
      </c>
      <c r="G8" s="3">
        <v>0.2</v>
      </c>
      <c r="H8" s="15" t="s">
        <v>218</v>
      </c>
      <c r="I8" s="3">
        <v>0.2</v>
      </c>
      <c r="J8" s="15" t="s">
        <v>218</v>
      </c>
      <c r="K8" s="3">
        <v>0.2</v>
      </c>
      <c r="O8" t="s">
        <v>3148</v>
      </c>
      <c r="P8" s="53">
        <v>4</v>
      </c>
      <c r="R8">
        <v>1</v>
      </c>
      <c r="S8">
        <v>1</v>
      </c>
      <c r="T8">
        <v>1</v>
      </c>
      <c r="U8">
        <v>1</v>
      </c>
      <c r="Y8" t="s">
        <v>3148</v>
      </c>
      <c r="Z8">
        <v>0</v>
      </c>
      <c r="AB8">
        <v>0</v>
      </c>
      <c r="AC8">
        <v>0</v>
      </c>
      <c r="AD8">
        <v>0</v>
      </c>
      <c r="AE8">
        <v>0</v>
      </c>
      <c r="AF8">
        <v>0</v>
      </c>
    </row>
    <row r="9" spans="1:32" x14ac:dyDescent="0.3">
      <c r="A9" s="2" t="s">
        <v>13</v>
      </c>
      <c r="B9" s="15" t="s">
        <v>91</v>
      </c>
      <c r="C9" s="3">
        <v>7.2</v>
      </c>
      <c r="D9" s="15" t="s">
        <v>91</v>
      </c>
      <c r="E9" s="3">
        <v>7.2</v>
      </c>
      <c r="F9" s="15" t="s">
        <v>91</v>
      </c>
      <c r="G9" s="3">
        <v>7.2</v>
      </c>
      <c r="H9" s="15" t="s">
        <v>91</v>
      </c>
      <c r="I9" s="3">
        <v>7.2</v>
      </c>
      <c r="J9" s="15" t="s">
        <v>91</v>
      </c>
      <c r="K9" s="3">
        <v>7.2</v>
      </c>
      <c r="O9" t="s">
        <v>229</v>
      </c>
      <c r="P9" s="53">
        <v>0</v>
      </c>
      <c r="R9">
        <v>0</v>
      </c>
      <c r="S9">
        <v>0</v>
      </c>
      <c r="T9">
        <v>0</v>
      </c>
      <c r="U9">
        <v>0</v>
      </c>
      <c r="Y9" t="s">
        <v>229</v>
      </c>
      <c r="Z9">
        <v>0.92</v>
      </c>
      <c r="AB9">
        <v>0</v>
      </c>
      <c r="AC9">
        <v>0.23</v>
      </c>
      <c r="AD9">
        <v>0.45</v>
      </c>
      <c r="AE9">
        <v>0.12</v>
      </c>
      <c r="AF9">
        <v>0.12</v>
      </c>
    </row>
    <row r="10" spans="1:32" x14ac:dyDescent="0.3">
      <c r="A10" s="2" t="s">
        <v>13</v>
      </c>
      <c r="B10" s="15" t="s">
        <v>3148</v>
      </c>
      <c r="C10" s="3">
        <v>0.2</v>
      </c>
      <c r="D10" s="15" t="s">
        <v>3148</v>
      </c>
      <c r="E10" s="3">
        <v>0.2</v>
      </c>
      <c r="F10" s="15" t="s">
        <v>3148</v>
      </c>
      <c r="G10" s="3">
        <v>0.2</v>
      </c>
      <c r="H10" s="15" t="s">
        <v>3148</v>
      </c>
      <c r="I10" s="3">
        <v>0.2</v>
      </c>
      <c r="J10" s="15" t="s">
        <v>3148</v>
      </c>
      <c r="K10" s="3">
        <v>0.2</v>
      </c>
      <c r="O10" t="s">
        <v>1246</v>
      </c>
      <c r="P10" s="53">
        <v>0</v>
      </c>
      <c r="R10">
        <v>0</v>
      </c>
      <c r="S10">
        <v>0</v>
      </c>
      <c r="T10">
        <v>0</v>
      </c>
      <c r="U10">
        <v>0</v>
      </c>
      <c r="Y10" t="s">
        <v>1246</v>
      </c>
      <c r="Z10">
        <v>0.12</v>
      </c>
      <c r="AB10">
        <v>0</v>
      </c>
      <c r="AC10">
        <v>0</v>
      </c>
      <c r="AD10">
        <v>0</v>
      </c>
      <c r="AE10">
        <v>0</v>
      </c>
      <c r="AF10">
        <v>0.12</v>
      </c>
    </row>
    <row r="11" spans="1:32" x14ac:dyDescent="0.3">
      <c r="A11" s="2"/>
      <c r="B11" s="15"/>
      <c r="C11" s="3"/>
      <c r="D11" s="3"/>
      <c r="E11" s="3"/>
      <c r="F11" s="3"/>
      <c r="G11" s="3"/>
      <c r="H11" s="3"/>
      <c r="I11" s="3"/>
      <c r="J11" s="3"/>
      <c r="O11" t="s">
        <v>102</v>
      </c>
      <c r="P11" s="53">
        <v>0</v>
      </c>
      <c r="R11">
        <v>0</v>
      </c>
      <c r="S11">
        <v>0</v>
      </c>
      <c r="T11">
        <v>0</v>
      </c>
      <c r="U11">
        <v>0</v>
      </c>
      <c r="Y11" t="s">
        <v>102</v>
      </c>
      <c r="Z11">
        <v>1.5199999999999998</v>
      </c>
      <c r="AB11">
        <v>0</v>
      </c>
      <c r="AC11">
        <v>0.49</v>
      </c>
      <c r="AD11">
        <v>0.25</v>
      </c>
      <c r="AE11">
        <v>0.57999999999999996</v>
      </c>
      <c r="AF11">
        <v>0.2</v>
      </c>
    </row>
    <row r="12" spans="1:32" x14ac:dyDescent="0.3">
      <c r="O12" t="s">
        <v>104</v>
      </c>
      <c r="P12" s="53">
        <v>0</v>
      </c>
      <c r="R12">
        <v>0</v>
      </c>
      <c r="S12">
        <v>0</v>
      </c>
      <c r="T12">
        <v>0</v>
      </c>
      <c r="U12">
        <v>0</v>
      </c>
      <c r="Y12" t="s">
        <v>104</v>
      </c>
      <c r="Z12">
        <v>1.1199999999999999</v>
      </c>
      <c r="AB12">
        <v>0</v>
      </c>
      <c r="AC12">
        <v>0.18</v>
      </c>
      <c r="AD12">
        <v>0.25</v>
      </c>
      <c r="AE12">
        <v>0.52</v>
      </c>
      <c r="AF12">
        <v>0.17</v>
      </c>
    </row>
    <row r="13" spans="1:32" x14ac:dyDescent="0.3">
      <c r="A13" s="2" t="s">
        <v>14</v>
      </c>
      <c r="B13" s="5" t="s">
        <v>176</v>
      </c>
      <c r="C13" s="3">
        <v>0.8</v>
      </c>
      <c r="D13" s="5" t="s">
        <v>176</v>
      </c>
      <c r="E13" s="3">
        <v>0.8</v>
      </c>
      <c r="F13" s="5" t="s">
        <v>176</v>
      </c>
      <c r="G13" s="3">
        <v>0.8</v>
      </c>
      <c r="H13" s="5" t="s">
        <v>176</v>
      </c>
      <c r="I13" s="3">
        <v>0.8</v>
      </c>
      <c r="J13" s="5" t="s">
        <v>176</v>
      </c>
      <c r="K13" s="3">
        <v>0.8</v>
      </c>
      <c r="O13" t="s">
        <v>230</v>
      </c>
      <c r="P13" s="53">
        <v>0</v>
      </c>
      <c r="R13">
        <v>0</v>
      </c>
      <c r="S13">
        <v>0</v>
      </c>
      <c r="T13">
        <v>0</v>
      </c>
      <c r="U13">
        <v>0</v>
      </c>
      <c r="Y13" t="s">
        <v>230</v>
      </c>
      <c r="Z13">
        <v>0.29000000000000004</v>
      </c>
      <c r="AB13">
        <v>0</v>
      </c>
      <c r="AC13">
        <v>7.0000000000000007E-2</v>
      </c>
      <c r="AD13">
        <v>0.08</v>
      </c>
      <c r="AE13">
        <v>7.0000000000000007E-2</v>
      </c>
      <c r="AF13">
        <v>7.0000000000000007E-2</v>
      </c>
    </row>
    <row r="14" spans="1:32" x14ac:dyDescent="0.3">
      <c r="A14" s="2" t="s">
        <v>14</v>
      </c>
      <c r="B14" s="5" t="s">
        <v>182</v>
      </c>
      <c r="C14" s="3">
        <v>0.6</v>
      </c>
      <c r="D14" s="5" t="s">
        <v>182</v>
      </c>
      <c r="E14" s="3">
        <v>0.6</v>
      </c>
      <c r="F14" s="5" t="s">
        <v>182</v>
      </c>
      <c r="G14" s="3">
        <v>0.6</v>
      </c>
      <c r="H14" s="5" t="s">
        <v>182</v>
      </c>
      <c r="I14" s="3">
        <v>0.6</v>
      </c>
      <c r="J14" s="5" t="s">
        <v>182</v>
      </c>
      <c r="K14" s="3">
        <v>0.6</v>
      </c>
      <c r="O14" t="s">
        <v>337</v>
      </c>
      <c r="P14" s="53">
        <v>4</v>
      </c>
      <c r="R14">
        <v>1</v>
      </c>
      <c r="S14">
        <v>1</v>
      </c>
      <c r="T14">
        <v>1</v>
      </c>
      <c r="U14">
        <v>1</v>
      </c>
      <c r="Y14" t="s">
        <v>337</v>
      </c>
      <c r="Z14">
        <v>6.49</v>
      </c>
      <c r="AB14">
        <v>1.83</v>
      </c>
      <c r="AC14">
        <v>2.83</v>
      </c>
      <c r="AD14">
        <v>0</v>
      </c>
      <c r="AE14">
        <v>1.83</v>
      </c>
      <c r="AF14">
        <v>0</v>
      </c>
    </row>
    <row r="15" spans="1:32" x14ac:dyDescent="0.3">
      <c r="A15" s="2" t="s">
        <v>14</v>
      </c>
      <c r="B15" s="5" t="s">
        <v>337</v>
      </c>
      <c r="C15" s="3">
        <v>0.2</v>
      </c>
      <c r="D15" s="5" t="s">
        <v>337</v>
      </c>
      <c r="E15" s="3">
        <v>0.2</v>
      </c>
      <c r="F15" s="5" t="s">
        <v>337</v>
      </c>
      <c r="G15" s="3">
        <v>0.2</v>
      </c>
      <c r="H15" s="5" t="s">
        <v>337</v>
      </c>
      <c r="I15" s="3">
        <v>0.2</v>
      </c>
      <c r="J15" s="5" t="s">
        <v>337</v>
      </c>
      <c r="K15" s="3">
        <v>0.2</v>
      </c>
      <c r="O15" t="s">
        <v>218</v>
      </c>
      <c r="P15" s="53">
        <v>4</v>
      </c>
      <c r="R15">
        <v>1</v>
      </c>
      <c r="S15">
        <v>1</v>
      </c>
      <c r="T15">
        <v>1</v>
      </c>
      <c r="U15">
        <v>1</v>
      </c>
      <c r="Y15" t="s">
        <v>218</v>
      </c>
      <c r="Z15">
        <v>6.43</v>
      </c>
      <c r="AB15">
        <v>0</v>
      </c>
      <c r="AC15">
        <v>1.77</v>
      </c>
      <c r="AD15">
        <v>1.1100000000000001</v>
      </c>
      <c r="AE15">
        <v>1.67</v>
      </c>
      <c r="AF15">
        <v>1.88</v>
      </c>
    </row>
    <row r="16" spans="1:32" x14ac:dyDescent="0.3">
      <c r="A16" s="2" t="s">
        <v>14</v>
      </c>
      <c r="B16" s="15" t="s">
        <v>334</v>
      </c>
      <c r="C16" s="3">
        <v>0.2</v>
      </c>
      <c r="D16" s="15" t="s">
        <v>334</v>
      </c>
      <c r="E16" s="3">
        <v>0.2</v>
      </c>
      <c r="F16" s="15" t="s">
        <v>334</v>
      </c>
      <c r="G16" s="3">
        <v>0.2</v>
      </c>
      <c r="H16" s="15" t="s">
        <v>334</v>
      </c>
      <c r="I16" s="3">
        <v>0.2</v>
      </c>
      <c r="J16" s="15" t="s">
        <v>334</v>
      </c>
      <c r="K16" s="3">
        <v>0.2</v>
      </c>
      <c r="O16" t="s">
        <v>1171</v>
      </c>
      <c r="P16" s="53">
        <v>0</v>
      </c>
      <c r="R16">
        <v>0</v>
      </c>
      <c r="S16">
        <v>0</v>
      </c>
      <c r="T16">
        <v>0</v>
      </c>
      <c r="U16">
        <v>0</v>
      </c>
      <c r="Y16" t="s">
        <v>1171</v>
      </c>
      <c r="Z16">
        <v>0.23</v>
      </c>
      <c r="AB16">
        <v>0</v>
      </c>
      <c r="AC16">
        <v>0.23</v>
      </c>
      <c r="AD16">
        <v>0</v>
      </c>
      <c r="AE16">
        <v>0</v>
      </c>
      <c r="AF16">
        <v>0</v>
      </c>
    </row>
    <row r="17" spans="1:32" x14ac:dyDescent="0.3">
      <c r="A17" s="2" t="s">
        <v>14</v>
      </c>
      <c r="B17" s="15" t="s">
        <v>218</v>
      </c>
      <c r="C17" s="3">
        <v>0.2</v>
      </c>
      <c r="D17" s="15" t="s">
        <v>218</v>
      </c>
      <c r="E17" s="3">
        <v>0.2</v>
      </c>
      <c r="F17" s="15" t="s">
        <v>218</v>
      </c>
      <c r="G17" s="3">
        <v>0.2</v>
      </c>
      <c r="H17" s="15" t="s">
        <v>218</v>
      </c>
      <c r="I17" s="3">
        <v>0.2</v>
      </c>
      <c r="J17" s="15" t="s">
        <v>218</v>
      </c>
      <c r="K17" s="3">
        <v>0.2</v>
      </c>
      <c r="O17" t="s">
        <v>182</v>
      </c>
      <c r="P17" s="53">
        <v>12</v>
      </c>
      <c r="R17">
        <v>3</v>
      </c>
      <c r="S17">
        <v>3</v>
      </c>
      <c r="T17">
        <v>3</v>
      </c>
      <c r="U17">
        <v>3</v>
      </c>
      <c r="Y17" t="s">
        <v>182</v>
      </c>
      <c r="Z17">
        <v>4.17</v>
      </c>
      <c r="AB17">
        <v>0</v>
      </c>
      <c r="AC17">
        <v>0.37</v>
      </c>
      <c r="AD17">
        <v>2.2599999999999998</v>
      </c>
      <c r="AE17">
        <v>1.2</v>
      </c>
      <c r="AF17">
        <v>0.34</v>
      </c>
    </row>
    <row r="18" spans="1:32" x14ac:dyDescent="0.3">
      <c r="A18" s="2" t="s">
        <v>14</v>
      </c>
      <c r="B18" s="15" t="s">
        <v>91</v>
      </c>
      <c r="C18" s="3">
        <v>7.2</v>
      </c>
      <c r="D18" s="15" t="s">
        <v>91</v>
      </c>
      <c r="E18" s="3">
        <v>7.2</v>
      </c>
      <c r="F18" s="15" t="s">
        <v>91</v>
      </c>
      <c r="G18" s="3">
        <v>7.2</v>
      </c>
      <c r="H18" s="15" t="s">
        <v>91</v>
      </c>
      <c r="I18" s="3">
        <v>7.2</v>
      </c>
      <c r="J18" s="15" t="s">
        <v>91</v>
      </c>
      <c r="K18" s="3">
        <v>7.2</v>
      </c>
    </row>
    <row r="19" spans="1:32" x14ac:dyDescent="0.3">
      <c r="A19" s="2" t="s">
        <v>14</v>
      </c>
      <c r="B19" s="15" t="s">
        <v>3148</v>
      </c>
      <c r="C19" s="3">
        <v>0.2</v>
      </c>
      <c r="D19" s="15" t="s">
        <v>3148</v>
      </c>
      <c r="E19" s="3">
        <v>0.2</v>
      </c>
      <c r="F19" s="15" t="s">
        <v>3148</v>
      </c>
      <c r="G19" s="3">
        <v>0.2</v>
      </c>
      <c r="H19" s="15" t="s">
        <v>3148</v>
      </c>
      <c r="I19" s="3">
        <v>0.2</v>
      </c>
      <c r="J19" s="15" t="s">
        <v>3148</v>
      </c>
      <c r="K19" s="3">
        <v>0.2</v>
      </c>
    </row>
    <row r="22" spans="1:32" x14ac:dyDescent="0.3">
      <c r="A22" s="2" t="s">
        <v>15</v>
      </c>
      <c r="B22" s="5" t="s">
        <v>176</v>
      </c>
      <c r="C22" s="3">
        <v>0.8</v>
      </c>
      <c r="D22" s="5" t="s">
        <v>176</v>
      </c>
      <c r="E22" s="3">
        <v>0.8</v>
      </c>
      <c r="F22" s="5" t="s">
        <v>176</v>
      </c>
      <c r="G22" s="3">
        <v>0.8</v>
      </c>
      <c r="H22" s="5" t="s">
        <v>176</v>
      </c>
      <c r="I22" s="3">
        <v>0.8</v>
      </c>
      <c r="J22" s="5" t="s">
        <v>176</v>
      </c>
      <c r="K22" s="3">
        <v>0.8</v>
      </c>
    </row>
    <row r="23" spans="1:32" x14ac:dyDescent="0.3">
      <c r="A23" s="2" t="s">
        <v>15</v>
      </c>
      <c r="B23" s="5" t="s">
        <v>182</v>
      </c>
      <c r="C23" s="3">
        <v>0.6</v>
      </c>
      <c r="D23" s="5" t="s">
        <v>182</v>
      </c>
      <c r="E23" s="3">
        <v>0.6</v>
      </c>
      <c r="F23" s="5" t="s">
        <v>182</v>
      </c>
      <c r="G23" s="3">
        <v>0.6</v>
      </c>
      <c r="H23" s="5" t="s">
        <v>182</v>
      </c>
      <c r="I23" s="3">
        <v>0.6</v>
      </c>
      <c r="J23" s="5" t="s">
        <v>182</v>
      </c>
      <c r="K23" s="3">
        <v>0.6</v>
      </c>
    </row>
    <row r="24" spans="1:32" x14ac:dyDescent="0.3">
      <c r="A24" s="2" t="s">
        <v>15</v>
      </c>
      <c r="B24" s="5" t="s">
        <v>337</v>
      </c>
      <c r="C24" s="3">
        <v>0.2</v>
      </c>
      <c r="D24" s="5" t="s">
        <v>337</v>
      </c>
      <c r="E24" s="3">
        <v>0.2</v>
      </c>
      <c r="F24" s="5" t="s">
        <v>337</v>
      </c>
      <c r="G24" s="3">
        <v>0.2</v>
      </c>
      <c r="H24" s="5" t="s">
        <v>337</v>
      </c>
      <c r="I24" s="3">
        <v>0.2</v>
      </c>
      <c r="J24" s="5" t="s">
        <v>337</v>
      </c>
      <c r="K24" s="3">
        <v>0.2</v>
      </c>
      <c r="L24" s="1"/>
      <c r="M24" s="1"/>
    </row>
    <row r="25" spans="1:32" x14ac:dyDescent="0.3">
      <c r="A25" s="2" t="s">
        <v>15</v>
      </c>
      <c r="B25" s="15" t="s">
        <v>334</v>
      </c>
      <c r="C25" s="3">
        <v>0.2</v>
      </c>
      <c r="D25" s="15" t="s">
        <v>334</v>
      </c>
      <c r="E25" s="3">
        <v>0.2</v>
      </c>
      <c r="F25" s="15" t="s">
        <v>334</v>
      </c>
      <c r="G25" s="3">
        <v>0.2</v>
      </c>
      <c r="H25" s="15" t="s">
        <v>334</v>
      </c>
      <c r="I25" s="3">
        <v>0.2</v>
      </c>
      <c r="J25" s="15" t="s">
        <v>334</v>
      </c>
      <c r="K25" s="3">
        <v>0.2</v>
      </c>
    </row>
    <row r="26" spans="1:32" x14ac:dyDescent="0.3">
      <c r="A26" s="2" t="s">
        <v>15</v>
      </c>
      <c r="B26" s="15" t="s">
        <v>218</v>
      </c>
      <c r="C26" s="3">
        <v>0.2</v>
      </c>
      <c r="D26" s="15" t="s">
        <v>218</v>
      </c>
      <c r="E26" s="3">
        <v>0.2</v>
      </c>
      <c r="F26" s="15" t="s">
        <v>218</v>
      </c>
      <c r="G26" s="3">
        <v>0.2</v>
      </c>
      <c r="H26" s="15" t="s">
        <v>218</v>
      </c>
      <c r="I26" s="3">
        <v>0.2</v>
      </c>
      <c r="J26" s="15" t="s">
        <v>218</v>
      </c>
      <c r="K26" s="3">
        <v>0.2</v>
      </c>
    </row>
    <row r="27" spans="1:32" x14ac:dyDescent="0.3">
      <c r="A27" s="2" t="s">
        <v>15</v>
      </c>
      <c r="B27" s="15" t="s">
        <v>91</v>
      </c>
      <c r="C27" s="3">
        <v>7.2</v>
      </c>
      <c r="D27" s="15" t="s">
        <v>91</v>
      </c>
      <c r="E27" s="3">
        <v>7.2</v>
      </c>
      <c r="F27" s="15" t="s">
        <v>91</v>
      </c>
      <c r="G27" s="3">
        <v>7.2</v>
      </c>
      <c r="H27" s="15" t="s">
        <v>91</v>
      </c>
      <c r="I27" s="3">
        <v>7.2</v>
      </c>
      <c r="J27" s="15" t="s">
        <v>91</v>
      </c>
      <c r="K27" s="3">
        <v>7.2</v>
      </c>
      <c r="O27" t="s">
        <v>3143</v>
      </c>
      <c r="P27" s="53">
        <f>SUM(P2:P26)</f>
        <v>192</v>
      </c>
      <c r="R27">
        <f>SUM(R2:R26)</f>
        <v>47</v>
      </c>
      <c r="S27">
        <f>SUM(S2:S26)</f>
        <v>47</v>
      </c>
      <c r="T27">
        <f>SUM(T2:T26)</f>
        <v>47</v>
      </c>
      <c r="U27">
        <f>SUM(U2:U26)</f>
        <v>51</v>
      </c>
      <c r="Y27" t="s">
        <v>3143</v>
      </c>
      <c r="Z27">
        <f>SUM(Z2:Z26)</f>
        <v>171.44</v>
      </c>
      <c r="AB27">
        <f>SUM(AB2:AB26)</f>
        <v>8.0300000000000011</v>
      </c>
      <c r="AC27">
        <f>SUM(AC2:AC26)</f>
        <v>40.739999999999995</v>
      </c>
      <c r="AD27">
        <f>SUM(AD2:AD26)</f>
        <v>41.809999999999995</v>
      </c>
      <c r="AE27">
        <f>SUM(AE2:AE26)</f>
        <v>40.54</v>
      </c>
      <c r="AF27">
        <f>SUM(AF2:AF26)</f>
        <v>40.320000000000007</v>
      </c>
    </row>
    <row r="28" spans="1:32" x14ac:dyDescent="0.3">
      <c r="A28" s="2" t="s">
        <v>15</v>
      </c>
      <c r="B28" s="15" t="s">
        <v>3148</v>
      </c>
      <c r="C28" s="3">
        <v>0.2</v>
      </c>
      <c r="D28" s="15" t="s">
        <v>3148</v>
      </c>
      <c r="E28" s="3">
        <v>0.2</v>
      </c>
      <c r="F28" s="15" t="s">
        <v>3148</v>
      </c>
      <c r="G28" s="3">
        <v>0.2</v>
      </c>
      <c r="H28" s="15" t="s">
        <v>3148</v>
      </c>
      <c r="I28" s="3">
        <v>0.2</v>
      </c>
      <c r="J28" s="15" t="s">
        <v>3148</v>
      </c>
      <c r="K28" s="3">
        <v>0.2</v>
      </c>
    </row>
    <row r="31" spans="1:32" x14ac:dyDescent="0.3">
      <c r="A31" s="2" t="s">
        <v>16</v>
      </c>
      <c r="B31" s="5" t="s">
        <v>176</v>
      </c>
      <c r="C31" s="3">
        <v>0.8</v>
      </c>
      <c r="D31" s="5" t="s">
        <v>176</v>
      </c>
      <c r="E31" s="3">
        <v>0.8</v>
      </c>
      <c r="F31" s="5" t="s">
        <v>176</v>
      </c>
      <c r="G31" s="3">
        <v>0.8</v>
      </c>
      <c r="H31" s="5" t="s">
        <v>176</v>
      </c>
      <c r="I31" s="3">
        <v>0.8</v>
      </c>
      <c r="J31" s="5" t="s">
        <v>176</v>
      </c>
      <c r="K31" s="3">
        <v>0.8</v>
      </c>
    </row>
    <row r="32" spans="1:32" x14ac:dyDescent="0.3">
      <c r="A32" s="2" t="s">
        <v>16</v>
      </c>
      <c r="B32" s="5" t="s">
        <v>182</v>
      </c>
      <c r="C32" s="3">
        <v>0.6</v>
      </c>
      <c r="D32" s="5" t="s">
        <v>182</v>
      </c>
      <c r="E32" s="3">
        <v>0.6</v>
      </c>
      <c r="F32" s="5" t="s">
        <v>182</v>
      </c>
      <c r="G32" s="3">
        <v>0.6</v>
      </c>
      <c r="H32" s="5" t="s">
        <v>182</v>
      </c>
      <c r="I32" s="3">
        <v>0.6</v>
      </c>
      <c r="J32" s="5" t="s">
        <v>182</v>
      </c>
      <c r="K32" s="3">
        <v>0.6</v>
      </c>
    </row>
    <row r="33" spans="1:13" x14ac:dyDescent="0.3">
      <c r="A33" s="2" t="s">
        <v>16</v>
      </c>
      <c r="B33" s="5" t="s">
        <v>337</v>
      </c>
      <c r="C33" s="3">
        <v>0.2</v>
      </c>
      <c r="D33" s="5" t="s">
        <v>337</v>
      </c>
      <c r="E33" s="3">
        <v>0.2</v>
      </c>
      <c r="F33" s="5" t="s">
        <v>337</v>
      </c>
      <c r="G33" s="3">
        <v>0.2</v>
      </c>
      <c r="H33" s="5" t="s">
        <v>337</v>
      </c>
      <c r="I33" s="3">
        <v>0.2</v>
      </c>
      <c r="J33" s="5" t="s">
        <v>337</v>
      </c>
      <c r="K33" s="3">
        <v>0.2</v>
      </c>
    </row>
    <row r="34" spans="1:13" x14ac:dyDescent="0.3">
      <c r="A34" s="2" t="s">
        <v>16</v>
      </c>
      <c r="B34" s="15" t="s">
        <v>334</v>
      </c>
      <c r="C34" s="3">
        <v>0.2</v>
      </c>
      <c r="D34" s="15" t="s">
        <v>334</v>
      </c>
      <c r="E34" s="3">
        <v>0.2</v>
      </c>
      <c r="F34" s="15" t="s">
        <v>334</v>
      </c>
      <c r="G34" s="3">
        <v>0.2</v>
      </c>
      <c r="H34" s="15" t="s">
        <v>334</v>
      </c>
      <c r="I34" s="3">
        <v>0.2</v>
      </c>
      <c r="J34" s="15" t="s">
        <v>334</v>
      </c>
      <c r="K34" s="3">
        <v>0.2</v>
      </c>
    </row>
    <row r="35" spans="1:13" x14ac:dyDescent="0.3">
      <c r="A35" s="2" t="s">
        <v>16</v>
      </c>
      <c r="B35" s="15" t="s">
        <v>218</v>
      </c>
      <c r="C35" s="3">
        <v>0.2</v>
      </c>
      <c r="D35" s="15" t="s">
        <v>218</v>
      </c>
      <c r="E35" s="3">
        <v>0.2</v>
      </c>
      <c r="F35" s="15" t="s">
        <v>218</v>
      </c>
      <c r="G35" s="3">
        <v>0.2</v>
      </c>
      <c r="H35" s="15" t="s">
        <v>218</v>
      </c>
      <c r="I35" s="3">
        <v>0.2</v>
      </c>
      <c r="J35" s="15" t="s">
        <v>218</v>
      </c>
      <c r="K35" s="3">
        <v>0.2</v>
      </c>
    </row>
    <row r="36" spans="1:13" x14ac:dyDescent="0.3">
      <c r="A36" s="2" t="s">
        <v>16</v>
      </c>
      <c r="B36" s="15" t="s">
        <v>91</v>
      </c>
      <c r="C36" s="3">
        <v>7.2</v>
      </c>
      <c r="D36" s="15" t="s">
        <v>91</v>
      </c>
      <c r="E36" s="3">
        <v>7.2</v>
      </c>
      <c r="F36" s="15" t="s">
        <v>91</v>
      </c>
      <c r="G36" s="3">
        <v>7.2</v>
      </c>
      <c r="H36" s="15" t="s">
        <v>91</v>
      </c>
      <c r="I36" s="3">
        <v>7.2</v>
      </c>
      <c r="J36" s="15" t="s">
        <v>91</v>
      </c>
      <c r="K36" s="3">
        <v>7.2</v>
      </c>
    </row>
    <row r="37" spans="1:13" x14ac:dyDescent="0.3">
      <c r="A37" s="2" t="s">
        <v>16</v>
      </c>
      <c r="B37" s="15" t="s">
        <v>3148</v>
      </c>
      <c r="C37" s="3">
        <v>0.2</v>
      </c>
      <c r="D37" s="15" t="s">
        <v>3148</v>
      </c>
      <c r="E37" s="3">
        <v>0.2</v>
      </c>
      <c r="F37" s="15" t="s">
        <v>3148</v>
      </c>
      <c r="G37" s="3">
        <v>0.2</v>
      </c>
      <c r="H37" s="15" t="s">
        <v>3148</v>
      </c>
      <c r="I37" s="3">
        <v>0.2</v>
      </c>
      <c r="J37" s="15" t="s">
        <v>3148</v>
      </c>
      <c r="K37" s="3">
        <v>0.2</v>
      </c>
    </row>
    <row r="38" spans="1:13" x14ac:dyDescent="0.3">
      <c r="A38" s="2" t="s">
        <v>16</v>
      </c>
      <c r="B38" s="15" t="s">
        <v>176</v>
      </c>
      <c r="C38" s="3">
        <v>0.5</v>
      </c>
      <c r="D38" s="3"/>
      <c r="E38" s="3"/>
      <c r="F38" s="3"/>
      <c r="G38" s="3"/>
      <c r="H38" s="15" t="s">
        <v>185</v>
      </c>
      <c r="I38" s="3">
        <v>1</v>
      </c>
      <c r="J38" s="15" t="s">
        <v>176</v>
      </c>
      <c r="K38" s="3">
        <v>0.5</v>
      </c>
    </row>
    <row r="39" spans="1:13" x14ac:dyDescent="0.3">
      <c r="A39" s="2" t="s">
        <v>16</v>
      </c>
      <c r="B39" s="3"/>
      <c r="C39" s="3"/>
      <c r="D39" s="3"/>
      <c r="E39" s="3"/>
      <c r="F39" s="3"/>
      <c r="G39" s="3"/>
      <c r="H39" s="3"/>
      <c r="I39" s="3"/>
      <c r="J39" s="15" t="s">
        <v>54</v>
      </c>
      <c r="K39" s="3">
        <v>2</v>
      </c>
      <c r="L39" s="1"/>
      <c r="M39" s="1"/>
    </row>
    <row r="40" spans="1:13" x14ac:dyDescent="0.3">
      <c r="B40" s="19"/>
      <c r="D40" s="19"/>
      <c r="F40" s="19"/>
      <c r="H40" s="19"/>
      <c r="J40" s="19"/>
    </row>
    <row r="41" spans="1:13" x14ac:dyDescent="0.3">
      <c r="A41" s="2"/>
    </row>
    <row r="42" spans="1:13" x14ac:dyDescent="0.3">
      <c r="A42" s="2" t="s">
        <v>17</v>
      </c>
      <c r="L42" s="1" t="s">
        <v>3144</v>
      </c>
      <c r="M42" s="1">
        <v>171.44</v>
      </c>
    </row>
    <row r="43" spans="1:13" x14ac:dyDescent="0.3">
      <c r="B43" s="19" t="s">
        <v>378</v>
      </c>
      <c r="D43" s="19" t="s">
        <v>576</v>
      </c>
      <c r="F43" s="19" t="s">
        <v>747</v>
      </c>
      <c r="H43" s="19" t="s">
        <v>897</v>
      </c>
      <c r="J43" s="19" t="s">
        <v>33</v>
      </c>
    </row>
    <row r="44" spans="1:13" x14ac:dyDescent="0.3">
      <c r="A44" s="19" t="s">
        <v>13</v>
      </c>
      <c r="J44" s="16" t="s">
        <v>54</v>
      </c>
      <c r="K44">
        <v>1.25</v>
      </c>
    </row>
    <row r="45" spans="1:13" x14ac:dyDescent="0.3">
      <c r="A45" s="19" t="s">
        <v>13</v>
      </c>
      <c r="J45" s="16" t="s">
        <v>334</v>
      </c>
      <c r="K45">
        <v>4.95</v>
      </c>
    </row>
    <row r="46" spans="1:13" x14ac:dyDescent="0.3">
      <c r="A46" s="19" t="s">
        <v>13</v>
      </c>
      <c r="J46" s="16" t="s">
        <v>337</v>
      </c>
      <c r="K46">
        <v>1.83</v>
      </c>
    </row>
    <row r="49" spans="1:11" x14ac:dyDescent="0.3">
      <c r="A49" s="19" t="s">
        <v>14</v>
      </c>
      <c r="B49" s="16" t="s">
        <v>91</v>
      </c>
      <c r="C49">
        <v>1.38</v>
      </c>
      <c r="D49" s="16" t="s">
        <v>91</v>
      </c>
      <c r="E49">
        <v>2.67</v>
      </c>
      <c r="F49" s="16" t="s">
        <v>91</v>
      </c>
      <c r="G49">
        <v>4.43</v>
      </c>
      <c r="H49" s="16" t="s">
        <v>91</v>
      </c>
      <c r="I49">
        <v>4.7300000000000004</v>
      </c>
      <c r="J49" s="16" t="s">
        <v>91</v>
      </c>
      <c r="K49">
        <v>6.27</v>
      </c>
    </row>
    <row r="50" spans="1:11" x14ac:dyDescent="0.3">
      <c r="A50" s="19" t="s">
        <v>14</v>
      </c>
      <c r="B50" s="16" t="s">
        <v>54</v>
      </c>
      <c r="C50">
        <v>1.63</v>
      </c>
      <c r="D50" s="16" t="s">
        <v>54</v>
      </c>
      <c r="E50">
        <v>2.5</v>
      </c>
      <c r="F50" s="16" t="s">
        <v>54</v>
      </c>
      <c r="G50">
        <v>1.05</v>
      </c>
      <c r="H50" s="16" t="s">
        <v>54</v>
      </c>
      <c r="I50">
        <v>0.5</v>
      </c>
      <c r="J50" s="16" t="s">
        <v>1170</v>
      </c>
      <c r="K50">
        <v>0.1</v>
      </c>
    </row>
    <row r="51" spans="1:11" x14ac:dyDescent="0.3">
      <c r="A51" s="19" t="s">
        <v>14</v>
      </c>
      <c r="B51" s="16" t="s">
        <v>176</v>
      </c>
      <c r="C51">
        <v>1.9699999999999998</v>
      </c>
      <c r="D51" s="16" t="s">
        <v>176</v>
      </c>
      <c r="E51">
        <v>1.1399999999999999</v>
      </c>
      <c r="F51" s="16" t="s">
        <v>176</v>
      </c>
      <c r="G51">
        <v>0.78</v>
      </c>
      <c r="H51" s="16" t="s">
        <v>176</v>
      </c>
      <c r="I51">
        <v>1.02</v>
      </c>
      <c r="J51" s="16" t="s">
        <v>54</v>
      </c>
      <c r="K51">
        <v>0.5</v>
      </c>
    </row>
    <row r="52" spans="1:11" x14ac:dyDescent="0.3">
      <c r="A52" s="19" t="s">
        <v>14</v>
      </c>
      <c r="B52" s="16" t="s">
        <v>334</v>
      </c>
      <c r="C52">
        <v>1.68</v>
      </c>
      <c r="D52" s="16" t="s">
        <v>229</v>
      </c>
      <c r="E52">
        <v>0.2</v>
      </c>
      <c r="F52" s="16" t="s">
        <v>334</v>
      </c>
      <c r="G52">
        <v>1.17</v>
      </c>
      <c r="H52" s="16" t="s">
        <v>229</v>
      </c>
      <c r="I52">
        <v>0.03</v>
      </c>
      <c r="J52" s="16" t="s">
        <v>176</v>
      </c>
      <c r="K52">
        <v>1.05</v>
      </c>
    </row>
    <row r="53" spans="1:11" x14ac:dyDescent="0.3">
      <c r="A53" s="19" t="s">
        <v>14</v>
      </c>
      <c r="B53" s="16" t="s">
        <v>337</v>
      </c>
      <c r="C53">
        <v>1.33</v>
      </c>
      <c r="D53" s="16" t="s">
        <v>102</v>
      </c>
      <c r="E53">
        <v>0.32</v>
      </c>
      <c r="F53" s="16" t="s">
        <v>102</v>
      </c>
      <c r="G53">
        <v>0.17</v>
      </c>
      <c r="H53" s="16" t="s">
        <v>337</v>
      </c>
      <c r="I53">
        <v>1.5</v>
      </c>
      <c r="J53" s="16" t="s">
        <v>1171</v>
      </c>
      <c r="K53">
        <v>0.23</v>
      </c>
    </row>
    <row r="54" spans="1:11" x14ac:dyDescent="0.3">
      <c r="A54" s="19" t="s">
        <v>14</v>
      </c>
      <c r="D54" s="16" t="s">
        <v>104</v>
      </c>
      <c r="E54">
        <v>0.08</v>
      </c>
      <c r="F54" s="16" t="s">
        <v>104</v>
      </c>
      <c r="G54">
        <v>0.1</v>
      </c>
      <c r="H54" s="16" t="s">
        <v>218</v>
      </c>
      <c r="I54">
        <v>0.21000000000000002</v>
      </c>
    </row>
    <row r="55" spans="1:11" x14ac:dyDescent="0.3">
      <c r="A55" s="19" t="s">
        <v>14</v>
      </c>
      <c r="D55" s="16" t="s">
        <v>230</v>
      </c>
      <c r="E55">
        <v>7.0000000000000007E-2</v>
      </c>
      <c r="F55" s="16" t="s">
        <v>218</v>
      </c>
      <c r="G55">
        <v>0.42000000000000004</v>
      </c>
    </row>
    <row r="56" spans="1:11" x14ac:dyDescent="0.3">
      <c r="A56" s="19" t="s">
        <v>14</v>
      </c>
      <c r="D56" s="16" t="s">
        <v>218</v>
      </c>
      <c r="E56">
        <v>1.1400000000000001</v>
      </c>
      <c r="F56" s="16" t="s">
        <v>182</v>
      </c>
      <c r="G56">
        <v>0.37</v>
      </c>
    </row>
    <row r="59" spans="1:11" x14ac:dyDescent="0.3">
      <c r="A59" s="19" t="s">
        <v>15</v>
      </c>
      <c r="B59" s="16" t="s">
        <v>54</v>
      </c>
      <c r="C59">
        <v>8</v>
      </c>
      <c r="D59" s="16" t="s">
        <v>91</v>
      </c>
      <c r="E59">
        <v>6.11</v>
      </c>
      <c r="F59" s="16" t="s">
        <v>54</v>
      </c>
      <c r="G59">
        <v>0.85</v>
      </c>
      <c r="H59" s="16" t="s">
        <v>91</v>
      </c>
      <c r="I59">
        <v>3.5</v>
      </c>
      <c r="J59" s="16" t="s">
        <v>91</v>
      </c>
      <c r="K59">
        <v>3.73</v>
      </c>
    </row>
    <row r="60" spans="1:11" x14ac:dyDescent="0.3">
      <c r="A60" s="19" t="s">
        <v>15</v>
      </c>
      <c r="D60" s="16" t="s">
        <v>54</v>
      </c>
      <c r="E60">
        <v>0.75</v>
      </c>
      <c r="F60" s="16" t="s">
        <v>176</v>
      </c>
      <c r="G60">
        <v>0.97</v>
      </c>
      <c r="H60" s="16" t="s">
        <v>54</v>
      </c>
      <c r="I60">
        <v>0.5</v>
      </c>
      <c r="J60" s="16" t="s">
        <v>54</v>
      </c>
      <c r="K60">
        <v>1</v>
      </c>
    </row>
    <row r="61" spans="1:11" x14ac:dyDescent="0.3">
      <c r="A61" s="19" t="s">
        <v>15</v>
      </c>
      <c r="D61" s="16" t="s">
        <v>176</v>
      </c>
      <c r="E61">
        <v>1.17</v>
      </c>
      <c r="F61" s="16" t="s">
        <v>334</v>
      </c>
      <c r="G61">
        <v>5.73</v>
      </c>
      <c r="H61" s="16" t="s">
        <v>176</v>
      </c>
      <c r="I61">
        <v>1.65</v>
      </c>
      <c r="J61" s="16" t="s">
        <v>176</v>
      </c>
      <c r="K61">
        <v>0.6</v>
      </c>
    </row>
    <row r="62" spans="1:11" x14ac:dyDescent="0.3">
      <c r="A62" s="19" t="s">
        <v>15</v>
      </c>
      <c r="F62" s="16" t="s">
        <v>229</v>
      </c>
      <c r="G62">
        <v>0.32</v>
      </c>
      <c r="H62" s="16" t="s">
        <v>334</v>
      </c>
      <c r="I62">
        <v>1.4</v>
      </c>
      <c r="J62" s="16" t="s">
        <v>334</v>
      </c>
      <c r="K62">
        <v>1.45</v>
      </c>
    </row>
    <row r="63" spans="1:11" x14ac:dyDescent="0.3">
      <c r="A63" s="19" t="s">
        <v>15</v>
      </c>
      <c r="F63" s="16" t="s">
        <v>102</v>
      </c>
      <c r="G63">
        <v>0.25</v>
      </c>
      <c r="H63" s="16" t="s">
        <v>229</v>
      </c>
      <c r="I63">
        <v>0.13</v>
      </c>
      <c r="J63" s="16" t="s">
        <v>218</v>
      </c>
      <c r="K63">
        <v>1.1100000000000001</v>
      </c>
    </row>
    <row r="64" spans="1:11" x14ac:dyDescent="0.3">
      <c r="A64" s="19" t="s">
        <v>15</v>
      </c>
      <c r="F64" s="16" t="s">
        <v>104</v>
      </c>
      <c r="G64">
        <v>0.25</v>
      </c>
      <c r="H64" s="16" t="s">
        <v>182</v>
      </c>
      <c r="I64">
        <v>1.1200000000000001</v>
      </c>
      <c r="J64" s="16" t="s">
        <v>182</v>
      </c>
      <c r="K64">
        <v>0.18</v>
      </c>
    </row>
    <row r="65" spans="1:11" x14ac:dyDescent="0.3">
      <c r="A65" s="19" t="s">
        <v>15</v>
      </c>
      <c r="F65" s="16" t="s">
        <v>230</v>
      </c>
      <c r="G65">
        <v>0.08</v>
      </c>
    </row>
    <row r="66" spans="1:11" x14ac:dyDescent="0.3">
      <c r="A66" s="19" t="s">
        <v>15</v>
      </c>
      <c r="F66" s="16" t="s">
        <v>182</v>
      </c>
      <c r="G66">
        <v>0.96</v>
      </c>
    </row>
    <row r="69" spans="1:11" x14ac:dyDescent="0.3">
      <c r="A69" s="19" t="s">
        <v>16</v>
      </c>
      <c r="B69" s="16" t="s">
        <v>91</v>
      </c>
      <c r="C69">
        <v>5.5100000000000007</v>
      </c>
      <c r="D69" s="16" t="s">
        <v>91</v>
      </c>
      <c r="E69">
        <v>4.99</v>
      </c>
      <c r="F69" s="16" t="s">
        <v>91</v>
      </c>
      <c r="G69">
        <v>3.1399999999999997</v>
      </c>
      <c r="H69" s="16" t="s">
        <v>54</v>
      </c>
      <c r="I69">
        <v>8</v>
      </c>
      <c r="J69" s="16" t="s">
        <v>54</v>
      </c>
      <c r="K69">
        <v>8</v>
      </c>
    </row>
    <row r="70" spans="1:11" x14ac:dyDescent="0.3">
      <c r="A70" s="19" t="s">
        <v>16</v>
      </c>
      <c r="B70" s="16" t="s">
        <v>54</v>
      </c>
      <c r="C70">
        <v>0.5</v>
      </c>
      <c r="D70" s="16" t="s">
        <v>54</v>
      </c>
      <c r="E70">
        <v>0.5</v>
      </c>
      <c r="F70" s="16" t="s">
        <v>54</v>
      </c>
      <c r="G70">
        <v>0.5</v>
      </c>
    </row>
    <row r="71" spans="1:11" x14ac:dyDescent="0.3">
      <c r="A71" s="19" t="s">
        <v>16</v>
      </c>
      <c r="B71" s="16" t="s">
        <v>176</v>
      </c>
      <c r="C71">
        <v>1.65</v>
      </c>
      <c r="D71" s="16" t="s">
        <v>176</v>
      </c>
      <c r="E71">
        <v>0.98</v>
      </c>
      <c r="F71" s="16" t="s">
        <v>176</v>
      </c>
      <c r="G71">
        <v>0.78</v>
      </c>
    </row>
    <row r="72" spans="1:11" x14ac:dyDescent="0.3">
      <c r="A72" s="19" t="s">
        <v>16</v>
      </c>
      <c r="B72" s="16" t="s">
        <v>218</v>
      </c>
      <c r="C72">
        <v>0.5</v>
      </c>
      <c r="D72" s="16" t="s">
        <v>337</v>
      </c>
      <c r="E72">
        <v>1.83</v>
      </c>
      <c r="F72" s="16" t="s">
        <v>229</v>
      </c>
      <c r="G72">
        <v>0.12</v>
      </c>
    </row>
    <row r="73" spans="1:11" x14ac:dyDescent="0.3">
      <c r="A73" s="19" t="s">
        <v>16</v>
      </c>
      <c r="F73" s="16" t="s">
        <v>102</v>
      </c>
      <c r="G73">
        <v>0.57999999999999996</v>
      </c>
    </row>
    <row r="74" spans="1:11" x14ac:dyDescent="0.3">
      <c r="A74" s="19" t="s">
        <v>16</v>
      </c>
      <c r="F74" s="16" t="s">
        <v>104</v>
      </c>
      <c r="G74">
        <v>0.52</v>
      </c>
    </row>
    <row r="75" spans="1:11" x14ac:dyDescent="0.3">
      <c r="A75" s="19" t="s">
        <v>16</v>
      </c>
      <c r="F75" s="16" t="s">
        <v>230</v>
      </c>
      <c r="G75">
        <v>7.0000000000000007E-2</v>
      </c>
    </row>
    <row r="76" spans="1:11" x14ac:dyDescent="0.3">
      <c r="A76" s="19" t="s">
        <v>16</v>
      </c>
      <c r="F76" s="16" t="s">
        <v>218</v>
      </c>
      <c r="G76">
        <v>1.17</v>
      </c>
    </row>
    <row r="77" spans="1:11" x14ac:dyDescent="0.3">
      <c r="A77" s="19" t="s">
        <v>16</v>
      </c>
      <c r="F77" s="16" t="s">
        <v>182</v>
      </c>
      <c r="G77">
        <v>1.2</v>
      </c>
    </row>
    <row r="80" spans="1:11" x14ac:dyDescent="0.3">
      <c r="A80" s="19" t="s">
        <v>18</v>
      </c>
      <c r="B80" s="16" t="s">
        <v>91</v>
      </c>
      <c r="C80">
        <v>2.67</v>
      </c>
      <c r="D80" s="16" t="s">
        <v>91</v>
      </c>
      <c r="E80">
        <v>5.96</v>
      </c>
      <c r="F80" s="16" t="s">
        <v>91</v>
      </c>
      <c r="G80">
        <v>3.29</v>
      </c>
      <c r="H80" s="16" t="s">
        <v>91</v>
      </c>
      <c r="I80">
        <v>3.67</v>
      </c>
      <c r="J80" s="16" t="s">
        <v>54</v>
      </c>
      <c r="K80">
        <v>8</v>
      </c>
    </row>
    <row r="81" spans="1:9" x14ac:dyDescent="0.3">
      <c r="A81" s="19" t="s">
        <v>18</v>
      </c>
      <c r="B81" s="16" t="s">
        <v>54</v>
      </c>
      <c r="C81">
        <v>4</v>
      </c>
      <c r="D81" s="16" t="s">
        <v>54</v>
      </c>
      <c r="E81">
        <v>0.5</v>
      </c>
      <c r="F81" s="16" t="s">
        <v>54</v>
      </c>
      <c r="G81">
        <v>1.17</v>
      </c>
      <c r="H81" s="16" t="s">
        <v>54</v>
      </c>
      <c r="I81">
        <v>0.4</v>
      </c>
    </row>
    <row r="82" spans="1:9" x14ac:dyDescent="0.3">
      <c r="A82" s="19" t="s">
        <v>18</v>
      </c>
      <c r="B82" s="16" t="s">
        <v>176</v>
      </c>
      <c r="C82">
        <v>1.42</v>
      </c>
      <c r="D82" s="16" t="s">
        <v>176</v>
      </c>
      <c r="E82">
        <v>0.67</v>
      </c>
      <c r="F82" s="16" t="s">
        <v>176</v>
      </c>
      <c r="G82">
        <v>0.49</v>
      </c>
      <c r="H82" s="16" t="s">
        <v>176</v>
      </c>
      <c r="I82">
        <v>1</v>
      </c>
    </row>
    <row r="83" spans="1:9" x14ac:dyDescent="0.3">
      <c r="A83" s="19" t="s">
        <v>18</v>
      </c>
      <c r="D83" s="16" t="s">
        <v>218</v>
      </c>
      <c r="E83">
        <v>0.88</v>
      </c>
      <c r="F83" s="16" t="s">
        <v>334</v>
      </c>
      <c r="G83">
        <v>2.15</v>
      </c>
      <c r="H83" s="16" t="s">
        <v>334</v>
      </c>
      <c r="I83">
        <v>2.0299999999999998</v>
      </c>
    </row>
    <row r="84" spans="1:9" x14ac:dyDescent="0.3">
      <c r="A84" s="19" t="s">
        <v>18</v>
      </c>
      <c r="F84" s="16" t="s">
        <v>229</v>
      </c>
      <c r="G84">
        <v>0.12</v>
      </c>
      <c r="H84" s="16" t="s">
        <v>218</v>
      </c>
      <c r="I84">
        <v>1</v>
      </c>
    </row>
    <row r="85" spans="1:9" x14ac:dyDescent="0.3">
      <c r="A85" s="19" t="s">
        <v>18</v>
      </c>
      <c r="F85" s="16" t="s">
        <v>1246</v>
      </c>
      <c r="G85">
        <v>0.12</v>
      </c>
    </row>
    <row r="86" spans="1:9" x14ac:dyDescent="0.3">
      <c r="A86" s="19" t="s">
        <v>18</v>
      </c>
      <c r="F86" s="16" t="s">
        <v>102</v>
      </c>
      <c r="G86">
        <v>0.2</v>
      </c>
    </row>
    <row r="87" spans="1:9" x14ac:dyDescent="0.3">
      <c r="A87" s="19" t="s">
        <v>18</v>
      </c>
      <c r="F87" s="16" t="s">
        <v>104</v>
      </c>
      <c r="G87">
        <v>0.17</v>
      </c>
    </row>
    <row r="88" spans="1:9" x14ac:dyDescent="0.3">
      <c r="A88" s="19" t="s">
        <v>18</v>
      </c>
      <c r="F88" s="16" t="s">
        <v>230</v>
      </c>
      <c r="G88">
        <v>7.0000000000000007E-2</v>
      </c>
    </row>
    <row r="89" spans="1:9" x14ac:dyDescent="0.3">
      <c r="A89" s="19" t="s">
        <v>18</v>
      </c>
      <c r="F89" s="16" t="s">
        <v>182</v>
      </c>
      <c r="G89">
        <v>0.34</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C59692-E60E-435A-BDC8-B4346B93940A}">
          <x14:formula1>
            <xm:f>'Client Name'!$A:$A</xm:f>
          </x14:formula1>
          <xm:sqref>O13:O17 Y13:Y17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F8827-6ECA-4E62-956B-AFA12582A5F0}">
  <sheetPr codeName="Sheet18"/>
  <dimension ref="A1:AF53"/>
  <sheetViews>
    <sheetView zoomScale="55" zoomScaleNormal="55" workbookViewId="0">
      <selection activeCell="C22" sqref="C22"/>
    </sheetView>
  </sheetViews>
  <sheetFormatPr defaultRowHeight="14.4" x14ac:dyDescent="0.3"/>
  <cols>
    <col min="1" max="1" width="8.88671875" style="19"/>
    <col min="2" max="2" width="26.88671875" style="16" bestFit="1" customWidth="1"/>
    <col min="3" max="3" width="5" customWidth="1"/>
    <col min="4" max="4" width="26.88671875" style="16" bestFit="1" customWidth="1"/>
    <col min="5" max="5" width="5" customWidth="1"/>
    <col min="6" max="6" width="26.88671875" style="16" bestFit="1" customWidth="1"/>
    <col min="7" max="7" width="5" customWidth="1"/>
    <col min="8" max="8" width="33.6640625" style="16" customWidth="1"/>
    <col min="9" max="9" width="5" customWidth="1"/>
    <col min="10" max="10" width="26.88671875" style="16" bestFit="1" customWidth="1"/>
    <col min="11" max="11" width="5" customWidth="1"/>
    <col min="12" max="12" width="11.109375" bestFit="1" customWidth="1"/>
    <col min="15" max="15" width="45.33203125" customWidth="1"/>
    <col min="16" max="16" width="13.44140625" style="16" customWidth="1"/>
    <col min="25" max="25" width="26" customWidth="1"/>
    <col min="26" max="26" width="12.88671875" customWidth="1"/>
  </cols>
  <sheetData>
    <row r="1" spans="1:32" ht="31.95" customHeight="1" thickBot="1" x14ac:dyDescent="0.35">
      <c r="A1" s="49" t="s">
        <v>3051</v>
      </c>
      <c r="B1" s="43" t="s">
        <v>240</v>
      </c>
      <c r="C1" s="14"/>
      <c r="D1" s="2"/>
      <c r="E1" s="14"/>
      <c r="F1" s="2"/>
      <c r="G1" s="14"/>
      <c r="H1" s="2"/>
      <c r="I1" s="14"/>
      <c r="J1" s="2"/>
      <c r="K1" s="14"/>
      <c r="L1" s="1" t="s">
        <v>3144</v>
      </c>
      <c r="M1" s="1">
        <v>160</v>
      </c>
      <c r="O1" s="32" t="s">
        <v>0</v>
      </c>
      <c r="P1" s="33" t="s">
        <v>3141</v>
      </c>
      <c r="Q1" s="33"/>
      <c r="R1" s="33" t="s">
        <v>2</v>
      </c>
      <c r="S1" s="33" t="s">
        <v>3</v>
      </c>
      <c r="T1" s="33" t="s">
        <v>4</v>
      </c>
      <c r="U1" s="46" t="s">
        <v>5</v>
      </c>
      <c r="Y1" s="32" t="s">
        <v>0</v>
      </c>
      <c r="Z1" s="33" t="s">
        <v>3142</v>
      </c>
      <c r="AA1" s="33"/>
      <c r="AB1" s="33" t="s">
        <v>2</v>
      </c>
      <c r="AC1" s="33" t="s">
        <v>3</v>
      </c>
      <c r="AD1" s="33" t="s">
        <v>4</v>
      </c>
      <c r="AE1" s="33" t="s">
        <v>5</v>
      </c>
      <c r="AF1" s="46" t="s">
        <v>9</v>
      </c>
    </row>
    <row r="2" spans="1:32" x14ac:dyDescent="0.3">
      <c r="A2" s="2"/>
      <c r="B2" s="2"/>
      <c r="C2" s="4"/>
      <c r="D2" s="2"/>
      <c r="E2" s="4"/>
      <c r="F2" s="2"/>
      <c r="G2" s="4"/>
      <c r="H2" s="2"/>
      <c r="I2" s="4"/>
      <c r="J2" s="2"/>
      <c r="K2" s="4"/>
      <c r="L2" s="1"/>
      <c r="M2" s="1"/>
      <c r="O2" t="s">
        <v>81</v>
      </c>
      <c r="P2" s="16">
        <v>0</v>
      </c>
      <c r="Q2" s="16"/>
      <c r="R2">
        <v>0</v>
      </c>
      <c r="S2">
        <v>0</v>
      </c>
      <c r="T2">
        <v>0</v>
      </c>
      <c r="U2">
        <v>0</v>
      </c>
      <c r="Y2" t="s">
        <v>81</v>
      </c>
      <c r="Z2">
        <v>119.59</v>
      </c>
      <c r="AB2">
        <v>5.4</v>
      </c>
      <c r="AC2">
        <v>31.37</v>
      </c>
      <c r="AD2">
        <v>26.91</v>
      </c>
      <c r="AE2">
        <v>36.07</v>
      </c>
      <c r="AF2">
        <v>19.84</v>
      </c>
    </row>
    <row r="3" spans="1:32" x14ac:dyDescent="0.3">
      <c r="A3" s="3"/>
      <c r="B3" s="2" t="s">
        <v>378</v>
      </c>
      <c r="C3" s="2"/>
      <c r="D3" s="2" t="s">
        <v>576</v>
      </c>
      <c r="E3" s="2"/>
      <c r="F3" s="2" t="s">
        <v>747</v>
      </c>
      <c r="G3" s="2"/>
      <c r="H3" s="2" t="s">
        <v>897</v>
      </c>
      <c r="I3" s="2"/>
      <c r="J3" s="2" t="s">
        <v>33</v>
      </c>
      <c r="O3" t="s">
        <v>3058</v>
      </c>
      <c r="P3" s="16">
        <v>160</v>
      </c>
      <c r="Q3" s="16"/>
      <c r="R3">
        <v>40</v>
      </c>
      <c r="S3">
        <v>40</v>
      </c>
      <c r="T3">
        <v>40</v>
      </c>
      <c r="U3">
        <v>40</v>
      </c>
      <c r="Y3" t="s">
        <v>3058</v>
      </c>
      <c r="Z3">
        <v>0</v>
      </c>
      <c r="AB3">
        <v>0</v>
      </c>
      <c r="AC3">
        <v>0</v>
      </c>
      <c r="AD3">
        <v>0</v>
      </c>
      <c r="AE3">
        <v>0</v>
      </c>
      <c r="AF3">
        <v>0</v>
      </c>
    </row>
    <row r="4" spans="1:32" x14ac:dyDescent="0.3">
      <c r="A4" s="2" t="s">
        <v>13</v>
      </c>
      <c r="B4" s="5" t="s">
        <v>3058</v>
      </c>
      <c r="C4" s="3">
        <v>8</v>
      </c>
      <c r="D4" s="5" t="s">
        <v>3058</v>
      </c>
      <c r="E4" s="3">
        <v>8</v>
      </c>
      <c r="F4" s="5" t="s">
        <v>3058</v>
      </c>
      <c r="G4" s="3">
        <v>8</v>
      </c>
      <c r="H4" s="5" t="s">
        <v>3058</v>
      </c>
      <c r="I4" s="3">
        <v>8</v>
      </c>
      <c r="J4" s="5" t="s">
        <v>3058</v>
      </c>
      <c r="K4" s="3">
        <v>8</v>
      </c>
      <c r="O4" t="s">
        <v>54</v>
      </c>
      <c r="P4" s="16">
        <v>0</v>
      </c>
      <c r="Q4" s="16"/>
      <c r="R4">
        <v>0</v>
      </c>
      <c r="S4">
        <v>0</v>
      </c>
      <c r="T4">
        <v>0</v>
      </c>
      <c r="U4">
        <v>0</v>
      </c>
      <c r="Y4" t="s">
        <v>54</v>
      </c>
      <c r="Z4">
        <v>24.29</v>
      </c>
      <c r="AB4">
        <v>1.0499999999999998</v>
      </c>
      <c r="AC4">
        <v>5.2</v>
      </c>
      <c r="AD4">
        <v>1.22</v>
      </c>
      <c r="AE4">
        <v>0.5</v>
      </c>
      <c r="AF4">
        <v>16.32</v>
      </c>
    </row>
    <row r="5" spans="1:32" x14ac:dyDescent="0.3">
      <c r="A5" s="2"/>
      <c r="B5" s="5"/>
      <c r="C5" s="3"/>
      <c r="D5" s="5"/>
      <c r="E5" s="3"/>
      <c r="F5" s="3"/>
      <c r="G5" s="3"/>
      <c r="H5" s="5"/>
      <c r="I5" s="3"/>
      <c r="J5" s="3"/>
      <c r="O5" t="s">
        <v>139</v>
      </c>
      <c r="P5" s="16">
        <v>0</v>
      </c>
      <c r="Q5" s="16"/>
      <c r="R5">
        <v>0</v>
      </c>
      <c r="S5">
        <v>0</v>
      </c>
      <c r="T5">
        <v>0</v>
      </c>
      <c r="U5">
        <v>0</v>
      </c>
      <c r="Y5" t="s">
        <v>139</v>
      </c>
      <c r="Z5">
        <v>7.5399999999999991</v>
      </c>
      <c r="AB5">
        <v>0</v>
      </c>
      <c r="AC5">
        <v>0</v>
      </c>
      <c r="AD5">
        <v>2.65</v>
      </c>
      <c r="AE5">
        <v>3.71</v>
      </c>
      <c r="AF5">
        <v>1.18</v>
      </c>
    </row>
    <row r="6" spans="1:32" x14ac:dyDescent="0.3">
      <c r="A6" s="2"/>
      <c r="B6" s="5"/>
      <c r="C6" s="3"/>
      <c r="D6" s="3"/>
      <c r="E6" s="3"/>
      <c r="F6" s="3"/>
      <c r="G6" s="3"/>
      <c r="H6" s="3"/>
      <c r="I6" s="3"/>
      <c r="J6" s="3"/>
      <c r="O6" t="s">
        <v>179</v>
      </c>
      <c r="P6" s="16">
        <v>0</v>
      </c>
      <c r="Q6" s="16"/>
      <c r="R6">
        <v>0</v>
      </c>
      <c r="S6">
        <v>0</v>
      </c>
      <c r="T6">
        <v>0</v>
      </c>
      <c r="U6">
        <v>0</v>
      </c>
      <c r="Y6" t="s">
        <v>179</v>
      </c>
      <c r="Z6">
        <v>1.1499999999999999</v>
      </c>
      <c r="AB6">
        <v>0</v>
      </c>
      <c r="AC6">
        <v>0</v>
      </c>
      <c r="AD6">
        <v>0</v>
      </c>
      <c r="AE6">
        <v>1.1499999999999999</v>
      </c>
      <c r="AF6">
        <v>0</v>
      </c>
    </row>
    <row r="7" spans="1:32" x14ac:dyDescent="0.3">
      <c r="A7" s="2"/>
      <c r="B7" s="3"/>
      <c r="C7" s="3"/>
      <c r="D7" s="3"/>
      <c r="E7" s="3"/>
      <c r="F7" s="3"/>
      <c r="G7" s="3"/>
      <c r="H7" s="3"/>
      <c r="I7" s="3"/>
      <c r="J7" s="3"/>
      <c r="O7" t="s">
        <v>242</v>
      </c>
      <c r="P7" s="16">
        <v>0</v>
      </c>
      <c r="R7">
        <v>0</v>
      </c>
      <c r="S7">
        <v>0</v>
      </c>
      <c r="T7">
        <v>0</v>
      </c>
      <c r="U7">
        <v>0</v>
      </c>
      <c r="Y7" t="s">
        <v>242</v>
      </c>
      <c r="Z7">
        <v>6.3</v>
      </c>
      <c r="AB7">
        <v>0.35</v>
      </c>
      <c r="AC7">
        <v>0</v>
      </c>
      <c r="AD7">
        <v>2.6</v>
      </c>
      <c r="AE7">
        <v>2.42</v>
      </c>
      <c r="AF7">
        <v>0.92999999999999994</v>
      </c>
    </row>
    <row r="8" spans="1:32" x14ac:dyDescent="0.3">
      <c r="A8" s="2"/>
      <c r="B8" s="3"/>
      <c r="C8" s="3"/>
      <c r="D8" s="3"/>
      <c r="E8" s="3"/>
      <c r="F8" s="3"/>
      <c r="G8" s="3"/>
      <c r="H8" s="3"/>
      <c r="I8" s="3"/>
      <c r="J8" s="3"/>
      <c r="O8" t="s">
        <v>241</v>
      </c>
      <c r="P8" s="16">
        <v>0</v>
      </c>
      <c r="R8">
        <v>0</v>
      </c>
      <c r="S8">
        <v>0</v>
      </c>
      <c r="T8">
        <v>0</v>
      </c>
      <c r="U8">
        <v>0</v>
      </c>
      <c r="Y8" t="s">
        <v>241</v>
      </c>
      <c r="Z8">
        <v>7.0600000000000005</v>
      </c>
      <c r="AB8">
        <v>7.0000000000000007E-2</v>
      </c>
      <c r="AC8">
        <v>1.1299999999999999</v>
      </c>
      <c r="AD8">
        <v>2.42</v>
      </c>
      <c r="AE8">
        <v>1.27</v>
      </c>
      <c r="AF8">
        <v>2.17</v>
      </c>
    </row>
    <row r="9" spans="1:32" x14ac:dyDescent="0.3">
      <c r="A9" s="2" t="s">
        <v>14</v>
      </c>
      <c r="B9" s="5" t="s">
        <v>3058</v>
      </c>
      <c r="C9" s="3">
        <v>8</v>
      </c>
      <c r="D9" s="5" t="s">
        <v>3058</v>
      </c>
      <c r="E9" s="3">
        <v>8</v>
      </c>
      <c r="F9" s="5" t="s">
        <v>3058</v>
      </c>
      <c r="G9" s="3">
        <v>8</v>
      </c>
      <c r="H9" s="5" t="s">
        <v>3058</v>
      </c>
      <c r="I9" s="3">
        <v>8</v>
      </c>
      <c r="J9" s="5" t="s">
        <v>3058</v>
      </c>
      <c r="K9" s="3">
        <v>8</v>
      </c>
      <c r="O9" t="s">
        <v>217</v>
      </c>
      <c r="P9" s="16">
        <v>0</v>
      </c>
      <c r="R9">
        <v>0</v>
      </c>
      <c r="S9">
        <v>0</v>
      </c>
      <c r="T9">
        <v>0</v>
      </c>
      <c r="U9">
        <v>0</v>
      </c>
      <c r="Y9" t="s">
        <v>217</v>
      </c>
      <c r="Z9">
        <v>15.97</v>
      </c>
      <c r="AB9">
        <v>1.48</v>
      </c>
      <c r="AC9">
        <v>3.7300000000000004</v>
      </c>
      <c r="AD9">
        <v>5.7200000000000006</v>
      </c>
      <c r="AE9">
        <v>1</v>
      </c>
      <c r="AF9">
        <v>4.0399999999999991</v>
      </c>
    </row>
    <row r="10" spans="1:32" x14ac:dyDescent="0.3">
      <c r="A10" s="2"/>
      <c r="B10" s="5"/>
      <c r="C10" s="3"/>
      <c r="D10" s="5"/>
      <c r="E10" s="3"/>
      <c r="F10" s="3"/>
      <c r="G10" s="3"/>
      <c r="H10" s="5"/>
      <c r="I10" s="3"/>
      <c r="J10" s="3"/>
    </row>
    <row r="11" spans="1:32" x14ac:dyDescent="0.3">
      <c r="A11" s="2"/>
      <c r="B11" s="5"/>
      <c r="C11" s="3"/>
      <c r="D11" s="3"/>
      <c r="E11" s="3"/>
      <c r="F11" s="3"/>
      <c r="G11" s="3"/>
      <c r="H11" s="3"/>
      <c r="I11" s="3"/>
      <c r="J11" s="3"/>
    </row>
    <row r="12" spans="1:32" x14ac:dyDescent="0.3">
      <c r="A12" s="2"/>
      <c r="B12" s="3"/>
      <c r="C12" s="3"/>
      <c r="D12" s="3"/>
      <c r="E12" s="3"/>
      <c r="F12" s="3"/>
      <c r="G12" s="3"/>
      <c r="H12" s="3"/>
      <c r="I12" s="3"/>
      <c r="J12" s="3"/>
    </row>
    <row r="13" spans="1:32" x14ac:dyDescent="0.3">
      <c r="A13" s="2"/>
      <c r="B13" s="3"/>
      <c r="C13" s="3"/>
      <c r="D13" s="3"/>
      <c r="E13" s="3"/>
      <c r="F13" s="3"/>
      <c r="G13" s="3"/>
      <c r="H13" s="3"/>
      <c r="I13" s="3"/>
      <c r="J13" s="3"/>
    </row>
    <row r="14" spans="1:32" x14ac:dyDescent="0.3">
      <c r="A14" s="2" t="s">
        <v>15</v>
      </c>
      <c r="B14" s="5" t="s">
        <v>3058</v>
      </c>
      <c r="C14" s="3">
        <v>8</v>
      </c>
      <c r="D14" s="5" t="s">
        <v>3058</v>
      </c>
      <c r="E14" s="3">
        <v>8</v>
      </c>
      <c r="F14" s="5" t="s">
        <v>3058</v>
      </c>
      <c r="G14" s="3">
        <v>8</v>
      </c>
      <c r="H14" s="5" t="s">
        <v>3058</v>
      </c>
      <c r="I14" s="3">
        <v>8</v>
      </c>
      <c r="J14" s="5" t="s">
        <v>3058</v>
      </c>
      <c r="K14" s="3">
        <v>8</v>
      </c>
    </row>
    <row r="15" spans="1:32" x14ac:dyDescent="0.3">
      <c r="A15" s="2"/>
      <c r="B15" s="5"/>
      <c r="C15" s="3"/>
      <c r="D15" s="5"/>
      <c r="E15" s="3"/>
      <c r="F15" s="3"/>
      <c r="G15" s="3"/>
      <c r="H15" s="5"/>
      <c r="I15" s="3"/>
      <c r="J15" s="3"/>
    </row>
    <row r="16" spans="1:32" x14ac:dyDescent="0.3">
      <c r="A16" s="2"/>
      <c r="B16" s="5"/>
      <c r="C16" s="3"/>
      <c r="D16" s="3"/>
      <c r="E16" s="3"/>
      <c r="F16" s="3"/>
      <c r="G16" s="3"/>
      <c r="H16" s="3"/>
      <c r="I16" s="3"/>
      <c r="J16" s="3"/>
    </row>
    <row r="17" spans="1:32" x14ac:dyDescent="0.3">
      <c r="A17" s="2"/>
      <c r="B17" s="3"/>
      <c r="C17" s="3"/>
      <c r="D17" s="3"/>
      <c r="E17" s="3"/>
      <c r="F17" s="3"/>
      <c r="G17" s="3"/>
      <c r="H17" s="3"/>
      <c r="I17" s="3"/>
      <c r="J17" s="3"/>
    </row>
    <row r="18" spans="1:32" x14ac:dyDescent="0.3">
      <c r="A18" s="2"/>
      <c r="B18" s="3"/>
      <c r="C18" s="3"/>
      <c r="D18" s="3"/>
      <c r="E18" s="3"/>
      <c r="F18" s="3"/>
      <c r="G18" s="3"/>
      <c r="H18" s="3"/>
      <c r="I18" s="3"/>
      <c r="J18" s="3"/>
    </row>
    <row r="19" spans="1:32" x14ac:dyDescent="0.3">
      <c r="A19" s="2" t="s">
        <v>16</v>
      </c>
      <c r="B19" s="5" t="s">
        <v>3058</v>
      </c>
      <c r="C19" s="3">
        <v>8</v>
      </c>
      <c r="D19" s="5" t="s">
        <v>3058</v>
      </c>
      <c r="E19" s="3">
        <v>8</v>
      </c>
      <c r="F19" s="5" t="s">
        <v>3058</v>
      </c>
      <c r="G19" s="3">
        <v>8</v>
      </c>
      <c r="H19" s="5" t="s">
        <v>3058</v>
      </c>
      <c r="I19" s="3">
        <v>8</v>
      </c>
      <c r="J19" s="5" t="s">
        <v>3058</v>
      </c>
      <c r="K19" s="3">
        <v>8</v>
      </c>
      <c r="O19" t="s">
        <v>3143</v>
      </c>
      <c r="P19" s="16">
        <f>SUM(P2:P18)</f>
        <v>160</v>
      </c>
      <c r="R19">
        <f>SUM(R2:R18)</f>
        <v>40</v>
      </c>
      <c r="S19">
        <f>SUM(S2:S18)</f>
        <v>40</v>
      </c>
      <c r="T19">
        <f>SUM(T2:T18)</f>
        <v>40</v>
      </c>
      <c r="U19">
        <f>SUM(U2:U18)</f>
        <v>40</v>
      </c>
      <c r="Y19" t="s">
        <v>3143</v>
      </c>
      <c r="Z19">
        <f>SUM(Z2:Z18)</f>
        <v>181.9</v>
      </c>
      <c r="AB19">
        <f>SUM(AB2:AB18)</f>
        <v>8.35</v>
      </c>
      <c r="AC19">
        <f>SUM(AC2:AC18)</f>
        <v>41.430000000000007</v>
      </c>
      <c r="AD19">
        <f>SUM(AD2:AD18)</f>
        <v>41.519999999999996</v>
      </c>
      <c r="AE19">
        <f>SUM(AE2:AE18)</f>
        <v>46.120000000000005</v>
      </c>
      <c r="AF19">
        <f>SUM(AF2:AF18)</f>
        <v>44.48</v>
      </c>
    </row>
    <row r="20" spans="1:32" x14ac:dyDescent="0.3">
      <c r="A20" s="2"/>
      <c r="B20" s="5"/>
      <c r="C20" s="3"/>
      <c r="D20" s="5"/>
      <c r="E20" s="3"/>
      <c r="F20" s="5"/>
      <c r="G20" s="3"/>
      <c r="H20" s="5"/>
      <c r="I20" s="3"/>
      <c r="J20" s="5"/>
      <c r="K20" s="3"/>
    </row>
    <row r="21" spans="1:32" x14ac:dyDescent="0.3">
      <c r="A21" s="2"/>
      <c r="B21" s="5"/>
      <c r="C21" s="3"/>
      <c r="D21" s="5"/>
      <c r="E21" s="3"/>
      <c r="F21" s="5"/>
      <c r="G21" s="3"/>
      <c r="H21" s="5"/>
      <c r="I21" s="3"/>
      <c r="J21" s="5"/>
      <c r="K21" s="3"/>
    </row>
    <row r="22" spans="1:32" x14ac:dyDescent="0.3">
      <c r="A22" s="2" t="s">
        <v>17</v>
      </c>
      <c r="L22" s="1" t="s">
        <v>3144</v>
      </c>
      <c r="M22" s="1">
        <v>181.9</v>
      </c>
    </row>
    <row r="23" spans="1:32" x14ac:dyDescent="0.3">
      <c r="B23" s="19" t="s">
        <v>378</v>
      </c>
      <c r="D23" s="19" t="s">
        <v>576</v>
      </c>
      <c r="F23" s="19" t="s">
        <v>747</v>
      </c>
      <c r="H23" s="19" t="s">
        <v>897</v>
      </c>
      <c r="J23" s="19" t="s">
        <v>33</v>
      </c>
    </row>
    <row r="24" spans="1:32" x14ac:dyDescent="0.3">
      <c r="A24" s="2" t="s">
        <v>13</v>
      </c>
      <c r="B24" s="3"/>
      <c r="C24" s="3"/>
      <c r="D24" s="3"/>
      <c r="E24" s="3"/>
      <c r="F24" s="3"/>
      <c r="G24" s="3"/>
      <c r="H24" s="3"/>
      <c r="I24" s="3"/>
      <c r="J24" s="3" t="s">
        <v>81</v>
      </c>
      <c r="K24">
        <v>5.4</v>
      </c>
      <c r="L24" s="1"/>
      <c r="M24" s="1"/>
    </row>
    <row r="25" spans="1:32" x14ac:dyDescent="0.3">
      <c r="A25" s="2" t="s">
        <v>13</v>
      </c>
      <c r="B25" s="2"/>
      <c r="C25" s="3"/>
      <c r="D25" s="2"/>
      <c r="E25" s="3"/>
      <c r="F25" s="2"/>
      <c r="G25" s="3"/>
      <c r="H25" s="2"/>
      <c r="I25" s="3"/>
      <c r="J25" s="2" t="s">
        <v>54</v>
      </c>
      <c r="K25">
        <v>1.0499999999999998</v>
      </c>
    </row>
    <row r="26" spans="1:32" x14ac:dyDescent="0.3">
      <c r="A26" s="2" t="s">
        <v>13</v>
      </c>
      <c r="B26" s="3"/>
      <c r="C26" s="3"/>
      <c r="D26" s="3"/>
      <c r="E26" s="3"/>
      <c r="F26" s="3"/>
      <c r="G26" s="3"/>
      <c r="H26" s="3"/>
      <c r="I26" s="3"/>
      <c r="J26" s="3" t="s">
        <v>242</v>
      </c>
      <c r="K26">
        <v>0.35</v>
      </c>
    </row>
    <row r="27" spans="1:32" x14ac:dyDescent="0.3">
      <c r="A27" s="2" t="s">
        <v>13</v>
      </c>
      <c r="B27" s="3"/>
      <c r="C27" s="3"/>
      <c r="D27" s="3"/>
      <c r="E27" s="3"/>
      <c r="F27" s="3"/>
      <c r="G27" s="3"/>
      <c r="H27" s="3"/>
      <c r="I27" s="3"/>
      <c r="J27" s="3" t="s">
        <v>241</v>
      </c>
      <c r="K27">
        <v>7.0000000000000007E-2</v>
      </c>
    </row>
    <row r="28" spans="1:32" x14ac:dyDescent="0.3">
      <c r="A28" s="2" t="s">
        <v>13</v>
      </c>
      <c r="B28" s="3"/>
      <c r="C28" s="3"/>
      <c r="D28" s="3"/>
      <c r="E28" s="3"/>
      <c r="F28" s="3"/>
      <c r="G28" s="3"/>
      <c r="H28" s="3"/>
      <c r="I28" s="3"/>
      <c r="J28" s="3" t="s">
        <v>217</v>
      </c>
      <c r="K28">
        <v>1.48</v>
      </c>
    </row>
    <row r="29" spans="1:32" x14ac:dyDescent="0.3">
      <c r="A29" s="2"/>
      <c r="B29" s="3"/>
      <c r="C29" s="3"/>
      <c r="D29" s="3"/>
      <c r="E29" s="3"/>
      <c r="F29" s="3"/>
      <c r="G29" s="3"/>
      <c r="H29" s="3"/>
      <c r="I29" s="3"/>
      <c r="J29" s="3"/>
    </row>
    <row r="30" spans="1:32" x14ac:dyDescent="0.3">
      <c r="A30" s="2"/>
      <c r="B30" s="3"/>
      <c r="C30" s="3"/>
      <c r="D30" s="3"/>
      <c r="E30" s="3"/>
      <c r="F30" s="3"/>
      <c r="G30" s="3"/>
      <c r="H30" s="3"/>
      <c r="I30" s="3"/>
      <c r="J30" s="3"/>
    </row>
    <row r="31" spans="1:32" x14ac:dyDescent="0.3">
      <c r="A31" s="2" t="s">
        <v>14</v>
      </c>
      <c r="B31" s="3" t="s">
        <v>81</v>
      </c>
      <c r="C31" s="3">
        <v>7.53</v>
      </c>
      <c r="D31" s="3" t="s">
        <v>81</v>
      </c>
      <c r="E31" s="3">
        <v>7.38</v>
      </c>
      <c r="F31" s="3" t="s">
        <v>81</v>
      </c>
      <c r="G31" s="3">
        <v>3.93</v>
      </c>
      <c r="H31" s="3" t="s">
        <v>81</v>
      </c>
      <c r="I31" s="3">
        <v>5.05</v>
      </c>
      <c r="J31" s="3" t="s">
        <v>81</v>
      </c>
      <c r="K31">
        <v>7.48</v>
      </c>
    </row>
    <row r="32" spans="1:32" x14ac:dyDescent="0.3">
      <c r="A32" s="2" t="s">
        <v>14</v>
      </c>
      <c r="B32" s="3" t="s">
        <v>54</v>
      </c>
      <c r="C32" s="3">
        <v>0.23</v>
      </c>
      <c r="D32" s="3" t="s">
        <v>241</v>
      </c>
      <c r="E32" s="3">
        <v>0.73</v>
      </c>
      <c r="F32" s="3" t="s">
        <v>54</v>
      </c>
      <c r="G32" s="3">
        <v>4.3</v>
      </c>
      <c r="H32" s="3" t="s">
        <v>54</v>
      </c>
      <c r="I32" s="3">
        <v>0.59000000000000008</v>
      </c>
      <c r="J32" s="3" t="s">
        <v>54</v>
      </c>
      <c r="K32">
        <v>0.08</v>
      </c>
    </row>
    <row r="33" spans="1:11" x14ac:dyDescent="0.3">
      <c r="A33" s="19" t="s">
        <v>14</v>
      </c>
      <c r="B33" s="16" t="s">
        <v>241</v>
      </c>
      <c r="C33">
        <v>0.4</v>
      </c>
      <c r="D33" s="3" t="s">
        <v>217</v>
      </c>
      <c r="E33">
        <v>0.78</v>
      </c>
      <c r="F33" s="3"/>
      <c r="H33" s="3" t="s">
        <v>217</v>
      </c>
      <c r="I33">
        <v>2.42</v>
      </c>
      <c r="J33" s="3" t="s">
        <v>217</v>
      </c>
      <c r="K33">
        <v>0.53</v>
      </c>
    </row>
    <row r="34" spans="1:11" x14ac:dyDescent="0.3">
      <c r="F34" s="3"/>
      <c r="H34" s="3"/>
      <c r="J34" s="3"/>
    </row>
    <row r="35" spans="1:11" x14ac:dyDescent="0.3">
      <c r="F35" s="3"/>
      <c r="H35" s="3"/>
      <c r="J35" s="3"/>
    </row>
    <row r="36" spans="1:11" x14ac:dyDescent="0.3">
      <c r="A36" s="19" t="s">
        <v>15</v>
      </c>
      <c r="B36" s="16" t="s">
        <v>81</v>
      </c>
      <c r="C36">
        <v>5.53</v>
      </c>
      <c r="D36" s="16" t="s">
        <v>81</v>
      </c>
      <c r="E36">
        <v>6.12</v>
      </c>
      <c r="F36" s="16" t="s">
        <v>81</v>
      </c>
      <c r="G36">
        <v>3.27</v>
      </c>
      <c r="H36" s="3" t="s">
        <v>81</v>
      </c>
      <c r="I36">
        <v>5.77</v>
      </c>
      <c r="J36" s="16" t="s">
        <v>81</v>
      </c>
      <c r="K36">
        <v>6.22</v>
      </c>
    </row>
    <row r="37" spans="1:11" x14ac:dyDescent="0.3">
      <c r="A37" s="19" t="s">
        <v>15</v>
      </c>
      <c r="B37" s="16" t="s">
        <v>241</v>
      </c>
      <c r="C37">
        <v>0.92</v>
      </c>
      <c r="D37" s="16" t="s">
        <v>54</v>
      </c>
      <c r="E37">
        <v>0.15</v>
      </c>
      <c r="F37" s="16" t="s">
        <v>139</v>
      </c>
      <c r="G37">
        <v>2.33</v>
      </c>
      <c r="H37" s="3" t="s">
        <v>54</v>
      </c>
      <c r="I37">
        <v>0.02</v>
      </c>
      <c r="J37" s="16" t="s">
        <v>54</v>
      </c>
      <c r="K37">
        <v>1.05</v>
      </c>
    </row>
    <row r="38" spans="1:11" x14ac:dyDescent="0.3">
      <c r="A38" s="19" t="s">
        <v>15</v>
      </c>
      <c r="B38" s="16" t="s">
        <v>217</v>
      </c>
      <c r="C38">
        <v>1.67</v>
      </c>
      <c r="D38" s="16" t="s">
        <v>139</v>
      </c>
      <c r="E38">
        <v>0.32</v>
      </c>
      <c r="F38" s="16" t="s">
        <v>242</v>
      </c>
      <c r="G38">
        <v>1.57</v>
      </c>
      <c r="H38" s="3" t="s">
        <v>242</v>
      </c>
      <c r="I38">
        <v>0.3</v>
      </c>
      <c r="J38" s="16" t="s">
        <v>242</v>
      </c>
      <c r="K38">
        <v>0.73</v>
      </c>
    </row>
    <row r="39" spans="1:11" x14ac:dyDescent="0.3">
      <c r="A39" s="19" t="s">
        <v>15</v>
      </c>
      <c r="D39" s="16" t="s">
        <v>241</v>
      </c>
      <c r="E39">
        <v>1.5</v>
      </c>
      <c r="F39" s="16" t="s">
        <v>217</v>
      </c>
      <c r="G39">
        <v>2</v>
      </c>
      <c r="H39" s="3" t="s">
        <v>217</v>
      </c>
      <c r="I39">
        <v>2.0499999999999998</v>
      </c>
    </row>
    <row r="42" spans="1:11" x14ac:dyDescent="0.3">
      <c r="A42" s="19" t="s">
        <v>16</v>
      </c>
      <c r="B42" s="16" t="s">
        <v>81</v>
      </c>
      <c r="C42">
        <v>6.17</v>
      </c>
      <c r="D42" s="16" t="s">
        <v>81</v>
      </c>
      <c r="E42">
        <v>6.6400000000000006</v>
      </c>
      <c r="F42" s="16" t="s">
        <v>81</v>
      </c>
      <c r="G42">
        <v>7.78</v>
      </c>
      <c r="H42" s="16" t="s">
        <v>81</v>
      </c>
      <c r="I42">
        <v>7.13</v>
      </c>
      <c r="J42" s="16" t="s">
        <v>81</v>
      </c>
      <c r="K42">
        <v>8.35</v>
      </c>
    </row>
    <row r="43" spans="1:11" x14ac:dyDescent="0.3">
      <c r="A43" s="19" t="s">
        <v>16</v>
      </c>
      <c r="B43" s="16" t="s">
        <v>242</v>
      </c>
      <c r="C43">
        <v>2.42</v>
      </c>
      <c r="D43" s="16" t="s">
        <v>54</v>
      </c>
      <c r="E43">
        <v>0.23</v>
      </c>
      <c r="F43" s="16" t="s">
        <v>54</v>
      </c>
      <c r="G43">
        <v>0.27</v>
      </c>
      <c r="H43" s="16" t="s">
        <v>139</v>
      </c>
      <c r="I43">
        <v>0.85</v>
      </c>
      <c r="J43" s="16" t="s">
        <v>179</v>
      </c>
      <c r="K43">
        <v>0.57999999999999996</v>
      </c>
    </row>
    <row r="44" spans="1:11" x14ac:dyDescent="0.3">
      <c r="A44" s="19" t="s">
        <v>16</v>
      </c>
      <c r="B44" s="16" t="s">
        <v>241</v>
      </c>
      <c r="C44">
        <v>0.75</v>
      </c>
      <c r="D44" s="16" t="s">
        <v>139</v>
      </c>
      <c r="E44">
        <v>1.03</v>
      </c>
      <c r="F44" s="16" t="s">
        <v>139</v>
      </c>
      <c r="G44">
        <v>1.83</v>
      </c>
    </row>
    <row r="45" spans="1:11" x14ac:dyDescent="0.3">
      <c r="A45" s="19" t="s">
        <v>16</v>
      </c>
      <c r="D45" s="16" t="s">
        <v>241</v>
      </c>
      <c r="E45">
        <v>0.52</v>
      </c>
      <c r="F45" s="16" t="s">
        <v>179</v>
      </c>
      <c r="G45">
        <v>0.57000000000000006</v>
      </c>
    </row>
    <row r="46" spans="1:11" x14ac:dyDescent="0.3">
      <c r="A46" s="19" t="s">
        <v>16</v>
      </c>
      <c r="F46" s="16" t="s">
        <v>217</v>
      </c>
      <c r="G46">
        <v>1</v>
      </c>
    </row>
    <row r="49" spans="1:11" x14ac:dyDescent="0.3">
      <c r="A49" s="19" t="s">
        <v>18</v>
      </c>
      <c r="B49" s="16" t="s">
        <v>81</v>
      </c>
      <c r="C49">
        <v>7.65</v>
      </c>
      <c r="D49" s="16" t="s">
        <v>81</v>
      </c>
      <c r="E49">
        <v>5.6400000000000006</v>
      </c>
      <c r="F49" s="16" t="s">
        <v>54</v>
      </c>
      <c r="G49">
        <v>8</v>
      </c>
      <c r="H49" s="16" t="s">
        <v>81</v>
      </c>
      <c r="I49">
        <v>6.55</v>
      </c>
      <c r="J49" s="16" t="s">
        <v>54</v>
      </c>
      <c r="K49">
        <v>8</v>
      </c>
    </row>
    <row r="50" spans="1:11" x14ac:dyDescent="0.3">
      <c r="A50" s="19" t="s">
        <v>18</v>
      </c>
      <c r="B50" s="16" t="s">
        <v>241</v>
      </c>
      <c r="C50">
        <v>0.75</v>
      </c>
      <c r="D50" s="16" t="s">
        <v>54</v>
      </c>
      <c r="E50">
        <v>0.32</v>
      </c>
      <c r="H50" s="16" t="s">
        <v>242</v>
      </c>
      <c r="I50">
        <v>0.92999999999999994</v>
      </c>
    </row>
    <row r="51" spans="1:11" x14ac:dyDescent="0.3">
      <c r="A51" s="19" t="s">
        <v>18</v>
      </c>
      <c r="B51" s="16" t="s">
        <v>217</v>
      </c>
      <c r="C51">
        <v>0.3</v>
      </c>
      <c r="D51" s="16" t="s">
        <v>139</v>
      </c>
      <c r="E51">
        <v>1.18</v>
      </c>
      <c r="H51" s="16" t="s">
        <v>217</v>
      </c>
      <c r="I51">
        <v>2.5599999999999996</v>
      </c>
    </row>
    <row r="52" spans="1:11" x14ac:dyDescent="0.3">
      <c r="A52" s="19" t="s">
        <v>18</v>
      </c>
      <c r="D52" s="16" t="s">
        <v>241</v>
      </c>
      <c r="E52">
        <v>1.42</v>
      </c>
    </row>
    <row r="53" spans="1:11" x14ac:dyDescent="0.3">
      <c r="A53" s="19" t="s">
        <v>18</v>
      </c>
      <c r="D53" s="16" t="s">
        <v>217</v>
      </c>
      <c r="E53">
        <v>1.18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FCC05C-1807-4A47-A160-C1B81B9B12D2}">
          <x14:formula1>
            <xm:f>'Client Name'!$A:$A</xm:f>
          </x14:formula1>
          <xm:sqref>B24:B31 H24:H39 F24:F35 J24:J35 O9 D24:D33 Y9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4614C-BDA1-4A6C-813E-8F76A31F54B4}">
  <sheetPr codeName="Sheet6"/>
  <dimension ref="A1:C980"/>
  <sheetViews>
    <sheetView topLeftCell="A764" workbookViewId="0">
      <selection activeCell="A784" sqref="A784:A907"/>
    </sheetView>
  </sheetViews>
  <sheetFormatPr defaultRowHeight="14.4" x14ac:dyDescent="0.3"/>
  <cols>
    <col min="1" max="1" width="38.6640625" style="10" customWidth="1"/>
    <col min="2" max="2" width="47.44140625" customWidth="1"/>
    <col min="4" max="4" width="8.88671875" customWidth="1"/>
  </cols>
  <sheetData>
    <row r="1" spans="1:1" x14ac:dyDescent="0.3">
      <c r="A1" s="9" t="s">
        <v>3149</v>
      </c>
    </row>
    <row r="2" spans="1:1" x14ac:dyDescent="0.3">
      <c r="A2" s="10" t="s">
        <v>3150</v>
      </c>
    </row>
    <row r="3" spans="1:1" x14ac:dyDescent="0.3">
      <c r="A3" s="10" t="s">
        <v>3151</v>
      </c>
    </row>
    <row r="4" spans="1:1" x14ac:dyDescent="0.3">
      <c r="A4" t="s">
        <v>697</v>
      </c>
    </row>
    <row r="5" spans="1:1" x14ac:dyDescent="0.3">
      <c r="A5" t="s">
        <v>1605</v>
      </c>
    </row>
    <row r="6" spans="1:1" x14ac:dyDescent="0.3">
      <c r="A6" s="5" t="s">
        <v>3152</v>
      </c>
    </row>
    <row r="7" spans="1:1" x14ac:dyDescent="0.3">
      <c r="A7" s="6" t="s">
        <v>3153</v>
      </c>
    </row>
    <row r="8" spans="1:1" x14ac:dyDescent="0.3">
      <c r="A8" s="5" t="s">
        <v>3154</v>
      </c>
    </row>
    <row r="9" spans="1:1" x14ac:dyDescent="0.3">
      <c r="A9" s="5" t="s">
        <v>3155</v>
      </c>
    </row>
    <row r="10" spans="1:1" x14ac:dyDescent="0.3">
      <c r="A10" s="6" t="s">
        <v>3156</v>
      </c>
    </row>
    <row r="11" spans="1:1" x14ac:dyDescent="0.3">
      <c r="A11" s="5" t="s">
        <v>3157</v>
      </c>
    </row>
    <row r="12" spans="1:1" x14ac:dyDescent="0.3">
      <c r="A12" s="5" t="s">
        <v>409</v>
      </c>
    </row>
    <row r="13" spans="1:1" x14ac:dyDescent="0.3">
      <c r="A13" s="5" t="s">
        <v>3158</v>
      </c>
    </row>
    <row r="14" spans="1:1" x14ac:dyDescent="0.3">
      <c r="A14" s="5" t="s">
        <v>3159</v>
      </c>
    </row>
    <row r="15" spans="1:1" x14ac:dyDescent="0.3">
      <c r="A15" s="5" t="s">
        <v>3160</v>
      </c>
    </row>
    <row r="16" spans="1:1" x14ac:dyDescent="0.3">
      <c r="A16" s="5" t="s">
        <v>3064</v>
      </c>
    </row>
    <row r="17" spans="1:1" x14ac:dyDescent="0.3">
      <c r="A17" s="5" t="s">
        <v>3161</v>
      </c>
    </row>
    <row r="18" spans="1:1" x14ac:dyDescent="0.3">
      <c r="A18" s="5" t="s">
        <v>3162</v>
      </c>
    </row>
    <row r="19" spans="1:1" x14ac:dyDescent="0.3">
      <c r="A19" s="5" t="s">
        <v>821</v>
      </c>
    </row>
    <row r="20" spans="1:1" x14ac:dyDescent="0.3">
      <c r="A20" s="5" t="s">
        <v>828</v>
      </c>
    </row>
    <row r="21" spans="1:1" x14ac:dyDescent="0.3">
      <c r="A21" s="5" t="s">
        <v>3163</v>
      </c>
    </row>
    <row r="22" spans="1:1" x14ac:dyDescent="0.3">
      <c r="A22" t="s">
        <v>137</v>
      </c>
    </row>
    <row r="23" spans="1:1" x14ac:dyDescent="0.3">
      <c r="A23" s="6" t="s">
        <v>3164</v>
      </c>
    </row>
    <row r="24" spans="1:1" x14ac:dyDescent="0.3">
      <c r="A24" s="10" t="s">
        <v>3165</v>
      </c>
    </row>
    <row r="25" spans="1:1" x14ac:dyDescent="0.3">
      <c r="A25" s="5" t="s">
        <v>3166</v>
      </c>
    </row>
    <row r="26" spans="1:1" x14ac:dyDescent="0.3">
      <c r="A26" s="5" t="s">
        <v>3167</v>
      </c>
    </row>
    <row r="27" spans="1:1" x14ac:dyDescent="0.3">
      <c r="A27" s="10" t="s">
        <v>3168</v>
      </c>
    </row>
    <row r="28" spans="1:1" x14ac:dyDescent="0.3">
      <c r="A28" s="5" t="s">
        <v>3169</v>
      </c>
    </row>
    <row r="29" spans="1:1" x14ac:dyDescent="0.3">
      <c r="A29" t="s">
        <v>81</v>
      </c>
    </row>
    <row r="30" spans="1:1" x14ac:dyDescent="0.3">
      <c r="A30" s="5" t="s">
        <v>3058</v>
      </c>
    </row>
    <row r="31" spans="1:1" x14ac:dyDescent="0.3">
      <c r="A31" s="10" t="s">
        <v>3170</v>
      </c>
    </row>
    <row r="32" spans="1:1" x14ac:dyDescent="0.3">
      <c r="A32" s="5" t="s">
        <v>3171</v>
      </c>
    </row>
    <row r="33" spans="1:1" x14ac:dyDescent="0.3">
      <c r="A33" s="5" t="s">
        <v>3172</v>
      </c>
    </row>
    <row r="34" spans="1:1" x14ac:dyDescent="0.3">
      <c r="A34" t="s">
        <v>657</v>
      </c>
    </row>
    <row r="35" spans="1:1" x14ac:dyDescent="0.3">
      <c r="A35" s="5" t="s">
        <v>3173</v>
      </c>
    </row>
    <row r="36" spans="1:1" x14ac:dyDescent="0.3">
      <c r="A36" s="5" t="s">
        <v>3174</v>
      </c>
    </row>
    <row r="37" spans="1:1" x14ac:dyDescent="0.3">
      <c r="A37" s="7" t="s">
        <v>3175</v>
      </c>
    </row>
    <row r="38" spans="1:1" x14ac:dyDescent="0.3">
      <c r="A38" s="5" t="s">
        <v>3176</v>
      </c>
    </row>
    <row r="39" spans="1:1" x14ac:dyDescent="0.3">
      <c r="A39" s="10" t="s">
        <v>3177</v>
      </c>
    </row>
    <row r="40" spans="1:1" x14ac:dyDescent="0.3">
      <c r="A40" s="5" t="s">
        <v>3178</v>
      </c>
    </row>
    <row r="41" spans="1:1" x14ac:dyDescent="0.3">
      <c r="A41" s="5" t="s">
        <v>3179</v>
      </c>
    </row>
    <row r="42" spans="1:1" x14ac:dyDescent="0.3">
      <c r="A42" s="7" t="s">
        <v>3180</v>
      </c>
    </row>
    <row r="43" spans="1:1" x14ac:dyDescent="0.3">
      <c r="A43" s="5" t="s">
        <v>3181</v>
      </c>
    </row>
    <row r="44" spans="1:1" x14ac:dyDescent="0.3">
      <c r="A44" s="12" t="s">
        <v>3182</v>
      </c>
    </row>
    <row r="45" spans="1:1" x14ac:dyDescent="0.3">
      <c r="A45" s="5" t="s">
        <v>3183</v>
      </c>
    </row>
    <row r="46" spans="1:1" x14ac:dyDescent="0.3">
      <c r="A46" s="5" t="s">
        <v>3184</v>
      </c>
    </row>
    <row r="47" spans="1:1" x14ac:dyDescent="0.3">
      <c r="A47" s="5" t="s">
        <v>666</v>
      </c>
    </row>
    <row r="48" spans="1:1" x14ac:dyDescent="0.3">
      <c r="A48" s="10" t="s">
        <v>3185</v>
      </c>
    </row>
    <row r="49" spans="1:1" x14ac:dyDescent="0.3">
      <c r="A49" s="5" t="s">
        <v>3186</v>
      </c>
    </row>
    <row r="50" spans="1:1" x14ac:dyDescent="0.3">
      <c r="A50" s="5" t="s">
        <v>3187</v>
      </c>
    </row>
    <row r="51" spans="1:1" x14ac:dyDescent="0.3">
      <c r="A51" s="5" t="s">
        <v>3188</v>
      </c>
    </row>
    <row r="52" spans="1:1" x14ac:dyDescent="0.3">
      <c r="A52" s="5" t="s">
        <v>3189</v>
      </c>
    </row>
    <row r="53" spans="1:1" x14ac:dyDescent="0.3">
      <c r="A53" t="s">
        <v>966</v>
      </c>
    </row>
    <row r="54" spans="1:1" x14ac:dyDescent="0.3">
      <c r="A54" s="5" t="s">
        <v>3190</v>
      </c>
    </row>
    <row r="55" spans="1:1" x14ac:dyDescent="0.3">
      <c r="A55" s="5" t="s">
        <v>3191</v>
      </c>
    </row>
    <row r="56" spans="1:1" x14ac:dyDescent="0.3">
      <c r="A56" s="5" t="s">
        <v>3192</v>
      </c>
    </row>
    <row r="57" spans="1:1" x14ac:dyDescent="0.3">
      <c r="A57" s="5" t="s">
        <v>3193</v>
      </c>
    </row>
    <row r="58" spans="1:1" x14ac:dyDescent="0.3">
      <c r="A58" s="12" t="s">
        <v>3194</v>
      </c>
    </row>
    <row r="59" spans="1:1" x14ac:dyDescent="0.3">
      <c r="A59" s="5" t="s">
        <v>3195</v>
      </c>
    </row>
    <row r="60" spans="1:1" x14ac:dyDescent="0.3">
      <c r="A60" s="10" t="s">
        <v>3196</v>
      </c>
    </row>
    <row r="61" spans="1:1" x14ac:dyDescent="0.3">
      <c r="A61" s="5" t="s">
        <v>3197</v>
      </c>
    </row>
    <row r="62" spans="1:1" x14ac:dyDescent="0.3">
      <c r="A62" s="7" t="s">
        <v>3198</v>
      </c>
    </row>
    <row r="63" spans="1:1" x14ac:dyDescent="0.3">
      <c r="A63" s="5" t="s">
        <v>3199</v>
      </c>
    </row>
    <row r="64" spans="1:1" x14ac:dyDescent="0.3">
      <c r="A64" t="s">
        <v>291</v>
      </c>
    </row>
    <row r="65" spans="1:3" x14ac:dyDescent="0.3">
      <c r="A65" s="10" t="s">
        <v>3200</v>
      </c>
    </row>
    <row r="66" spans="1:3" x14ac:dyDescent="0.3">
      <c r="A66" s="5" t="s">
        <v>3201</v>
      </c>
    </row>
    <row r="67" spans="1:3" x14ac:dyDescent="0.3">
      <c r="A67" s="5" t="s">
        <v>3202</v>
      </c>
    </row>
    <row r="68" spans="1:3" x14ac:dyDescent="0.3">
      <c r="A68" s="5" t="s">
        <v>3203</v>
      </c>
    </row>
    <row r="69" spans="1:3" x14ac:dyDescent="0.3">
      <c r="A69" s="5" t="s">
        <v>3204</v>
      </c>
    </row>
    <row r="70" spans="1:3" x14ac:dyDescent="0.3">
      <c r="A70" t="s">
        <v>91</v>
      </c>
      <c r="B70" t="s">
        <v>91</v>
      </c>
      <c r="C70" t="b">
        <f>A70=B70</f>
        <v>1</v>
      </c>
    </row>
    <row r="71" spans="1:3" x14ac:dyDescent="0.3">
      <c r="A71" t="s">
        <v>1170</v>
      </c>
    </row>
    <row r="72" spans="1:3" x14ac:dyDescent="0.3">
      <c r="A72" s="5" t="s">
        <v>3205</v>
      </c>
    </row>
    <row r="73" spans="1:3" x14ac:dyDescent="0.3">
      <c r="A73" s="5" t="s">
        <v>3206</v>
      </c>
    </row>
    <row r="74" spans="1:3" x14ac:dyDescent="0.3">
      <c r="A74" s="5" t="s">
        <v>3207</v>
      </c>
    </row>
    <row r="75" spans="1:3" x14ac:dyDescent="0.3">
      <c r="A75" s="10" t="s">
        <v>3208</v>
      </c>
    </row>
    <row r="76" spans="1:3" x14ac:dyDescent="0.3">
      <c r="A76" s="5" t="s">
        <v>3209</v>
      </c>
    </row>
    <row r="77" spans="1:3" x14ac:dyDescent="0.3">
      <c r="A77" s="5" t="s">
        <v>3210</v>
      </c>
    </row>
    <row r="78" spans="1:3" x14ac:dyDescent="0.3">
      <c r="A78" s="5" t="s">
        <v>3211</v>
      </c>
    </row>
    <row r="79" spans="1:3" x14ac:dyDescent="0.3">
      <c r="A79" s="5" t="s">
        <v>3212</v>
      </c>
    </row>
    <row r="80" spans="1:3" x14ac:dyDescent="0.3">
      <c r="A80" s="5" t="s">
        <v>3213</v>
      </c>
    </row>
    <row r="81" spans="1:3" x14ac:dyDescent="0.3">
      <c r="A81" s="5" t="s">
        <v>3214</v>
      </c>
    </row>
    <row r="82" spans="1:3" x14ac:dyDescent="0.3">
      <c r="A82" s="5" t="s">
        <v>3215</v>
      </c>
    </row>
    <row r="83" spans="1:3" x14ac:dyDescent="0.3">
      <c r="A83" s="5" t="s">
        <v>3216</v>
      </c>
    </row>
    <row r="84" spans="1:3" x14ac:dyDescent="0.3">
      <c r="A84" t="s">
        <v>263</v>
      </c>
      <c r="B84" t="s">
        <v>263</v>
      </c>
      <c r="C84" t="b">
        <f>A84=B84</f>
        <v>1</v>
      </c>
    </row>
    <row r="85" spans="1:3" x14ac:dyDescent="0.3">
      <c r="A85" s="10" t="s">
        <v>3217</v>
      </c>
    </row>
    <row r="86" spans="1:3" x14ac:dyDescent="0.3">
      <c r="A86" s="5" t="s">
        <v>3218</v>
      </c>
    </row>
    <row r="87" spans="1:3" x14ac:dyDescent="0.3">
      <c r="A87" s="6" t="s">
        <v>3219</v>
      </c>
    </row>
    <row r="88" spans="1:3" x14ac:dyDescent="0.3">
      <c r="A88" s="10" t="s">
        <v>3220</v>
      </c>
    </row>
    <row r="89" spans="1:3" x14ac:dyDescent="0.3">
      <c r="A89" s="5" t="s">
        <v>3221</v>
      </c>
    </row>
    <row r="90" spans="1:3" x14ac:dyDescent="0.3">
      <c r="A90" s="10" t="s">
        <v>3222</v>
      </c>
    </row>
    <row r="91" spans="1:3" x14ac:dyDescent="0.3">
      <c r="A91" s="7" t="s">
        <v>3223</v>
      </c>
    </row>
    <row r="92" spans="1:3" x14ac:dyDescent="0.3">
      <c r="A92" s="5" t="s">
        <v>3224</v>
      </c>
    </row>
    <row r="93" spans="1:3" x14ac:dyDescent="0.3">
      <c r="A93" s="12" t="s">
        <v>3225</v>
      </c>
    </row>
    <row r="94" spans="1:3" x14ac:dyDescent="0.3">
      <c r="A94" s="5" t="s">
        <v>3226</v>
      </c>
    </row>
    <row r="95" spans="1:3" x14ac:dyDescent="0.3">
      <c r="A95" s="5" t="s">
        <v>3227</v>
      </c>
    </row>
    <row r="96" spans="1:3" x14ac:dyDescent="0.3">
      <c r="A96" s="10" t="s">
        <v>3228</v>
      </c>
    </row>
    <row r="97" spans="1:1" x14ac:dyDescent="0.3">
      <c r="A97" s="10" t="s">
        <v>3229</v>
      </c>
    </row>
    <row r="98" spans="1:1" x14ac:dyDescent="0.3">
      <c r="A98" s="5" t="s">
        <v>3230</v>
      </c>
    </row>
    <row r="99" spans="1:1" x14ac:dyDescent="0.3">
      <c r="A99" t="s">
        <v>203</v>
      </c>
    </row>
    <row r="100" spans="1:1" x14ac:dyDescent="0.3">
      <c r="A100" s="5" t="s">
        <v>3231</v>
      </c>
    </row>
    <row r="101" spans="1:1" x14ac:dyDescent="0.3">
      <c r="A101" s="5" t="s">
        <v>3232</v>
      </c>
    </row>
    <row r="102" spans="1:1" x14ac:dyDescent="0.3">
      <c r="A102" s="5" t="s">
        <v>1761</v>
      </c>
    </row>
    <row r="103" spans="1:1" x14ac:dyDescent="0.3">
      <c r="A103" s="10" t="s">
        <v>3233</v>
      </c>
    </row>
    <row r="104" spans="1:1" x14ac:dyDescent="0.3">
      <c r="A104" s="5" t="s">
        <v>3234</v>
      </c>
    </row>
    <row r="105" spans="1:1" x14ac:dyDescent="0.3">
      <c r="A105" s="5" t="s">
        <v>3235</v>
      </c>
    </row>
    <row r="106" spans="1:1" x14ac:dyDescent="0.3">
      <c r="A106" s="5" t="s">
        <v>3236</v>
      </c>
    </row>
    <row r="107" spans="1:1" x14ac:dyDescent="0.3">
      <c r="A107" s="5" t="s">
        <v>3237</v>
      </c>
    </row>
    <row r="108" spans="1:1" x14ac:dyDescent="0.3">
      <c r="A108" s="5" t="s">
        <v>3238</v>
      </c>
    </row>
    <row r="109" spans="1:1" x14ac:dyDescent="0.3">
      <c r="A109" s="5" t="s">
        <v>3239</v>
      </c>
    </row>
    <row r="110" spans="1:1" x14ac:dyDescent="0.3">
      <c r="A110" s="10" t="s">
        <v>3240</v>
      </c>
    </row>
    <row r="111" spans="1:1" x14ac:dyDescent="0.3">
      <c r="A111" s="5" t="s">
        <v>3241</v>
      </c>
    </row>
    <row r="112" spans="1:1" x14ac:dyDescent="0.3">
      <c r="A112" t="s">
        <v>95</v>
      </c>
    </row>
    <row r="113" spans="1:1" x14ac:dyDescent="0.3">
      <c r="A113" t="s">
        <v>40</v>
      </c>
    </row>
    <row r="114" spans="1:1" x14ac:dyDescent="0.3">
      <c r="A114" t="s">
        <v>358</v>
      </c>
    </row>
    <row r="115" spans="1:1" x14ac:dyDescent="0.3">
      <c r="A115" s="5" t="s">
        <v>3242</v>
      </c>
    </row>
    <row r="116" spans="1:1" x14ac:dyDescent="0.3">
      <c r="A116" s="5" t="s">
        <v>848</v>
      </c>
    </row>
    <row r="117" spans="1:1" x14ac:dyDescent="0.3">
      <c r="A117" s="10" t="s">
        <v>3243</v>
      </c>
    </row>
    <row r="118" spans="1:1" x14ac:dyDescent="0.3">
      <c r="A118" s="5" t="s">
        <v>3244</v>
      </c>
    </row>
    <row r="119" spans="1:1" x14ac:dyDescent="0.3">
      <c r="A119" s="10" t="s">
        <v>3245</v>
      </c>
    </row>
    <row r="120" spans="1:1" x14ac:dyDescent="0.3">
      <c r="A120" s="10" t="s">
        <v>3246</v>
      </c>
    </row>
    <row r="121" spans="1:1" x14ac:dyDescent="0.3">
      <c r="A121" s="5" t="s">
        <v>3247</v>
      </c>
    </row>
    <row r="122" spans="1:1" x14ac:dyDescent="0.3">
      <c r="A122" s="5" t="s">
        <v>3248</v>
      </c>
    </row>
    <row r="123" spans="1:1" x14ac:dyDescent="0.3">
      <c r="A123" s="5" t="s">
        <v>3249</v>
      </c>
    </row>
    <row r="124" spans="1:1" x14ac:dyDescent="0.3">
      <c r="A124" s="5" t="s">
        <v>3250</v>
      </c>
    </row>
    <row r="125" spans="1:1" x14ac:dyDescent="0.3">
      <c r="A125" s="5" t="s">
        <v>3251</v>
      </c>
    </row>
    <row r="126" spans="1:1" x14ac:dyDescent="0.3">
      <c r="A126" s="5" t="s">
        <v>445</v>
      </c>
    </row>
    <row r="127" spans="1:1" x14ac:dyDescent="0.3">
      <c r="A127" s="5" t="s">
        <v>3252</v>
      </c>
    </row>
    <row r="128" spans="1:1" x14ac:dyDescent="0.3">
      <c r="A128" s="5" t="s">
        <v>3253</v>
      </c>
    </row>
    <row r="129" spans="1:1" x14ac:dyDescent="0.3">
      <c r="A129" t="s">
        <v>3254</v>
      </c>
    </row>
    <row r="130" spans="1:1" x14ac:dyDescent="0.3">
      <c r="A130" s="5" t="s">
        <v>3255</v>
      </c>
    </row>
    <row r="131" spans="1:1" x14ac:dyDescent="0.3">
      <c r="A131" t="s">
        <v>1216</v>
      </c>
    </row>
    <row r="132" spans="1:1" x14ac:dyDescent="0.3">
      <c r="A132" s="7" t="s">
        <v>3256</v>
      </c>
    </row>
    <row r="133" spans="1:1" x14ac:dyDescent="0.3">
      <c r="A133" s="7" t="s">
        <v>3257</v>
      </c>
    </row>
    <row r="134" spans="1:1" x14ac:dyDescent="0.3">
      <c r="A134" s="5" t="s">
        <v>3258</v>
      </c>
    </row>
    <row r="135" spans="1:1" x14ac:dyDescent="0.3">
      <c r="A135" s="5" t="s">
        <v>3259</v>
      </c>
    </row>
    <row r="136" spans="1:1" x14ac:dyDescent="0.3">
      <c r="A136" s="5" t="s">
        <v>3260</v>
      </c>
    </row>
    <row r="137" spans="1:1" x14ac:dyDescent="0.3">
      <c r="A137" s="5" t="s">
        <v>524</v>
      </c>
    </row>
    <row r="138" spans="1:1" x14ac:dyDescent="0.3">
      <c r="A138" s="10" t="s">
        <v>3261</v>
      </c>
    </row>
    <row r="139" spans="1:1" x14ac:dyDescent="0.3">
      <c r="A139" s="5" t="s">
        <v>3262</v>
      </c>
    </row>
    <row r="140" spans="1:1" x14ac:dyDescent="0.3">
      <c r="A140" s="5" t="s">
        <v>3263</v>
      </c>
    </row>
    <row r="141" spans="1:1" x14ac:dyDescent="0.3">
      <c r="A141" s="5" t="s">
        <v>3264</v>
      </c>
    </row>
    <row r="142" spans="1:1" x14ac:dyDescent="0.3">
      <c r="A142" s="5" t="s">
        <v>582</v>
      </c>
    </row>
    <row r="143" spans="1:1" x14ac:dyDescent="0.3">
      <c r="A143" s="5" t="s">
        <v>3265</v>
      </c>
    </row>
    <row r="144" spans="1:1" x14ac:dyDescent="0.3">
      <c r="A144" s="5" t="s">
        <v>3266</v>
      </c>
    </row>
    <row r="145" spans="1:1" x14ac:dyDescent="0.3">
      <c r="A145" s="5" t="s">
        <v>135</v>
      </c>
    </row>
    <row r="146" spans="1:1" x14ac:dyDescent="0.3">
      <c r="A146" s="5" t="s">
        <v>3267</v>
      </c>
    </row>
    <row r="147" spans="1:1" x14ac:dyDescent="0.3">
      <c r="A147" s="10" t="s">
        <v>3268</v>
      </c>
    </row>
    <row r="148" spans="1:1" x14ac:dyDescent="0.3">
      <c r="A148" s="5" t="s">
        <v>3269</v>
      </c>
    </row>
    <row r="149" spans="1:1" x14ac:dyDescent="0.3">
      <c r="A149" s="5" t="s">
        <v>151</v>
      </c>
    </row>
    <row r="150" spans="1:1" x14ac:dyDescent="0.3">
      <c r="A150" s="5" t="s">
        <v>3270</v>
      </c>
    </row>
    <row r="151" spans="1:1" x14ac:dyDescent="0.3">
      <c r="A151" s="5" t="s">
        <v>3271</v>
      </c>
    </row>
    <row r="152" spans="1:1" x14ac:dyDescent="0.3">
      <c r="A152" s="5" t="s">
        <v>3272</v>
      </c>
    </row>
    <row r="153" spans="1:1" x14ac:dyDescent="0.3">
      <c r="A153" s="5" t="s">
        <v>3273</v>
      </c>
    </row>
    <row r="154" spans="1:1" x14ac:dyDescent="0.3">
      <c r="A154" s="5" t="s">
        <v>3274</v>
      </c>
    </row>
    <row r="155" spans="1:1" x14ac:dyDescent="0.3">
      <c r="A155" s="10" t="s">
        <v>3275</v>
      </c>
    </row>
    <row r="156" spans="1:1" x14ac:dyDescent="0.3">
      <c r="A156" s="10" t="s">
        <v>3276</v>
      </c>
    </row>
    <row r="157" spans="1:1" x14ac:dyDescent="0.3">
      <c r="A157" s="5" t="s">
        <v>3277</v>
      </c>
    </row>
    <row r="158" spans="1:1" x14ac:dyDescent="0.3">
      <c r="A158" s="5" t="s">
        <v>3278</v>
      </c>
    </row>
    <row r="159" spans="1:1" x14ac:dyDescent="0.3">
      <c r="A159" s="5" t="s">
        <v>3279</v>
      </c>
    </row>
    <row r="160" spans="1:1" x14ac:dyDescent="0.3">
      <c r="A160" s="5" t="s">
        <v>3280</v>
      </c>
    </row>
    <row r="161" spans="1:1" x14ac:dyDescent="0.3">
      <c r="A161" s="5" t="s">
        <v>3281</v>
      </c>
    </row>
    <row r="162" spans="1:1" x14ac:dyDescent="0.3">
      <c r="A162" s="10" t="s">
        <v>3282</v>
      </c>
    </row>
    <row r="163" spans="1:1" x14ac:dyDescent="0.3">
      <c r="A163" s="10" t="s">
        <v>3283</v>
      </c>
    </row>
    <row r="164" spans="1:1" x14ac:dyDescent="0.3">
      <c r="A164" s="5" t="s">
        <v>3284</v>
      </c>
    </row>
    <row r="165" spans="1:1" x14ac:dyDescent="0.3">
      <c r="A165" s="5" t="s">
        <v>3285</v>
      </c>
    </row>
    <row r="166" spans="1:1" x14ac:dyDescent="0.3">
      <c r="A166" s="10" t="s">
        <v>3286</v>
      </c>
    </row>
    <row r="167" spans="1:1" x14ac:dyDescent="0.3">
      <c r="A167" s="12" t="s">
        <v>3287</v>
      </c>
    </row>
    <row r="168" spans="1:1" x14ac:dyDescent="0.3">
      <c r="A168" s="5" t="s">
        <v>3288</v>
      </c>
    </row>
    <row r="169" spans="1:1" x14ac:dyDescent="0.3">
      <c r="A169" s="5" t="s">
        <v>3289</v>
      </c>
    </row>
    <row r="170" spans="1:1" x14ac:dyDescent="0.3">
      <c r="A170" t="s">
        <v>1754</v>
      </c>
    </row>
    <row r="171" spans="1:1" x14ac:dyDescent="0.3">
      <c r="A171" s="10" t="s">
        <v>3290</v>
      </c>
    </row>
    <row r="172" spans="1:1" x14ac:dyDescent="0.3">
      <c r="A172" s="5" t="s">
        <v>3291</v>
      </c>
    </row>
    <row r="173" spans="1:1" x14ac:dyDescent="0.3">
      <c r="A173" s="5" t="s">
        <v>3292</v>
      </c>
    </row>
    <row r="174" spans="1:1" x14ac:dyDescent="0.3">
      <c r="A174" s="10" t="s">
        <v>3293</v>
      </c>
    </row>
    <row r="175" spans="1:1" x14ac:dyDescent="0.3">
      <c r="A175" s="5" t="s">
        <v>3294</v>
      </c>
    </row>
    <row r="176" spans="1:1" x14ac:dyDescent="0.3">
      <c r="A176" s="5" t="s">
        <v>3295</v>
      </c>
    </row>
    <row r="177" spans="1:1" x14ac:dyDescent="0.3">
      <c r="A177" s="5" t="s">
        <v>3296</v>
      </c>
    </row>
    <row r="178" spans="1:1" x14ac:dyDescent="0.3">
      <c r="A178" s="5" t="s">
        <v>226</v>
      </c>
    </row>
    <row r="179" spans="1:1" x14ac:dyDescent="0.3">
      <c r="A179" s="10" t="s">
        <v>3297</v>
      </c>
    </row>
    <row r="180" spans="1:1" x14ac:dyDescent="0.3">
      <c r="A180" s="5" t="s">
        <v>3298</v>
      </c>
    </row>
    <row r="181" spans="1:1" x14ac:dyDescent="0.3">
      <c r="A181" s="10" t="s">
        <v>3299</v>
      </c>
    </row>
    <row r="182" spans="1:1" x14ac:dyDescent="0.3">
      <c r="A182" s="5" t="s">
        <v>3300</v>
      </c>
    </row>
    <row r="183" spans="1:1" x14ac:dyDescent="0.3">
      <c r="A183" t="s">
        <v>254</v>
      </c>
    </row>
    <row r="184" spans="1:1" x14ac:dyDescent="0.3">
      <c r="A184" s="10" t="s">
        <v>54</v>
      </c>
    </row>
    <row r="185" spans="1:1" x14ac:dyDescent="0.3">
      <c r="A185" s="6" t="s">
        <v>1011</v>
      </c>
    </row>
    <row r="186" spans="1:1" x14ac:dyDescent="0.3">
      <c r="A186" s="5" t="s">
        <v>3301</v>
      </c>
    </row>
    <row r="187" spans="1:1" x14ac:dyDescent="0.3">
      <c r="A187" s="5" t="s">
        <v>3302</v>
      </c>
    </row>
    <row r="188" spans="1:1" x14ac:dyDescent="0.3">
      <c r="A188" s="5" t="s">
        <v>3303</v>
      </c>
    </row>
    <row r="189" spans="1:1" x14ac:dyDescent="0.3">
      <c r="A189" s="5" t="s">
        <v>3304</v>
      </c>
    </row>
    <row r="190" spans="1:1" x14ac:dyDescent="0.3">
      <c r="A190" s="5" t="s">
        <v>271</v>
      </c>
    </row>
    <row r="191" spans="1:1" x14ac:dyDescent="0.3">
      <c r="A191" s="5" t="s">
        <v>45</v>
      </c>
    </row>
    <row r="192" spans="1:1" x14ac:dyDescent="0.3">
      <c r="A192" s="5" t="s">
        <v>3305</v>
      </c>
    </row>
    <row r="193" spans="1:1" x14ac:dyDescent="0.3">
      <c r="A193" s="5" t="s">
        <v>3306</v>
      </c>
    </row>
    <row r="194" spans="1:1" x14ac:dyDescent="0.3">
      <c r="A194" s="5" t="s">
        <v>3307</v>
      </c>
    </row>
    <row r="195" spans="1:1" x14ac:dyDescent="0.3">
      <c r="A195" s="5" t="s">
        <v>3308</v>
      </c>
    </row>
    <row r="196" spans="1:1" x14ac:dyDescent="0.3">
      <c r="A196" s="5" t="s">
        <v>3309</v>
      </c>
    </row>
    <row r="197" spans="1:1" x14ac:dyDescent="0.3">
      <c r="A197" s="5" t="s">
        <v>3310</v>
      </c>
    </row>
    <row r="198" spans="1:1" x14ac:dyDescent="0.3">
      <c r="A198" s="5" t="s">
        <v>3311</v>
      </c>
    </row>
    <row r="199" spans="1:1" x14ac:dyDescent="0.3">
      <c r="A199" s="10" t="s">
        <v>3312</v>
      </c>
    </row>
    <row r="200" spans="1:1" x14ac:dyDescent="0.3">
      <c r="A200" t="s">
        <v>1409</v>
      </c>
    </row>
    <row r="201" spans="1:1" x14ac:dyDescent="0.3">
      <c r="A201" s="5" t="s">
        <v>3313</v>
      </c>
    </row>
    <row r="202" spans="1:1" x14ac:dyDescent="0.3">
      <c r="A202" s="5" t="s">
        <v>3314</v>
      </c>
    </row>
    <row r="203" spans="1:1" x14ac:dyDescent="0.3">
      <c r="A203" s="5" t="s">
        <v>3315</v>
      </c>
    </row>
    <row r="204" spans="1:1" x14ac:dyDescent="0.3">
      <c r="A204" s="5" t="s">
        <v>3316</v>
      </c>
    </row>
    <row r="205" spans="1:1" x14ac:dyDescent="0.3">
      <c r="A205" s="5" t="s">
        <v>3317</v>
      </c>
    </row>
    <row r="206" spans="1:1" x14ac:dyDescent="0.3">
      <c r="A206" s="5" t="s">
        <v>3318</v>
      </c>
    </row>
    <row r="207" spans="1:1" x14ac:dyDescent="0.3">
      <c r="A207" s="10" t="s">
        <v>3319</v>
      </c>
    </row>
    <row r="208" spans="1:1" x14ac:dyDescent="0.3">
      <c r="A208" s="5" t="s">
        <v>3320</v>
      </c>
    </row>
    <row r="209" spans="1:1" x14ac:dyDescent="0.3">
      <c r="A209" s="5" t="s">
        <v>3321</v>
      </c>
    </row>
    <row r="210" spans="1:1" x14ac:dyDescent="0.3">
      <c r="A210" s="10" t="s">
        <v>402</v>
      </c>
    </row>
    <row r="211" spans="1:1" x14ac:dyDescent="0.3">
      <c r="A211" s="5" t="s">
        <v>437</v>
      </c>
    </row>
    <row r="212" spans="1:1" x14ac:dyDescent="0.3">
      <c r="A212" s="5" t="s">
        <v>3322</v>
      </c>
    </row>
    <row r="213" spans="1:1" x14ac:dyDescent="0.3">
      <c r="A213" s="5" t="s">
        <v>3323</v>
      </c>
    </row>
    <row r="214" spans="1:1" x14ac:dyDescent="0.3">
      <c r="A214" s="5" t="s">
        <v>3324</v>
      </c>
    </row>
    <row r="215" spans="1:1" x14ac:dyDescent="0.3">
      <c r="A215" s="5" t="s">
        <v>3325</v>
      </c>
    </row>
    <row r="216" spans="1:1" x14ac:dyDescent="0.3">
      <c r="A216" s="5" t="s">
        <v>3326</v>
      </c>
    </row>
    <row r="217" spans="1:1" x14ac:dyDescent="0.3">
      <c r="A217" s="5" t="s">
        <v>3327</v>
      </c>
    </row>
    <row r="218" spans="1:1" x14ac:dyDescent="0.3">
      <c r="A218" s="5" t="s">
        <v>139</v>
      </c>
    </row>
    <row r="219" spans="1:1" x14ac:dyDescent="0.3">
      <c r="A219" s="5" t="s">
        <v>3328</v>
      </c>
    </row>
    <row r="220" spans="1:1" x14ac:dyDescent="0.3">
      <c r="A220" s="5" t="s">
        <v>1457</v>
      </c>
    </row>
    <row r="221" spans="1:1" x14ac:dyDescent="0.3">
      <c r="A221" t="s">
        <v>967</v>
      </c>
    </row>
    <row r="222" spans="1:1" x14ac:dyDescent="0.3">
      <c r="A222" s="5" t="s">
        <v>1808</v>
      </c>
    </row>
    <row r="223" spans="1:1" x14ac:dyDescent="0.3">
      <c r="A223" s="5" t="s">
        <v>3329</v>
      </c>
    </row>
    <row r="224" spans="1:1" x14ac:dyDescent="0.3">
      <c r="A224" s="5" t="s">
        <v>3330</v>
      </c>
    </row>
    <row r="225" spans="1:1" x14ac:dyDescent="0.3">
      <c r="A225" s="5" t="s">
        <v>3331</v>
      </c>
    </row>
    <row r="226" spans="1:1" x14ac:dyDescent="0.3">
      <c r="A226" s="5" t="s">
        <v>3332</v>
      </c>
    </row>
    <row r="227" spans="1:1" x14ac:dyDescent="0.3">
      <c r="A227" s="5" t="s">
        <v>3333</v>
      </c>
    </row>
    <row r="228" spans="1:1" x14ac:dyDescent="0.3">
      <c r="A228" s="5" t="s">
        <v>3334</v>
      </c>
    </row>
    <row r="229" spans="1:1" x14ac:dyDescent="0.3">
      <c r="A229" s="7" t="s">
        <v>3335</v>
      </c>
    </row>
    <row r="230" spans="1:1" x14ac:dyDescent="0.3">
      <c r="A230" s="5" t="s">
        <v>3336</v>
      </c>
    </row>
    <row r="231" spans="1:1" x14ac:dyDescent="0.3">
      <c r="A231" s="5" t="s">
        <v>3337</v>
      </c>
    </row>
    <row r="232" spans="1:1" x14ac:dyDescent="0.3">
      <c r="A232" s="5" t="s">
        <v>3338</v>
      </c>
    </row>
    <row r="233" spans="1:1" x14ac:dyDescent="0.3">
      <c r="A233" s="5" t="s">
        <v>3339</v>
      </c>
    </row>
    <row r="234" spans="1:1" x14ac:dyDescent="0.3">
      <c r="A234" s="5" t="s">
        <v>3340</v>
      </c>
    </row>
    <row r="235" spans="1:1" x14ac:dyDescent="0.3">
      <c r="A235" s="10" t="s">
        <v>185</v>
      </c>
    </row>
    <row r="236" spans="1:1" x14ac:dyDescent="0.3">
      <c r="A236" s="5" t="s">
        <v>3341</v>
      </c>
    </row>
    <row r="237" spans="1:1" x14ac:dyDescent="0.3">
      <c r="A237" s="5" t="s">
        <v>3342</v>
      </c>
    </row>
    <row r="238" spans="1:1" x14ac:dyDescent="0.3">
      <c r="A238" s="5" t="s">
        <v>3343</v>
      </c>
    </row>
    <row r="239" spans="1:1" x14ac:dyDescent="0.3">
      <c r="A239" s="5" t="s">
        <v>3344</v>
      </c>
    </row>
    <row r="240" spans="1:1" x14ac:dyDescent="0.3">
      <c r="A240" s="5" t="s">
        <v>3345</v>
      </c>
    </row>
    <row r="241" spans="1:1" x14ac:dyDescent="0.3">
      <c r="A241" s="5" t="s">
        <v>3346</v>
      </c>
    </row>
    <row r="242" spans="1:1" x14ac:dyDescent="0.3">
      <c r="A242" s="5" t="s">
        <v>3347</v>
      </c>
    </row>
    <row r="243" spans="1:1" x14ac:dyDescent="0.3">
      <c r="A243" s="5" t="s">
        <v>3348</v>
      </c>
    </row>
    <row r="244" spans="1:1" x14ac:dyDescent="0.3">
      <c r="A244" s="5" t="s">
        <v>3349</v>
      </c>
    </row>
    <row r="245" spans="1:1" x14ac:dyDescent="0.3">
      <c r="A245" s="5" t="s">
        <v>3350</v>
      </c>
    </row>
    <row r="246" spans="1:1" x14ac:dyDescent="0.3">
      <c r="A246" s="10" t="s">
        <v>3351</v>
      </c>
    </row>
    <row r="247" spans="1:1" x14ac:dyDescent="0.3">
      <c r="A247" s="5" t="s">
        <v>143</v>
      </c>
    </row>
    <row r="248" spans="1:1" x14ac:dyDescent="0.3">
      <c r="A248" s="5" t="s">
        <v>3352</v>
      </c>
    </row>
    <row r="249" spans="1:1" x14ac:dyDescent="0.3">
      <c r="A249" t="s">
        <v>1856</v>
      </c>
    </row>
    <row r="250" spans="1:1" x14ac:dyDescent="0.3">
      <c r="A250" s="5" t="s">
        <v>3353</v>
      </c>
    </row>
    <row r="251" spans="1:1" x14ac:dyDescent="0.3">
      <c r="A251" s="5" t="s">
        <v>3354</v>
      </c>
    </row>
    <row r="252" spans="1:1" x14ac:dyDescent="0.3">
      <c r="A252" s="5" t="s">
        <v>3355</v>
      </c>
    </row>
    <row r="253" spans="1:1" x14ac:dyDescent="0.3">
      <c r="A253" s="5" t="s">
        <v>3356</v>
      </c>
    </row>
    <row r="254" spans="1:1" x14ac:dyDescent="0.3">
      <c r="A254" s="5" t="s">
        <v>3357</v>
      </c>
    </row>
    <row r="255" spans="1:1" x14ac:dyDescent="0.3">
      <c r="A255" s="7" t="s">
        <v>3358</v>
      </c>
    </row>
    <row r="256" spans="1:1" x14ac:dyDescent="0.3">
      <c r="A256" s="5" t="s">
        <v>3359</v>
      </c>
    </row>
    <row r="257" spans="1:1" x14ac:dyDescent="0.3">
      <c r="A257" s="10" t="s">
        <v>3360</v>
      </c>
    </row>
    <row r="258" spans="1:1" x14ac:dyDescent="0.3">
      <c r="A258" t="s">
        <v>3361</v>
      </c>
    </row>
    <row r="259" spans="1:1" x14ac:dyDescent="0.3">
      <c r="A259" t="s">
        <v>114</v>
      </c>
    </row>
    <row r="260" spans="1:1" x14ac:dyDescent="0.3">
      <c r="A260" s="7" t="s">
        <v>3362</v>
      </c>
    </row>
    <row r="261" spans="1:1" x14ac:dyDescent="0.3">
      <c r="A261" s="11" t="s">
        <v>3363</v>
      </c>
    </row>
    <row r="262" spans="1:1" x14ac:dyDescent="0.3">
      <c r="A262" s="5" t="s">
        <v>3364</v>
      </c>
    </row>
    <row r="263" spans="1:1" x14ac:dyDescent="0.3">
      <c r="A263" s="5" t="s">
        <v>3365</v>
      </c>
    </row>
    <row r="264" spans="1:1" x14ac:dyDescent="0.3">
      <c r="A264" s="5" t="s">
        <v>3366</v>
      </c>
    </row>
    <row r="265" spans="1:1" x14ac:dyDescent="0.3">
      <c r="A265" s="5" t="s">
        <v>3367</v>
      </c>
    </row>
    <row r="266" spans="1:1" x14ac:dyDescent="0.3">
      <c r="A266" s="5" t="s">
        <v>3368</v>
      </c>
    </row>
    <row r="267" spans="1:1" x14ac:dyDescent="0.3">
      <c r="A267" s="5" t="s">
        <v>3369</v>
      </c>
    </row>
    <row r="268" spans="1:1" x14ac:dyDescent="0.3">
      <c r="A268" s="5" t="s">
        <v>3370</v>
      </c>
    </row>
    <row r="269" spans="1:1" x14ac:dyDescent="0.3">
      <c r="A269" s="5" t="s">
        <v>3371</v>
      </c>
    </row>
    <row r="270" spans="1:1" x14ac:dyDescent="0.3">
      <c r="A270" s="5" t="s">
        <v>3372</v>
      </c>
    </row>
    <row r="271" spans="1:1" x14ac:dyDescent="0.3">
      <c r="A271" s="6" t="s">
        <v>3373</v>
      </c>
    </row>
    <row r="272" spans="1:1" x14ac:dyDescent="0.3">
      <c r="A272" s="5" t="s">
        <v>3374</v>
      </c>
    </row>
    <row r="273" spans="1:1" x14ac:dyDescent="0.3">
      <c r="A273" s="5" t="s">
        <v>3375</v>
      </c>
    </row>
    <row r="274" spans="1:1" x14ac:dyDescent="0.3">
      <c r="A274" s="5" t="s">
        <v>3376</v>
      </c>
    </row>
    <row r="275" spans="1:1" x14ac:dyDescent="0.3">
      <c r="A275" s="10" t="s">
        <v>3377</v>
      </c>
    </row>
    <row r="276" spans="1:1" x14ac:dyDescent="0.3">
      <c r="A276" s="5" t="s">
        <v>3378</v>
      </c>
    </row>
    <row r="277" spans="1:1" x14ac:dyDescent="0.3">
      <c r="A277" s="10" t="s">
        <v>3379</v>
      </c>
    </row>
    <row r="278" spans="1:1" x14ac:dyDescent="0.3">
      <c r="A278" s="5" t="s">
        <v>3380</v>
      </c>
    </row>
    <row r="279" spans="1:1" x14ac:dyDescent="0.3">
      <c r="A279" s="5" t="s">
        <v>3381</v>
      </c>
    </row>
    <row r="280" spans="1:1" x14ac:dyDescent="0.3">
      <c r="A280" s="5" t="s">
        <v>3382</v>
      </c>
    </row>
    <row r="281" spans="1:1" x14ac:dyDescent="0.3">
      <c r="A281" s="5" t="s">
        <v>179</v>
      </c>
    </row>
    <row r="282" spans="1:1" x14ac:dyDescent="0.3">
      <c r="A282" s="5" t="s">
        <v>3383</v>
      </c>
    </row>
    <row r="283" spans="1:1" x14ac:dyDescent="0.3">
      <c r="A283" s="12" t="s">
        <v>3384</v>
      </c>
    </row>
    <row r="284" spans="1:1" x14ac:dyDescent="0.3">
      <c r="A284" s="5" t="s">
        <v>3385</v>
      </c>
    </row>
    <row r="285" spans="1:1" x14ac:dyDescent="0.3">
      <c r="A285" s="5" t="s">
        <v>3386</v>
      </c>
    </row>
    <row r="286" spans="1:1" x14ac:dyDescent="0.3">
      <c r="A286" s="5" t="s">
        <v>3387</v>
      </c>
    </row>
    <row r="287" spans="1:1" x14ac:dyDescent="0.3">
      <c r="A287" s="5" t="s">
        <v>3388</v>
      </c>
    </row>
    <row r="288" spans="1:1" x14ac:dyDescent="0.3">
      <c r="A288" s="5" t="s">
        <v>3389</v>
      </c>
    </row>
    <row r="289" spans="1:1" x14ac:dyDescent="0.3">
      <c r="A289" s="10" t="s">
        <v>3390</v>
      </c>
    </row>
    <row r="290" spans="1:1" x14ac:dyDescent="0.3">
      <c r="A290" s="10" t="s">
        <v>170</v>
      </c>
    </row>
    <row r="291" spans="1:1" x14ac:dyDescent="0.3">
      <c r="A291" s="10" t="s">
        <v>3391</v>
      </c>
    </row>
    <row r="292" spans="1:1" x14ac:dyDescent="0.3">
      <c r="A292" s="6" t="s">
        <v>3392</v>
      </c>
    </row>
    <row r="293" spans="1:1" x14ac:dyDescent="0.3">
      <c r="A293" s="5" t="s">
        <v>3393</v>
      </c>
    </row>
    <row r="294" spans="1:1" x14ac:dyDescent="0.3">
      <c r="A294" t="s">
        <v>3394</v>
      </c>
    </row>
    <row r="295" spans="1:1" x14ac:dyDescent="0.3">
      <c r="A295" s="5" t="s">
        <v>3395</v>
      </c>
    </row>
    <row r="296" spans="1:1" x14ac:dyDescent="0.3">
      <c r="A296" s="5" t="s">
        <v>3396</v>
      </c>
    </row>
    <row r="297" spans="1:1" x14ac:dyDescent="0.3">
      <c r="A297" s="5" t="s">
        <v>3397</v>
      </c>
    </row>
    <row r="298" spans="1:1" x14ac:dyDescent="0.3">
      <c r="A298" s="5" t="s">
        <v>3398</v>
      </c>
    </row>
    <row r="299" spans="1:1" x14ac:dyDescent="0.3">
      <c r="A299" s="10" t="s">
        <v>3399</v>
      </c>
    </row>
    <row r="300" spans="1:1" x14ac:dyDescent="0.3">
      <c r="A300" s="5" t="s">
        <v>346</v>
      </c>
    </row>
    <row r="301" spans="1:1" x14ac:dyDescent="0.3">
      <c r="A301" s="10" t="s">
        <v>3400</v>
      </c>
    </row>
    <row r="302" spans="1:1" x14ac:dyDescent="0.3">
      <c r="A302" s="5" t="s">
        <v>3401</v>
      </c>
    </row>
    <row r="303" spans="1:1" x14ac:dyDescent="0.3">
      <c r="A303" s="5" t="s">
        <v>3402</v>
      </c>
    </row>
    <row r="304" spans="1:1" x14ac:dyDescent="0.3">
      <c r="A304" t="s">
        <v>472</v>
      </c>
    </row>
    <row r="305" spans="1:1" x14ac:dyDescent="0.3">
      <c r="A305" s="5" t="s">
        <v>3403</v>
      </c>
    </row>
    <row r="306" spans="1:1" x14ac:dyDescent="0.3">
      <c r="A306" s="5" t="s">
        <v>3404</v>
      </c>
    </row>
    <row r="307" spans="1:1" x14ac:dyDescent="0.3">
      <c r="A307" s="5" t="s">
        <v>3405</v>
      </c>
    </row>
    <row r="308" spans="1:1" x14ac:dyDescent="0.3">
      <c r="A308" s="5" t="s">
        <v>3406</v>
      </c>
    </row>
    <row r="309" spans="1:1" x14ac:dyDescent="0.3">
      <c r="A309" s="5" t="s">
        <v>3407</v>
      </c>
    </row>
    <row r="310" spans="1:1" x14ac:dyDescent="0.3">
      <c r="A310" s="5" t="s">
        <v>3408</v>
      </c>
    </row>
    <row r="311" spans="1:1" x14ac:dyDescent="0.3">
      <c r="A311" s="5" t="s">
        <v>3409</v>
      </c>
    </row>
    <row r="312" spans="1:1" x14ac:dyDescent="0.3">
      <c r="A312" s="10" t="s">
        <v>3410</v>
      </c>
    </row>
    <row r="313" spans="1:1" x14ac:dyDescent="0.3">
      <c r="A313" s="5" t="s">
        <v>3411</v>
      </c>
    </row>
    <row r="314" spans="1:1" x14ac:dyDescent="0.3">
      <c r="A314" s="10" t="s">
        <v>176</v>
      </c>
    </row>
    <row r="315" spans="1:1" x14ac:dyDescent="0.3">
      <c r="A315" s="5" t="s">
        <v>3412</v>
      </c>
    </row>
    <row r="316" spans="1:1" x14ac:dyDescent="0.3">
      <c r="A316" s="10" t="s">
        <v>3413</v>
      </c>
    </row>
    <row r="317" spans="1:1" x14ac:dyDescent="0.3">
      <c r="A317" s="7" t="s">
        <v>3414</v>
      </c>
    </row>
    <row r="318" spans="1:1" x14ac:dyDescent="0.3">
      <c r="A318" s="5" t="s">
        <v>3415</v>
      </c>
    </row>
    <row r="319" spans="1:1" x14ac:dyDescent="0.3">
      <c r="A319" s="5" t="s">
        <v>3416</v>
      </c>
    </row>
    <row r="320" spans="1:1" x14ac:dyDescent="0.3">
      <c r="A320" s="12" t="s">
        <v>3417</v>
      </c>
    </row>
    <row r="321" spans="1:1" x14ac:dyDescent="0.3">
      <c r="A321" s="5" t="s">
        <v>3418</v>
      </c>
    </row>
    <row r="322" spans="1:1" x14ac:dyDescent="0.3">
      <c r="A322" s="5" t="s">
        <v>3419</v>
      </c>
    </row>
    <row r="323" spans="1:1" x14ac:dyDescent="0.3">
      <c r="A323" s="7" t="s">
        <v>3420</v>
      </c>
    </row>
    <row r="324" spans="1:1" x14ac:dyDescent="0.3">
      <c r="A324" s="5" t="s">
        <v>3421</v>
      </c>
    </row>
    <row r="325" spans="1:1" x14ac:dyDescent="0.3">
      <c r="A325" s="5" t="s">
        <v>3422</v>
      </c>
    </row>
    <row r="326" spans="1:1" x14ac:dyDescent="0.3">
      <c r="A326" s="5" t="s">
        <v>3423</v>
      </c>
    </row>
    <row r="327" spans="1:1" x14ac:dyDescent="0.3">
      <c r="A327" s="5" t="s">
        <v>3424</v>
      </c>
    </row>
    <row r="328" spans="1:1" x14ac:dyDescent="0.3">
      <c r="A328" s="5" t="s">
        <v>3425</v>
      </c>
    </row>
    <row r="329" spans="1:1" x14ac:dyDescent="0.3">
      <c r="A329" s="10" t="s">
        <v>3426</v>
      </c>
    </row>
    <row r="330" spans="1:1" x14ac:dyDescent="0.3">
      <c r="A330" s="11" t="s">
        <v>3427</v>
      </c>
    </row>
    <row r="331" spans="1:1" x14ac:dyDescent="0.3">
      <c r="A331" s="5" t="s">
        <v>190</v>
      </c>
    </row>
    <row r="332" spans="1:1" x14ac:dyDescent="0.3">
      <c r="A332" s="8" t="s">
        <v>3428</v>
      </c>
    </row>
    <row r="333" spans="1:1" x14ac:dyDescent="0.3">
      <c r="A333" s="5" t="s">
        <v>3429</v>
      </c>
    </row>
    <row r="334" spans="1:1" x14ac:dyDescent="0.3">
      <c r="A334" s="5" t="s">
        <v>371</v>
      </c>
    </row>
    <row r="335" spans="1:1" x14ac:dyDescent="0.3">
      <c r="A335" s="5" t="s">
        <v>3430</v>
      </c>
    </row>
    <row r="336" spans="1:1" x14ac:dyDescent="0.3">
      <c r="A336" s="5" t="s">
        <v>3431</v>
      </c>
    </row>
    <row r="337" spans="1:1" x14ac:dyDescent="0.3">
      <c r="A337" s="12" t="s">
        <v>3432</v>
      </c>
    </row>
    <row r="338" spans="1:1" x14ac:dyDescent="0.3">
      <c r="A338" s="5" t="s">
        <v>3433</v>
      </c>
    </row>
    <row r="339" spans="1:1" x14ac:dyDescent="0.3">
      <c r="A339" t="s">
        <v>1756</v>
      </c>
    </row>
    <row r="340" spans="1:1" x14ac:dyDescent="0.3">
      <c r="A340" s="10" t="s">
        <v>3434</v>
      </c>
    </row>
    <row r="341" spans="1:1" x14ac:dyDescent="0.3">
      <c r="A341" s="5" t="s">
        <v>3435</v>
      </c>
    </row>
    <row r="342" spans="1:1" x14ac:dyDescent="0.3">
      <c r="A342" s="5" t="s">
        <v>3436</v>
      </c>
    </row>
    <row r="343" spans="1:1" x14ac:dyDescent="0.3">
      <c r="A343" s="5" t="s">
        <v>3437</v>
      </c>
    </row>
    <row r="344" spans="1:1" x14ac:dyDescent="0.3">
      <c r="A344" s="10" t="s">
        <v>3438</v>
      </c>
    </row>
    <row r="345" spans="1:1" x14ac:dyDescent="0.3">
      <c r="A345" s="5" t="s">
        <v>3439</v>
      </c>
    </row>
    <row r="346" spans="1:1" x14ac:dyDescent="0.3">
      <c r="A346" s="5" t="s">
        <v>3440</v>
      </c>
    </row>
    <row r="347" spans="1:1" x14ac:dyDescent="0.3">
      <c r="A347" s="10" t="s">
        <v>3441</v>
      </c>
    </row>
    <row r="348" spans="1:1" x14ac:dyDescent="0.3">
      <c r="A348" t="s">
        <v>1857</v>
      </c>
    </row>
    <row r="349" spans="1:1" x14ac:dyDescent="0.3">
      <c r="A349" t="s">
        <v>1858</v>
      </c>
    </row>
    <row r="350" spans="1:1" x14ac:dyDescent="0.3">
      <c r="A350" t="s">
        <v>1859</v>
      </c>
    </row>
    <row r="351" spans="1:1" x14ac:dyDescent="0.3">
      <c r="A351" s="5" t="s">
        <v>3442</v>
      </c>
    </row>
    <row r="352" spans="1:1" x14ac:dyDescent="0.3">
      <c r="A352" s="5" t="s">
        <v>3443</v>
      </c>
    </row>
    <row r="353" spans="1:1" x14ac:dyDescent="0.3">
      <c r="A353" s="5" t="s">
        <v>3444</v>
      </c>
    </row>
    <row r="354" spans="1:1" x14ac:dyDescent="0.3">
      <c r="A354" s="5" t="s">
        <v>3445</v>
      </c>
    </row>
    <row r="355" spans="1:1" x14ac:dyDescent="0.3">
      <c r="A355" s="10" t="s">
        <v>3446</v>
      </c>
    </row>
    <row r="356" spans="1:1" x14ac:dyDescent="0.3">
      <c r="A356" s="5" t="s">
        <v>3447</v>
      </c>
    </row>
    <row r="357" spans="1:1" x14ac:dyDescent="0.3">
      <c r="A357" s="5" t="s">
        <v>3448</v>
      </c>
    </row>
    <row r="358" spans="1:1" x14ac:dyDescent="0.3">
      <c r="A358" s="5" t="s">
        <v>3449</v>
      </c>
    </row>
    <row r="359" spans="1:1" x14ac:dyDescent="0.3">
      <c r="A359" s="5" t="s">
        <v>3450</v>
      </c>
    </row>
    <row r="360" spans="1:1" x14ac:dyDescent="0.3">
      <c r="A360" s="5" t="s">
        <v>3451</v>
      </c>
    </row>
    <row r="361" spans="1:1" x14ac:dyDescent="0.3">
      <c r="A361" s="5" t="s">
        <v>3452</v>
      </c>
    </row>
    <row r="362" spans="1:1" x14ac:dyDescent="0.3">
      <c r="A362" s="7" t="s">
        <v>3453</v>
      </c>
    </row>
    <row r="363" spans="1:1" x14ac:dyDescent="0.3">
      <c r="A363" s="5" t="s">
        <v>3454</v>
      </c>
    </row>
    <row r="364" spans="1:1" x14ac:dyDescent="0.3">
      <c r="A364" s="5" t="s">
        <v>3455</v>
      </c>
    </row>
    <row r="365" spans="1:1" x14ac:dyDescent="0.3">
      <c r="A365" s="5" t="s">
        <v>3456</v>
      </c>
    </row>
    <row r="366" spans="1:1" x14ac:dyDescent="0.3">
      <c r="A366" s="5" t="s">
        <v>3457</v>
      </c>
    </row>
    <row r="367" spans="1:1" x14ac:dyDescent="0.3">
      <c r="A367" s="5" t="s">
        <v>3458</v>
      </c>
    </row>
    <row r="368" spans="1:1" x14ac:dyDescent="0.3">
      <c r="A368" s="5" t="s">
        <v>3459</v>
      </c>
    </row>
    <row r="369" spans="1:1" x14ac:dyDescent="0.3">
      <c r="A369" s="10" t="s">
        <v>3460</v>
      </c>
    </row>
    <row r="370" spans="1:1" x14ac:dyDescent="0.3">
      <c r="A370" s="10" t="s">
        <v>3461</v>
      </c>
    </row>
    <row r="371" spans="1:1" x14ac:dyDescent="0.3">
      <c r="A371" s="5" t="s">
        <v>3462</v>
      </c>
    </row>
    <row r="372" spans="1:1" x14ac:dyDescent="0.3">
      <c r="A372" s="5" t="s">
        <v>3463</v>
      </c>
    </row>
    <row r="373" spans="1:1" x14ac:dyDescent="0.3">
      <c r="A373" s="5" t="s">
        <v>3464</v>
      </c>
    </row>
    <row r="374" spans="1:1" x14ac:dyDescent="0.3">
      <c r="A374" s="7" t="s">
        <v>3465</v>
      </c>
    </row>
    <row r="375" spans="1:1" x14ac:dyDescent="0.3">
      <c r="A375" s="10" t="s">
        <v>3466</v>
      </c>
    </row>
    <row r="376" spans="1:1" x14ac:dyDescent="0.3">
      <c r="A376" s="5" t="s">
        <v>3467</v>
      </c>
    </row>
    <row r="377" spans="1:1" x14ac:dyDescent="0.3">
      <c r="A377" s="10" t="s">
        <v>3468</v>
      </c>
    </row>
    <row r="378" spans="1:1" x14ac:dyDescent="0.3">
      <c r="A378" s="5" t="s">
        <v>37</v>
      </c>
    </row>
    <row r="379" spans="1:1" x14ac:dyDescent="0.3">
      <c r="A379" s="5" t="s">
        <v>3469</v>
      </c>
    </row>
    <row r="380" spans="1:1" x14ac:dyDescent="0.3">
      <c r="A380" s="5" t="s">
        <v>127</v>
      </c>
    </row>
    <row r="381" spans="1:1" x14ac:dyDescent="0.3">
      <c r="A381" s="5" t="s">
        <v>3470</v>
      </c>
    </row>
    <row r="382" spans="1:1" x14ac:dyDescent="0.3">
      <c r="A382" s="5" t="s">
        <v>3471</v>
      </c>
    </row>
    <row r="383" spans="1:1" x14ac:dyDescent="0.3">
      <c r="A383" s="10" t="s">
        <v>3472</v>
      </c>
    </row>
    <row r="384" spans="1:1" x14ac:dyDescent="0.3">
      <c r="A384" s="5" t="s">
        <v>3473</v>
      </c>
    </row>
    <row r="385" spans="1:1" x14ac:dyDescent="0.3">
      <c r="A385" s="5" t="s">
        <v>3474</v>
      </c>
    </row>
    <row r="386" spans="1:1" x14ac:dyDescent="0.3">
      <c r="A386" s="5" t="s">
        <v>3475</v>
      </c>
    </row>
    <row r="387" spans="1:1" x14ac:dyDescent="0.3">
      <c r="A387" t="s">
        <v>1759</v>
      </c>
    </row>
    <row r="388" spans="1:1" x14ac:dyDescent="0.3">
      <c r="A388" t="s">
        <v>205</v>
      </c>
    </row>
    <row r="389" spans="1:1" x14ac:dyDescent="0.3">
      <c r="A389" t="s">
        <v>3476</v>
      </c>
    </row>
    <row r="390" spans="1:1" x14ac:dyDescent="0.3">
      <c r="A390" s="5" t="s">
        <v>3477</v>
      </c>
    </row>
    <row r="391" spans="1:1" x14ac:dyDescent="0.3">
      <c r="A391" s="5" t="s">
        <v>3478</v>
      </c>
    </row>
    <row r="392" spans="1:1" x14ac:dyDescent="0.3">
      <c r="A392" s="10" t="s">
        <v>3479</v>
      </c>
    </row>
    <row r="393" spans="1:1" x14ac:dyDescent="0.3">
      <c r="A393" s="5" t="s">
        <v>3480</v>
      </c>
    </row>
    <row r="394" spans="1:1" x14ac:dyDescent="0.3">
      <c r="A394" s="5" t="s">
        <v>3481</v>
      </c>
    </row>
    <row r="395" spans="1:1" x14ac:dyDescent="0.3">
      <c r="A395" s="5" t="s">
        <v>3482</v>
      </c>
    </row>
    <row r="396" spans="1:1" x14ac:dyDescent="0.3">
      <c r="A396" s="5" t="s">
        <v>3483</v>
      </c>
    </row>
    <row r="397" spans="1:1" x14ac:dyDescent="0.3">
      <c r="A397" s="5" t="s">
        <v>3484</v>
      </c>
    </row>
    <row r="398" spans="1:1" x14ac:dyDescent="0.3">
      <c r="A398" s="5" t="s">
        <v>3485</v>
      </c>
    </row>
    <row r="399" spans="1:1" x14ac:dyDescent="0.3">
      <c r="A399" s="5" t="s">
        <v>3486</v>
      </c>
    </row>
    <row r="400" spans="1:1" x14ac:dyDescent="0.3">
      <c r="A400" s="12" t="s">
        <v>3487</v>
      </c>
    </row>
    <row r="401" spans="1:1" x14ac:dyDescent="0.3">
      <c r="A401" s="5" t="s">
        <v>3488</v>
      </c>
    </row>
    <row r="402" spans="1:1" x14ac:dyDescent="0.3">
      <c r="A402" s="5" t="s">
        <v>3489</v>
      </c>
    </row>
    <row r="403" spans="1:1" x14ac:dyDescent="0.3">
      <c r="A403" s="10" t="s">
        <v>3490</v>
      </c>
    </row>
    <row r="404" spans="1:1" x14ac:dyDescent="0.3">
      <c r="A404" s="5" t="s">
        <v>3491</v>
      </c>
    </row>
    <row r="405" spans="1:1" x14ac:dyDescent="0.3">
      <c r="A405" t="s">
        <v>3492</v>
      </c>
    </row>
    <row r="406" spans="1:1" x14ac:dyDescent="0.3">
      <c r="A406" s="5" t="s">
        <v>3493</v>
      </c>
    </row>
    <row r="407" spans="1:1" x14ac:dyDescent="0.3">
      <c r="A407" s="5" t="s">
        <v>3494</v>
      </c>
    </row>
    <row r="408" spans="1:1" x14ac:dyDescent="0.3">
      <c r="A408" s="5" t="s">
        <v>3495</v>
      </c>
    </row>
    <row r="409" spans="1:1" x14ac:dyDescent="0.3">
      <c r="A409" s="6" t="s">
        <v>3496</v>
      </c>
    </row>
    <row r="410" spans="1:1" x14ac:dyDescent="0.3">
      <c r="A410" s="6" t="s">
        <v>3497</v>
      </c>
    </row>
    <row r="411" spans="1:1" x14ac:dyDescent="0.3">
      <c r="A411" s="27" t="s">
        <v>304</v>
      </c>
    </row>
    <row r="412" spans="1:1" x14ac:dyDescent="0.3">
      <c r="A412" s="6" t="s">
        <v>3498</v>
      </c>
    </row>
    <row r="413" spans="1:1" x14ac:dyDescent="0.3">
      <c r="A413" s="6" t="s">
        <v>3499</v>
      </c>
    </row>
    <row r="414" spans="1:1" x14ac:dyDescent="0.3">
      <c r="A414" s="6" t="s">
        <v>3500</v>
      </c>
    </row>
    <row r="415" spans="1:1" x14ac:dyDescent="0.3">
      <c r="A415" s="11" t="s">
        <v>3501</v>
      </c>
    </row>
    <row r="416" spans="1:1" x14ac:dyDescent="0.3">
      <c r="A416" s="11" t="s">
        <v>3502</v>
      </c>
    </row>
    <row r="417" spans="1:1" x14ac:dyDescent="0.3">
      <c r="A417" s="6" t="s">
        <v>3503</v>
      </c>
    </row>
    <row r="418" spans="1:1" x14ac:dyDescent="0.3">
      <c r="A418" s="6" t="s">
        <v>3504</v>
      </c>
    </row>
    <row r="419" spans="1:1" x14ac:dyDescent="0.3">
      <c r="A419" s="6" t="s">
        <v>3505</v>
      </c>
    </row>
    <row r="420" spans="1:1" x14ac:dyDescent="0.3">
      <c r="A420" s="6" t="s">
        <v>3506</v>
      </c>
    </row>
    <row r="421" spans="1:1" x14ac:dyDescent="0.3">
      <c r="A421" s="11" t="s">
        <v>3507</v>
      </c>
    </row>
    <row r="422" spans="1:1" x14ac:dyDescent="0.3">
      <c r="A422" s="6" t="s">
        <v>3508</v>
      </c>
    </row>
    <row r="423" spans="1:1" x14ac:dyDescent="0.3">
      <c r="A423" s="27" t="s">
        <v>334</v>
      </c>
    </row>
    <row r="424" spans="1:1" x14ac:dyDescent="0.3">
      <c r="A424" s="6" t="s">
        <v>3509</v>
      </c>
    </row>
    <row r="425" spans="1:1" x14ac:dyDescent="0.3">
      <c r="A425" s="11" t="s">
        <v>3510</v>
      </c>
    </row>
    <row r="426" spans="1:1" x14ac:dyDescent="0.3">
      <c r="A426" s="6" t="s">
        <v>52</v>
      </c>
    </row>
    <row r="427" spans="1:1" x14ac:dyDescent="0.3">
      <c r="A427" s="6" t="s">
        <v>3511</v>
      </c>
    </row>
    <row r="428" spans="1:1" x14ac:dyDescent="0.3">
      <c r="A428" s="6" t="s">
        <v>3512</v>
      </c>
    </row>
    <row r="429" spans="1:1" x14ac:dyDescent="0.3">
      <c r="A429" s="6" t="s">
        <v>3513</v>
      </c>
    </row>
    <row r="430" spans="1:1" x14ac:dyDescent="0.3">
      <c r="A430" s="27" t="s">
        <v>2983</v>
      </c>
    </row>
    <row r="431" spans="1:1" x14ac:dyDescent="0.3">
      <c r="A431" s="6" t="s">
        <v>3514</v>
      </c>
    </row>
    <row r="432" spans="1:1" x14ac:dyDescent="0.3">
      <c r="A432" s="7" t="s">
        <v>3515</v>
      </c>
    </row>
    <row r="433" spans="1:1" x14ac:dyDescent="0.3">
      <c r="A433" s="6" t="s">
        <v>3516</v>
      </c>
    </row>
    <row r="434" spans="1:1" x14ac:dyDescent="0.3">
      <c r="A434" s="7" t="s">
        <v>3517</v>
      </c>
    </row>
    <row r="435" spans="1:1" x14ac:dyDescent="0.3">
      <c r="A435" s="6" t="s">
        <v>3518</v>
      </c>
    </row>
    <row r="436" spans="1:1" x14ac:dyDescent="0.3">
      <c r="A436" s="6" t="s">
        <v>3519</v>
      </c>
    </row>
    <row r="437" spans="1:1" x14ac:dyDescent="0.3">
      <c r="A437" s="5" t="s">
        <v>3520</v>
      </c>
    </row>
    <row r="438" spans="1:1" x14ac:dyDescent="0.3">
      <c r="A438" s="6" t="s">
        <v>3521</v>
      </c>
    </row>
    <row r="439" spans="1:1" x14ac:dyDescent="0.3">
      <c r="A439" s="6" t="s">
        <v>49</v>
      </c>
    </row>
    <row r="440" spans="1:1" x14ac:dyDescent="0.3">
      <c r="A440" s="6" t="s">
        <v>3522</v>
      </c>
    </row>
    <row r="441" spans="1:1" x14ac:dyDescent="0.3">
      <c r="A441" s="11" t="s">
        <v>3523</v>
      </c>
    </row>
    <row r="442" spans="1:1" x14ac:dyDescent="0.3">
      <c r="A442" s="6" t="s">
        <v>3524</v>
      </c>
    </row>
    <row r="443" spans="1:1" x14ac:dyDescent="0.3">
      <c r="A443" s="6" t="s">
        <v>3525</v>
      </c>
    </row>
    <row r="444" spans="1:1" x14ac:dyDescent="0.3">
      <c r="A444" s="11" t="s">
        <v>3526</v>
      </c>
    </row>
    <row r="445" spans="1:1" x14ac:dyDescent="0.3">
      <c r="A445" s="8" t="s">
        <v>3527</v>
      </c>
    </row>
    <row r="446" spans="1:1" x14ac:dyDescent="0.3">
      <c r="A446" s="6" t="s">
        <v>3528</v>
      </c>
    </row>
    <row r="447" spans="1:1" x14ac:dyDescent="0.3">
      <c r="A447" s="6" t="s">
        <v>3529</v>
      </c>
    </row>
    <row r="448" spans="1:1" x14ac:dyDescent="0.3">
      <c r="A448" s="11" t="s">
        <v>3530</v>
      </c>
    </row>
    <row r="449" spans="1:1" x14ac:dyDescent="0.3">
      <c r="A449" s="6" t="s">
        <v>3531</v>
      </c>
    </row>
    <row r="450" spans="1:1" x14ac:dyDescent="0.3">
      <c r="A450" s="6" t="s">
        <v>3532</v>
      </c>
    </row>
    <row r="451" spans="1:1" x14ac:dyDescent="0.3">
      <c r="A451" s="6" t="s">
        <v>3533</v>
      </c>
    </row>
    <row r="452" spans="1:1" x14ac:dyDescent="0.3">
      <c r="A452" s="6" t="s">
        <v>3534</v>
      </c>
    </row>
    <row r="453" spans="1:1" x14ac:dyDescent="0.3">
      <c r="A453" s="6" t="s">
        <v>3535</v>
      </c>
    </row>
    <row r="454" spans="1:1" x14ac:dyDescent="0.3">
      <c r="A454" s="6" t="s">
        <v>1389</v>
      </c>
    </row>
    <row r="455" spans="1:1" x14ac:dyDescent="0.3">
      <c r="A455" s="27" t="s">
        <v>1088</v>
      </c>
    </row>
    <row r="456" spans="1:1" x14ac:dyDescent="0.3">
      <c r="A456" s="6" t="s">
        <v>3536</v>
      </c>
    </row>
    <row r="457" spans="1:1" x14ac:dyDescent="0.3">
      <c r="A457" s="6" t="s">
        <v>3537</v>
      </c>
    </row>
    <row r="458" spans="1:1" x14ac:dyDescent="0.3">
      <c r="A458" s="6" t="s">
        <v>3538</v>
      </c>
    </row>
    <row r="459" spans="1:1" x14ac:dyDescent="0.3">
      <c r="A459" s="11" t="s">
        <v>3539</v>
      </c>
    </row>
    <row r="460" spans="1:1" x14ac:dyDescent="0.3">
      <c r="A460" s="6" t="s">
        <v>3540</v>
      </c>
    </row>
    <row r="461" spans="1:1" x14ac:dyDescent="0.3">
      <c r="A461" s="11" t="s">
        <v>3541</v>
      </c>
    </row>
    <row r="462" spans="1:1" x14ac:dyDescent="0.3">
      <c r="A462" s="6" t="s">
        <v>66</v>
      </c>
    </row>
    <row r="463" spans="1:1" x14ac:dyDescent="0.3">
      <c r="A463" s="6" t="s">
        <v>3542</v>
      </c>
    </row>
    <row r="464" spans="1:1" x14ac:dyDescent="0.3">
      <c r="A464" s="6" t="s">
        <v>3543</v>
      </c>
    </row>
    <row r="465" spans="1:1" x14ac:dyDescent="0.3">
      <c r="A465" s="6" t="s">
        <v>61</v>
      </c>
    </row>
    <row r="466" spans="1:1" x14ac:dyDescent="0.3">
      <c r="A466" s="6" t="s">
        <v>3544</v>
      </c>
    </row>
    <row r="467" spans="1:1" x14ac:dyDescent="0.3">
      <c r="A467" s="6" t="s">
        <v>3545</v>
      </c>
    </row>
    <row r="468" spans="1:1" x14ac:dyDescent="0.3">
      <c r="A468" s="6" t="s">
        <v>3546</v>
      </c>
    </row>
    <row r="469" spans="1:1" x14ac:dyDescent="0.3">
      <c r="A469" s="6" t="s">
        <v>3547</v>
      </c>
    </row>
    <row r="470" spans="1:1" x14ac:dyDescent="0.3">
      <c r="A470" s="6" t="s">
        <v>3548</v>
      </c>
    </row>
    <row r="471" spans="1:1" x14ac:dyDescent="0.3">
      <c r="A471" s="6" t="s">
        <v>3549</v>
      </c>
    </row>
    <row r="472" spans="1:1" x14ac:dyDescent="0.3">
      <c r="A472" s="6" t="s">
        <v>3550</v>
      </c>
    </row>
    <row r="473" spans="1:1" x14ac:dyDescent="0.3">
      <c r="A473" s="5" t="s">
        <v>3551</v>
      </c>
    </row>
    <row r="474" spans="1:1" x14ac:dyDescent="0.3">
      <c r="A474" s="27" t="s">
        <v>295</v>
      </c>
    </row>
    <row r="475" spans="1:1" x14ac:dyDescent="0.3">
      <c r="A475" s="6" t="s">
        <v>3552</v>
      </c>
    </row>
    <row r="476" spans="1:1" x14ac:dyDescent="0.3">
      <c r="A476" s="11" t="s">
        <v>3553</v>
      </c>
    </row>
    <row r="477" spans="1:1" x14ac:dyDescent="0.3">
      <c r="A477" s="6" t="s">
        <v>3554</v>
      </c>
    </row>
    <row r="478" spans="1:1" x14ac:dyDescent="0.3">
      <c r="A478" s="6" t="s">
        <v>290</v>
      </c>
    </row>
    <row r="479" spans="1:1" x14ac:dyDescent="0.3">
      <c r="A479" s="6" t="s">
        <v>3555</v>
      </c>
    </row>
    <row r="480" spans="1:1" x14ac:dyDescent="0.3">
      <c r="A480" s="11" t="s">
        <v>3556</v>
      </c>
    </row>
    <row r="481" spans="1:1" x14ac:dyDescent="0.3">
      <c r="A481" s="6" t="s">
        <v>3557</v>
      </c>
    </row>
    <row r="482" spans="1:1" x14ac:dyDescent="0.3">
      <c r="A482" s="6" t="s">
        <v>3558</v>
      </c>
    </row>
    <row r="483" spans="1:1" x14ac:dyDescent="0.3">
      <c r="A483" s="6" t="s">
        <v>3559</v>
      </c>
    </row>
    <row r="484" spans="1:1" x14ac:dyDescent="0.3">
      <c r="A484" s="6" t="s">
        <v>3560</v>
      </c>
    </row>
    <row r="485" spans="1:1" x14ac:dyDescent="0.3">
      <c r="A485" s="6" t="s">
        <v>3561</v>
      </c>
    </row>
    <row r="486" spans="1:1" x14ac:dyDescent="0.3">
      <c r="A486" s="6" t="s">
        <v>3562</v>
      </c>
    </row>
    <row r="487" spans="1:1" x14ac:dyDescent="0.3">
      <c r="A487" s="6" t="s">
        <v>3563</v>
      </c>
    </row>
    <row r="488" spans="1:1" x14ac:dyDescent="0.3">
      <c r="A488" s="28" t="s">
        <v>3564</v>
      </c>
    </row>
    <row r="489" spans="1:1" x14ac:dyDescent="0.3">
      <c r="A489" s="6" t="s">
        <v>233</v>
      </c>
    </row>
    <row r="490" spans="1:1" x14ac:dyDescent="0.3">
      <c r="A490" s="6" t="s">
        <v>3565</v>
      </c>
    </row>
    <row r="491" spans="1:1" x14ac:dyDescent="0.3">
      <c r="A491" s="11" t="s">
        <v>3566</v>
      </c>
    </row>
    <row r="492" spans="1:1" x14ac:dyDescent="0.3">
      <c r="A492" s="6" t="s">
        <v>3567</v>
      </c>
    </row>
    <row r="493" spans="1:1" x14ac:dyDescent="0.3">
      <c r="A493" s="27" t="s">
        <v>3568</v>
      </c>
    </row>
    <row r="494" spans="1:1" x14ac:dyDescent="0.3">
      <c r="A494" s="5" t="s">
        <v>3569</v>
      </c>
    </row>
    <row r="495" spans="1:1" x14ac:dyDescent="0.3">
      <c r="A495" s="5" t="s">
        <v>3570</v>
      </c>
    </row>
    <row r="496" spans="1:1" x14ac:dyDescent="0.3">
      <c r="A496" s="7" t="s">
        <v>3571</v>
      </c>
    </row>
    <row r="497" spans="1:1" x14ac:dyDescent="0.3">
      <c r="A497" t="s">
        <v>106</v>
      </c>
    </row>
    <row r="498" spans="1:1" x14ac:dyDescent="0.3">
      <c r="A498" t="s">
        <v>3053</v>
      </c>
    </row>
    <row r="499" spans="1:1" x14ac:dyDescent="0.3">
      <c r="A499" t="s">
        <v>229</v>
      </c>
    </row>
    <row r="500" spans="1:1" x14ac:dyDescent="0.3">
      <c r="A500" t="s">
        <v>1246</v>
      </c>
    </row>
    <row r="501" spans="1:1" x14ac:dyDescent="0.3">
      <c r="A501" t="s">
        <v>102</v>
      </c>
    </row>
    <row r="502" spans="1:1" x14ac:dyDescent="0.3">
      <c r="A502" t="s">
        <v>104</v>
      </c>
    </row>
    <row r="503" spans="1:1" x14ac:dyDescent="0.3">
      <c r="A503" t="s">
        <v>230</v>
      </c>
    </row>
    <row r="504" spans="1:1" x14ac:dyDescent="0.3">
      <c r="A504" s="12" t="s">
        <v>3572</v>
      </c>
    </row>
    <row r="505" spans="1:1" x14ac:dyDescent="0.3">
      <c r="A505" s="5" t="s">
        <v>3573</v>
      </c>
    </row>
    <row r="506" spans="1:1" x14ac:dyDescent="0.3">
      <c r="A506" s="10" t="s">
        <v>3574</v>
      </c>
    </row>
    <row r="507" spans="1:1" x14ac:dyDescent="0.3">
      <c r="A507" s="5" t="s">
        <v>3575</v>
      </c>
    </row>
    <row r="508" spans="1:1" x14ac:dyDescent="0.3">
      <c r="A508" s="5" t="s">
        <v>3576</v>
      </c>
    </row>
    <row r="509" spans="1:1" x14ac:dyDescent="0.3">
      <c r="A509" s="10" t="s">
        <v>3577</v>
      </c>
    </row>
    <row r="510" spans="1:1" x14ac:dyDescent="0.3">
      <c r="A510" s="5" t="s">
        <v>3578</v>
      </c>
    </row>
    <row r="511" spans="1:1" x14ac:dyDescent="0.3">
      <c r="A511" s="5" t="s">
        <v>3579</v>
      </c>
    </row>
    <row r="512" spans="1:1" x14ac:dyDescent="0.3">
      <c r="A512" s="10" t="s">
        <v>3580</v>
      </c>
    </row>
    <row r="513" spans="1:1" x14ac:dyDescent="0.3">
      <c r="A513" s="5" t="s">
        <v>3581</v>
      </c>
    </row>
    <row r="514" spans="1:1" x14ac:dyDescent="0.3">
      <c r="A514" s="12" t="s">
        <v>3582</v>
      </c>
    </row>
    <row r="515" spans="1:1" x14ac:dyDescent="0.3">
      <c r="A515" s="5" t="s">
        <v>3583</v>
      </c>
    </row>
    <row r="516" spans="1:1" x14ac:dyDescent="0.3">
      <c r="A516" s="5" t="s">
        <v>3584</v>
      </c>
    </row>
    <row r="517" spans="1:1" x14ac:dyDescent="0.3">
      <c r="A517" s="5" t="s">
        <v>3585</v>
      </c>
    </row>
    <row r="518" spans="1:1" x14ac:dyDescent="0.3">
      <c r="A518" s="10" t="s">
        <v>3147</v>
      </c>
    </row>
    <row r="519" spans="1:1" x14ac:dyDescent="0.3">
      <c r="A519" t="s">
        <v>3586</v>
      </c>
    </row>
    <row r="520" spans="1:1" x14ac:dyDescent="0.3">
      <c r="A520" t="s">
        <v>162</v>
      </c>
    </row>
    <row r="521" spans="1:1" x14ac:dyDescent="0.3">
      <c r="A521" s="5" t="s">
        <v>3587</v>
      </c>
    </row>
    <row r="522" spans="1:1" x14ac:dyDescent="0.3">
      <c r="A522" s="5" t="s">
        <v>3588</v>
      </c>
    </row>
    <row r="523" spans="1:1" x14ac:dyDescent="0.3">
      <c r="A523" s="5" t="s">
        <v>3589</v>
      </c>
    </row>
    <row r="524" spans="1:1" x14ac:dyDescent="0.3">
      <c r="A524" s="5" t="s">
        <v>3590</v>
      </c>
    </row>
    <row r="525" spans="1:1" x14ac:dyDescent="0.3">
      <c r="A525" s="5" t="s">
        <v>3591</v>
      </c>
    </row>
    <row r="526" spans="1:1" x14ac:dyDescent="0.3">
      <c r="A526" s="5" t="s">
        <v>3592</v>
      </c>
    </row>
    <row r="527" spans="1:1" x14ac:dyDescent="0.3">
      <c r="A527" t="s">
        <v>748</v>
      </c>
    </row>
    <row r="528" spans="1:1" x14ac:dyDescent="0.3">
      <c r="A528" s="5" t="s">
        <v>3593</v>
      </c>
    </row>
    <row r="529" spans="1:1" x14ac:dyDescent="0.3">
      <c r="A529" s="10" t="s">
        <v>3594</v>
      </c>
    </row>
    <row r="530" spans="1:1" x14ac:dyDescent="0.3">
      <c r="A530" s="5" t="s">
        <v>3595</v>
      </c>
    </row>
    <row r="531" spans="1:1" x14ac:dyDescent="0.3">
      <c r="A531" s="5" t="s">
        <v>337</v>
      </c>
    </row>
    <row r="532" spans="1:1" x14ac:dyDescent="0.3">
      <c r="A532" s="5" t="s">
        <v>3596</v>
      </c>
    </row>
    <row r="533" spans="1:1" x14ac:dyDescent="0.3">
      <c r="A533" s="5" t="s">
        <v>3597</v>
      </c>
    </row>
    <row r="534" spans="1:1" x14ac:dyDescent="0.3">
      <c r="A534" s="5" t="s">
        <v>3598</v>
      </c>
    </row>
    <row r="535" spans="1:1" x14ac:dyDescent="0.3">
      <c r="A535" s="5" t="s">
        <v>3599</v>
      </c>
    </row>
    <row r="536" spans="1:1" x14ac:dyDescent="0.3">
      <c r="A536" s="5" t="s">
        <v>218</v>
      </c>
    </row>
    <row r="537" spans="1:1" x14ac:dyDescent="0.3">
      <c r="A537" s="5" t="s">
        <v>3600</v>
      </c>
    </row>
    <row r="538" spans="1:1" x14ac:dyDescent="0.3">
      <c r="A538" t="s">
        <v>116</v>
      </c>
    </row>
    <row r="539" spans="1:1" x14ac:dyDescent="0.3">
      <c r="A539" s="10" t="s">
        <v>3601</v>
      </c>
    </row>
    <row r="540" spans="1:1" x14ac:dyDescent="0.3">
      <c r="A540" s="10" t="s">
        <v>3602</v>
      </c>
    </row>
    <row r="541" spans="1:1" x14ac:dyDescent="0.3">
      <c r="A541" s="5" t="s">
        <v>3603</v>
      </c>
    </row>
    <row r="542" spans="1:1" x14ac:dyDescent="0.3">
      <c r="A542" s="5" t="s">
        <v>3604</v>
      </c>
    </row>
    <row r="543" spans="1:1" x14ac:dyDescent="0.3">
      <c r="A543" s="5" t="s">
        <v>3605</v>
      </c>
    </row>
    <row r="544" spans="1:1" x14ac:dyDescent="0.3">
      <c r="A544" s="5" t="s">
        <v>108</v>
      </c>
    </row>
    <row r="545" spans="1:1" x14ac:dyDescent="0.3">
      <c r="A545" s="5" t="s">
        <v>3606</v>
      </c>
    </row>
    <row r="546" spans="1:1" x14ac:dyDescent="0.3">
      <c r="A546" s="10" t="s">
        <v>3607</v>
      </c>
    </row>
    <row r="547" spans="1:1" x14ac:dyDescent="0.3">
      <c r="A547" s="5" t="s">
        <v>1171</v>
      </c>
    </row>
    <row r="548" spans="1:1" x14ac:dyDescent="0.3">
      <c r="A548" t="s">
        <v>195</v>
      </c>
    </row>
    <row r="549" spans="1:1" x14ac:dyDescent="0.3">
      <c r="A549" s="5" t="s">
        <v>3608</v>
      </c>
    </row>
    <row r="550" spans="1:1" x14ac:dyDescent="0.3">
      <c r="A550" s="13" t="s">
        <v>3609</v>
      </c>
    </row>
    <row r="551" spans="1:1" x14ac:dyDescent="0.3">
      <c r="A551" s="5" t="s">
        <v>3610</v>
      </c>
    </row>
    <row r="552" spans="1:1" x14ac:dyDescent="0.3">
      <c r="A552" s="5" t="s">
        <v>3611</v>
      </c>
    </row>
    <row r="553" spans="1:1" x14ac:dyDescent="0.3">
      <c r="A553" s="5" t="s">
        <v>3612</v>
      </c>
    </row>
    <row r="554" spans="1:1" x14ac:dyDescent="0.3">
      <c r="A554" s="5" t="s">
        <v>3613</v>
      </c>
    </row>
    <row r="555" spans="1:1" x14ac:dyDescent="0.3">
      <c r="A555" s="5" t="s">
        <v>3614</v>
      </c>
    </row>
    <row r="556" spans="1:1" x14ac:dyDescent="0.3">
      <c r="A556" s="7" t="s">
        <v>3615</v>
      </c>
    </row>
    <row r="557" spans="1:1" x14ac:dyDescent="0.3">
      <c r="A557" s="5" t="s">
        <v>3616</v>
      </c>
    </row>
    <row r="558" spans="1:1" x14ac:dyDescent="0.3">
      <c r="A558" s="10" t="s">
        <v>3617</v>
      </c>
    </row>
    <row r="559" spans="1:1" x14ac:dyDescent="0.3">
      <c r="A559" s="8" t="s">
        <v>3618</v>
      </c>
    </row>
    <row r="560" spans="1:1" x14ac:dyDescent="0.3">
      <c r="A560" s="5" t="s">
        <v>3619</v>
      </c>
    </row>
    <row r="561" spans="1:1" x14ac:dyDescent="0.3">
      <c r="A561" s="7" t="s">
        <v>3620</v>
      </c>
    </row>
    <row r="562" spans="1:1" x14ac:dyDescent="0.3">
      <c r="A562" s="6" t="s">
        <v>3621</v>
      </c>
    </row>
    <row r="563" spans="1:1" x14ac:dyDescent="0.3">
      <c r="A563" s="7" t="s">
        <v>3622</v>
      </c>
    </row>
    <row r="564" spans="1:1" x14ac:dyDescent="0.3">
      <c r="A564" s="5" t="s">
        <v>3623</v>
      </c>
    </row>
    <row r="565" spans="1:1" x14ac:dyDescent="0.3">
      <c r="A565" s="10" t="s">
        <v>3624</v>
      </c>
    </row>
    <row r="566" spans="1:1" x14ac:dyDescent="0.3">
      <c r="A566" s="10" t="s">
        <v>3625</v>
      </c>
    </row>
    <row r="567" spans="1:1" x14ac:dyDescent="0.3">
      <c r="A567" s="5" t="s">
        <v>3626</v>
      </c>
    </row>
    <row r="568" spans="1:1" x14ac:dyDescent="0.3">
      <c r="A568" s="5" t="s">
        <v>3627</v>
      </c>
    </row>
    <row r="569" spans="1:1" x14ac:dyDescent="0.3">
      <c r="A569" s="5" t="s">
        <v>3628</v>
      </c>
    </row>
    <row r="570" spans="1:1" x14ac:dyDescent="0.3">
      <c r="A570" s="10" t="s">
        <v>3629</v>
      </c>
    </row>
    <row r="571" spans="1:1" x14ac:dyDescent="0.3">
      <c r="A571" s="5" t="s">
        <v>3630</v>
      </c>
    </row>
    <row r="572" spans="1:1" x14ac:dyDescent="0.3">
      <c r="A572" s="5" t="s">
        <v>3631</v>
      </c>
    </row>
    <row r="573" spans="1:1" x14ac:dyDescent="0.3">
      <c r="A573" s="5" t="s">
        <v>3632</v>
      </c>
    </row>
    <row r="574" spans="1:1" x14ac:dyDescent="0.3">
      <c r="A574" s="6" t="s">
        <v>3633</v>
      </c>
    </row>
    <row r="575" spans="1:1" x14ac:dyDescent="0.3">
      <c r="A575" s="5" t="s">
        <v>3634</v>
      </c>
    </row>
    <row r="576" spans="1:1" x14ac:dyDescent="0.3">
      <c r="A576" s="5" t="s">
        <v>1772</v>
      </c>
    </row>
    <row r="577" spans="1:1" x14ac:dyDescent="0.3">
      <c r="A577" s="5" t="s">
        <v>3635</v>
      </c>
    </row>
    <row r="578" spans="1:1" x14ac:dyDescent="0.3">
      <c r="A578" s="7" t="s">
        <v>3636</v>
      </c>
    </row>
    <row r="579" spans="1:1" x14ac:dyDescent="0.3">
      <c r="A579" s="5" t="s">
        <v>3637</v>
      </c>
    </row>
    <row r="580" spans="1:1" x14ac:dyDescent="0.3">
      <c r="A580" s="5" t="s">
        <v>3638</v>
      </c>
    </row>
    <row r="581" spans="1:1" x14ac:dyDescent="0.3">
      <c r="A581" s="5" t="s">
        <v>3639</v>
      </c>
    </row>
    <row r="582" spans="1:1" x14ac:dyDescent="0.3">
      <c r="A582" t="s">
        <v>177</v>
      </c>
    </row>
    <row r="583" spans="1:1" x14ac:dyDescent="0.3">
      <c r="A583" s="5" t="s">
        <v>3640</v>
      </c>
    </row>
    <row r="584" spans="1:1" x14ac:dyDescent="0.3">
      <c r="A584" s="5" t="s">
        <v>3641</v>
      </c>
    </row>
    <row r="585" spans="1:1" x14ac:dyDescent="0.3">
      <c r="A585" s="5" t="s">
        <v>3642</v>
      </c>
    </row>
    <row r="586" spans="1:1" x14ac:dyDescent="0.3">
      <c r="A586" s="10" t="s">
        <v>3643</v>
      </c>
    </row>
    <row r="587" spans="1:1" x14ac:dyDescent="0.3">
      <c r="A587" s="5" t="s">
        <v>3644</v>
      </c>
    </row>
    <row r="588" spans="1:1" x14ac:dyDescent="0.3">
      <c r="A588" t="s">
        <v>3645</v>
      </c>
    </row>
    <row r="589" spans="1:1" x14ac:dyDescent="0.3">
      <c r="A589" s="5" t="s">
        <v>62</v>
      </c>
    </row>
    <row r="590" spans="1:1" x14ac:dyDescent="0.3">
      <c r="A590" s="5" t="s">
        <v>3646</v>
      </c>
    </row>
    <row r="591" spans="1:1" x14ac:dyDescent="0.3">
      <c r="A591" s="5" t="s">
        <v>3647</v>
      </c>
    </row>
    <row r="592" spans="1:1" x14ac:dyDescent="0.3">
      <c r="A592" s="5" t="s">
        <v>3648</v>
      </c>
    </row>
    <row r="593" spans="1:1" x14ac:dyDescent="0.3">
      <c r="A593" s="5" t="s">
        <v>3649</v>
      </c>
    </row>
    <row r="594" spans="1:1" x14ac:dyDescent="0.3">
      <c r="A594" s="5" t="s">
        <v>3650</v>
      </c>
    </row>
    <row r="595" spans="1:1" x14ac:dyDescent="0.3">
      <c r="A595" s="5" t="s">
        <v>3651</v>
      </c>
    </row>
    <row r="596" spans="1:1" x14ac:dyDescent="0.3">
      <c r="A596" s="5" t="s">
        <v>3652</v>
      </c>
    </row>
    <row r="597" spans="1:1" x14ac:dyDescent="0.3">
      <c r="A597" s="5" t="s">
        <v>44</v>
      </c>
    </row>
    <row r="598" spans="1:1" x14ac:dyDescent="0.3">
      <c r="A598" s="5" t="s">
        <v>182</v>
      </c>
    </row>
    <row r="599" spans="1:1" x14ac:dyDescent="0.3">
      <c r="A599" t="s">
        <v>953</v>
      </c>
    </row>
    <row r="600" spans="1:1" x14ac:dyDescent="0.3">
      <c r="A600" t="s">
        <v>3653</v>
      </c>
    </row>
    <row r="601" spans="1:1" x14ac:dyDescent="0.3">
      <c r="A601" t="s">
        <v>3056</v>
      </c>
    </row>
    <row r="602" spans="1:1" x14ac:dyDescent="0.3">
      <c r="A602" s="5" t="s">
        <v>725</v>
      </c>
    </row>
    <row r="603" spans="1:1" x14ac:dyDescent="0.3">
      <c r="A603" s="7" t="s">
        <v>3654</v>
      </c>
    </row>
    <row r="604" spans="1:1" x14ac:dyDescent="0.3">
      <c r="A604" s="8" t="s">
        <v>3655</v>
      </c>
    </row>
    <row r="605" spans="1:1" x14ac:dyDescent="0.3">
      <c r="A605" s="5" t="s">
        <v>420</v>
      </c>
    </row>
    <row r="606" spans="1:1" x14ac:dyDescent="0.3">
      <c r="A606" s="5" t="s">
        <v>3656</v>
      </c>
    </row>
    <row r="607" spans="1:1" x14ac:dyDescent="0.3">
      <c r="A607" s="5" t="s">
        <v>3657</v>
      </c>
    </row>
    <row r="608" spans="1:1" x14ac:dyDescent="0.3">
      <c r="A608" s="5" t="s">
        <v>3658</v>
      </c>
    </row>
    <row r="609" spans="1:1" x14ac:dyDescent="0.3">
      <c r="A609" s="12" t="s">
        <v>3659</v>
      </c>
    </row>
    <row r="610" spans="1:1" x14ac:dyDescent="0.3">
      <c r="A610" s="10" t="s">
        <v>3660</v>
      </c>
    </row>
    <row r="611" spans="1:1" x14ac:dyDescent="0.3">
      <c r="A611" s="6" t="s">
        <v>3661</v>
      </c>
    </row>
    <row r="612" spans="1:1" x14ac:dyDescent="0.3">
      <c r="A612" s="5" t="s">
        <v>3662</v>
      </c>
    </row>
    <row r="613" spans="1:1" x14ac:dyDescent="0.3">
      <c r="A613" s="5" t="s">
        <v>356</v>
      </c>
    </row>
    <row r="614" spans="1:1" x14ac:dyDescent="0.3">
      <c r="A614" t="s">
        <v>1074</v>
      </c>
    </row>
    <row r="615" spans="1:1" x14ac:dyDescent="0.3">
      <c r="A615" s="12" t="s">
        <v>3663</v>
      </c>
    </row>
    <row r="616" spans="1:1" x14ac:dyDescent="0.3">
      <c r="A616" s="11" t="s">
        <v>3664</v>
      </c>
    </row>
    <row r="617" spans="1:1" x14ac:dyDescent="0.3">
      <c r="A617" s="5" t="s">
        <v>3665</v>
      </c>
    </row>
    <row r="618" spans="1:1" x14ac:dyDescent="0.3">
      <c r="A618" s="12" t="s">
        <v>3666</v>
      </c>
    </row>
    <row r="619" spans="1:1" x14ac:dyDescent="0.3">
      <c r="A619" s="10" t="s">
        <v>3667</v>
      </c>
    </row>
    <row r="620" spans="1:1" x14ac:dyDescent="0.3">
      <c r="A620" s="11" t="s">
        <v>3668</v>
      </c>
    </row>
    <row r="621" spans="1:1" x14ac:dyDescent="0.3">
      <c r="A621" s="5" t="s">
        <v>3669</v>
      </c>
    </row>
    <row r="622" spans="1:1" x14ac:dyDescent="0.3">
      <c r="A622" s="27" t="s">
        <v>3670</v>
      </c>
    </row>
    <row r="623" spans="1:1" x14ac:dyDescent="0.3">
      <c r="A623" s="12" t="s">
        <v>3671</v>
      </c>
    </row>
    <row r="624" spans="1:1" x14ac:dyDescent="0.3">
      <c r="A624" s="5" t="s">
        <v>3672</v>
      </c>
    </row>
    <row r="625" spans="1:1" x14ac:dyDescent="0.3">
      <c r="A625" s="6" t="s">
        <v>3673</v>
      </c>
    </row>
    <row r="626" spans="1:1" x14ac:dyDescent="0.3">
      <c r="A626" s="5" t="s">
        <v>3674</v>
      </c>
    </row>
    <row r="627" spans="1:1" x14ac:dyDescent="0.3">
      <c r="A627" s="5" t="s">
        <v>3675</v>
      </c>
    </row>
    <row r="628" spans="1:1" x14ac:dyDescent="0.3">
      <c r="A628" s="5" t="s">
        <v>3676</v>
      </c>
    </row>
    <row r="629" spans="1:1" x14ac:dyDescent="0.3">
      <c r="A629" s="5" t="s">
        <v>242</v>
      </c>
    </row>
    <row r="630" spans="1:1" x14ac:dyDescent="0.3">
      <c r="A630" s="5" t="s">
        <v>1022</v>
      </c>
    </row>
    <row r="631" spans="1:1" x14ac:dyDescent="0.3">
      <c r="A631" s="5" t="s">
        <v>3677</v>
      </c>
    </row>
    <row r="632" spans="1:1" x14ac:dyDescent="0.3">
      <c r="A632" s="5" t="s">
        <v>241</v>
      </c>
    </row>
    <row r="633" spans="1:1" x14ac:dyDescent="0.3">
      <c r="A633" s="10" t="s">
        <v>3678</v>
      </c>
    </row>
    <row r="634" spans="1:1" x14ac:dyDescent="0.3">
      <c r="A634" s="5" t="s">
        <v>3679</v>
      </c>
    </row>
    <row r="635" spans="1:1" x14ac:dyDescent="0.3">
      <c r="A635" s="5" t="s">
        <v>3680</v>
      </c>
    </row>
    <row r="636" spans="1:1" x14ac:dyDescent="0.3">
      <c r="A636" s="5" t="s">
        <v>156</v>
      </c>
    </row>
    <row r="637" spans="1:1" x14ac:dyDescent="0.3">
      <c r="A637" s="5" t="s">
        <v>3681</v>
      </c>
    </row>
    <row r="638" spans="1:1" x14ac:dyDescent="0.3">
      <c r="A638" s="5" t="s">
        <v>3682</v>
      </c>
    </row>
    <row r="639" spans="1:1" x14ac:dyDescent="0.3">
      <c r="A639" s="5" t="s">
        <v>3683</v>
      </c>
    </row>
    <row r="640" spans="1:1" x14ac:dyDescent="0.3">
      <c r="A640" t="s">
        <v>30</v>
      </c>
    </row>
    <row r="641" spans="1:1" x14ac:dyDescent="0.3">
      <c r="A641" s="5" t="s">
        <v>3684</v>
      </c>
    </row>
    <row r="642" spans="1:1" x14ac:dyDescent="0.3">
      <c r="A642" s="5" t="s">
        <v>3685</v>
      </c>
    </row>
    <row r="643" spans="1:1" x14ac:dyDescent="0.3">
      <c r="A643" s="5" t="s">
        <v>3686</v>
      </c>
    </row>
    <row r="644" spans="1:1" x14ac:dyDescent="0.3">
      <c r="A644" s="5" t="s">
        <v>3687</v>
      </c>
    </row>
    <row r="645" spans="1:1" x14ac:dyDescent="0.3">
      <c r="A645" s="5" t="s">
        <v>3688</v>
      </c>
    </row>
    <row r="646" spans="1:1" x14ac:dyDescent="0.3">
      <c r="A646" s="5" t="s">
        <v>3689</v>
      </c>
    </row>
    <row r="647" spans="1:1" x14ac:dyDescent="0.3">
      <c r="A647" t="s">
        <v>395</v>
      </c>
    </row>
    <row r="648" spans="1:1" x14ac:dyDescent="0.3">
      <c r="A648" s="5" t="s">
        <v>3690</v>
      </c>
    </row>
    <row r="649" spans="1:1" x14ac:dyDescent="0.3">
      <c r="A649" s="5" t="s">
        <v>3691</v>
      </c>
    </row>
    <row r="650" spans="1:1" x14ac:dyDescent="0.3">
      <c r="A650" t="s">
        <v>1860</v>
      </c>
    </row>
    <row r="651" spans="1:1" x14ac:dyDescent="0.3">
      <c r="A651" s="5" t="s">
        <v>3692</v>
      </c>
    </row>
    <row r="652" spans="1:1" x14ac:dyDescent="0.3">
      <c r="A652" s="5" t="s">
        <v>42</v>
      </c>
    </row>
    <row r="653" spans="1:1" x14ac:dyDescent="0.3">
      <c r="A653" s="5" t="s">
        <v>3693</v>
      </c>
    </row>
    <row r="654" spans="1:1" x14ac:dyDescent="0.3">
      <c r="A654" s="6" t="s">
        <v>3694</v>
      </c>
    </row>
    <row r="655" spans="1:1" x14ac:dyDescent="0.3">
      <c r="A655" s="5" t="s">
        <v>3695</v>
      </c>
    </row>
    <row r="656" spans="1:1" x14ac:dyDescent="0.3">
      <c r="A656" s="7" t="s">
        <v>3696</v>
      </c>
    </row>
    <row r="657" spans="1:1" x14ac:dyDescent="0.3">
      <c r="A657" s="5" t="s">
        <v>3697</v>
      </c>
    </row>
    <row r="658" spans="1:1" x14ac:dyDescent="0.3">
      <c r="A658" s="5" t="s">
        <v>3698</v>
      </c>
    </row>
    <row r="659" spans="1:1" x14ac:dyDescent="0.3">
      <c r="A659" s="5" t="s">
        <v>1458</v>
      </c>
    </row>
    <row r="660" spans="1:1" x14ac:dyDescent="0.3">
      <c r="A660" s="5" t="s">
        <v>3699</v>
      </c>
    </row>
    <row r="661" spans="1:1" x14ac:dyDescent="0.3">
      <c r="A661" s="7" t="s">
        <v>3700</v>
      </c>
    </row>
    <row r="662" spans="1:1" x14ac:dyDescent="0.3">
      <c r="A662" s="5" t="s">
        <v>3701</v>
      </c>
    </row>
    <row r="663" spans="1:1" x14ac:dyDescent="0.3">
      <c r="A663" t="s">
        <v>1865</v>
      </c>
    </row>
    <row r="664" spans="1:1" x14ac:dyDescent="0.3">
      <c r="A664" s="5" t="s">
        <v>3702</v>
      </c>
    </row>
    <row r="665" spans="1:1" x14ac:dyDescent="0.3">
      <c r="A665" s="5" t="s">
        <v>3703</v>
      </c>
    </row>
    <row r="666" spans="1:1" x14ac:dyDescent="0.3">
      <c r="A666" s="5" t="s">
        <v>3704</v>
      </c>
    </row>
    <row r="667" spans="1:1" x14ac:dyDescent="0.3">
      <c r="A667" s="5" t="s">
        <v>3705</v>
      </c>
    </row>
    <row r="668" spans="1:1" x14ac:dyDescent="0.3">
      <c r="A668" s="5" t="s">
        <v>3706</v>
      </c>
    </row>
    <row r="669" spans="1:1" x14ac:dyDescent="0.3">
      <c r="A669" t="s">
        <v>3707</v>
      </c>
    </row>
    <row r="670" spans="1:1" x14ac:dyDescent="0.3">
      <c r="A670" s="5" t="s">
        <v>3708</v>
      </c>
    </row>
    <row r="671" spans="1:1" x14ac:dyDescent="0.3">
      <c r="A671" s="10" t="s">
        <v>3709</v>
      </c>
    </row>
    <row r="672" spans="1:1" x14ac:dyDescent="0.3">
      <c r="A672" s="5" t="s">
        <v>3710</v>
      </c>
    </row>
    <row r="673" spans="1:1" x14ac:dyDescent="0.3">
      <c r="A673" s="5" t="s">
        <v>3711</v>
      </c>
    </row>
    <row r="674" spans="1:1" x14ac:dyDescent="0.3">
      <c r="A674" s="5" t="s">
        <v>3712</v>
      </c>
    </row>
    <row r="675" spans="1:1" x14ac:dyDescent="0.3">
      <c r="A675" s="5" t="s">
        <v>3713</v>
      </c>
    </row>
    <row r="676" spans="1:1" x14ac:dyDescent="0.3">
      <c r="A676" s="5" t="s">
        <v>3714</v>
      </c>
    </row>
    <row r="677" spans="1:1" x14ac:dyDescent="0.3">
      <c r="A677" s="5" t="s">
        <v>3715</v>
      </c>
    </row>
    <row r="678" spans="1:1" x14ac:dyDescent="0.3">
      <c r="A678" s="5" t="s">
        <v>3716</v>
      </c>
    </row>
    <row r="679" spans="1:1" x14ac:dyDescent="0.3">
      <c r="A679" s="7" t="s">
        <v>3717</v>
      </c>
    </row>
    <row r="680" spans="1:1" x14ac:dyDescent="0.3">
      <c r="A680" s="5" t="s">
        <v>3718</v>
      </c>
    </row>
    <row r="681" spans="1:1" x14ac:dyDescent="0.3">
      <c r="A681" s="5" t="s">
        <v>3719</v>
      </c>
    </row>
    <row r="682" spans="1:1" x14ac:dyDescent="0.3">
      <c r="A682" s="10" t="s">
        <v>3720</v>
      </c>
    </row>
    <row r="683" spans="1:1" x14ac:dyDescent="0.3">
      <c r="A683" s="5" t="s">
        <v>665</v>
      </c>
    </row>
    <row r="684" spans="1:1" x14ac:dyDescent="0.3">
      <c r="A684" t="s">
        <v>112</v>
      </c>
    </row>
    <row r="685" spans="1:1" x14ac:dyDescent="0.3">
      <c r="A685" s="5" t="s">
        <v>3721</v>
      </c>
    </row>
    <row r="686" spans="1:1" x14ac:dyDescent="0.3">
      <c r="A686" s="10" t="s">
        <v>3722</v>
      </c>
    </row>
    <row r="687" spans="1:1" x14ac:dyDescent="0.3">
      <c r="A687" t="s">
        <v>3723</v>
      </c>
    </row>
    <row r="688" spans="1:1" x14ac:dyDescent="0.3">
      <c r="A688" s="5" t="s">
        <v>3724</v>
      </c>
    </row>
    <row r="689" spans="1:1" x14ac:dyDescent="0.3">
      <c r="A689" s="5" t="s">
        <v>234</v>
      </c>
    </row>
    <row r="690" spans="1:1" x14ac:dyDescent="0.3">
      <c r="A690" t="s">
        <v>3054</v>
      </c>
    </row>
    <row r="691" spans="1:1" x14ac:dyDescent="0.3">
      <c r="A691" t="s">
        <v>3055</v>
      </c>
    </row>
    <row r="692" spans="1:1" x14ac:dyDescent="0.3">
      <c r="A692" t="s">
        <v>3057</v>
      </c>
    </row>
    <row r="693" spans="1:1" x14ac:dyDescent="0.3">
      <c r="A693" t="s">
        <v>1697</v>
      </c>
    </row>
    <row r="694" spans="1:1" x14ac:dyDescent="0.3">
      <c r="A694" s="5" t="s">
        <v>3725</v>
      </c>
    </row>
    <row r="695" spans="1:1" x14ac:dyDescent="0.3">
      <c r="A695" s="5" t="s">
        <v>214</v>
      </c>
    </row>
    <row r="696" spans="1:1" x14ac:dyDescent="0.3">
      <c r="A696" s="5" t="s">
        <v>3726</v>
      </c>
    </row>
    <row r="697" spans="1:1" x14ac:dyDescent="0.3">
      <c r="A697" s="10" t="s">
        <v>39</v>
      </c>
    </row>
    <row r="698" spans="1:1" x14ac:dyDescent="0.3">
      <c r="A698" s="5" t="s">
        <v>3727</v>
      </c>
    </row>
    <row r="699" spans="1:1" x14ac:dyDescent="0.3">
      <c r="A699" s="5" t="s">
        <v>3728</v>
      </c>
    </row>
    <row r="700" spans="1:1" x14ac:dyDescent="0.3">
      <c r="A700" s="5" t="s">
        <v>3729</v>
      </c>
    </row>
    <row r="701" spans="1:1" x14ac:dyDescent="0.3">
      <c r="A701" s="5" t="s">
        <v>3730</v>
      </c>
    </row>
    <row r="702" spans="1:1" x14ac:dyDescent="0.3">
      <c r="A702" s="5" t="s">
        <v>3731</v>
      </c>
    </row>
    <row r="703" spans="1:1" x14ac:dyDescent="0.3">
      <c r="A703" s="7" t="s">
        <v>3732</v>
      </c>
    </row>
    <row r="704" spans="1:1" x14ac:dyDescent="0.3">
      <c r="A704" s="5" t="s">
        <v>3733</v>
      </c>
    </row>
    <row r="705" spans="1:1" x14ac:dyDescent="0.3">
      <c r="A705" s="5" t="s">
        <v>3734</v>
      </c>
    </row>
    <row r="706" spans="1:1" x14ac:dyDescent="0.3">
      <c r="A706" t="s">
        <v>96</v>
      </c>
    </row>
    <row r="707" spans="1:1" x14ac:dyDescent="0.3">
      <c r="A707" s="5" t="s">
        <v>3735</v>
      </c>
    </row>
    <row r="708" spans="1:1" x14ac:dyDescent="0.3">
      <c r="A708" s="10" t="s">
        <v>3736</v>
      </c>
    </row>
    <row r="709" spans="1:1" x14ac:dyDescent="0.3">
      <c r="A709" s="5" t="s">
        <v>3737</v>
      </c>
    </row>
    <row r="710" spans="1:1" x14ac:dyDescent="0.3">
      <c r="A710" s="5" t="s">
        <v>3738</v>
      </c>
    </row>
    <row r="711" spans="1:1" x14ac:dyDescent="0.3">
      <c r="A711" s="5" t="s">
        <v>3739</v>
      </c>
    </row>
    <row r="712" spans="1:1" x14ac:dyDescent="0.3">
      <c r="A712" s="10" t="s">
        <v>3740</v>
      </c>
    </row>
    <row r="713" spans="1:1" x14ac:dyDescent="0.3">
      <c r="A713" s="5" t="s">
        <v>3741</v>
      </c>
    </row>
    <row r="714" spans="1:1" x14ac:dyDescent="0.3">
      <c r="A714" s="5" t="s">
        <v>3742</v>
      </c>
    </row>
    <row r="715" spans="1:1" x14ac:dyDescent="0.3">
      <c r="A715" s="5" t="s">
        <v>3743</v>
      </c>
    </row>
    <row r="716" spans="1:1" x14ac:dyDescent="0.3">
      <c r="A716" s="5" t="s">
        <v>178</v>
      </c>
    </row>
    <row r="717" spans="1:1" x14ac:dyDescent="0.3">
      <c r="A717" s="5" t="s">
        <v>3744</v>
      </c>
    </row>
    <row r="718" spans="1:1" x14ac:dyDescent="0.3">
      <c r="A718" s="5" t="s">
        <v>3745</v>
      </c>
    </row>
    <row r="719" spans="1:1" x14ac:dyDescent="0.3">
      <c r="A719" s="5" t="s">
        <v>3746</v>
      </c>
    </row>
    <row r="720" spans="1:1" x14ac:dyDescent="0.3">
      <c r="A720" s="5" t="s">
        <v>3747</v>
      </c>
    </row>
    <row r="721" spans="1:1" x14ac:dyDescent="0.3">
      <c r="A721" s="5" t="s">
        <v>3748</v>
      </c>
    </row>
    <row r="722" spans="1:1" x14ac:dyDescent="0.3">
      <c r="A722" s="5" t="s">
        <v>1390</v>
      </c>
    </row>
    <row r="723" spans="1:1" x14ac:dyDescent="0.3">
      <c r="A723" s="5" t="s">
        <v>3749</v>
      </c>
    </row>
    <row r="724" spans="1:1" x14ac:dyDescent="0.3">
      <c r="A724" s="5" t="s">
        <v>1180</v>
      </c>
    </row>
    <row r="725" spans="1:1" x14ac:dyDescent="0.3">
      <c r="A725" s="5" t="s">
        <v>217</v>
      </c>
    </row>
    <row r="726" spans="1:1" x14ac:dyDescent="0.3">
      <c r="A726" s="13" t="s">
        <v>3750</v>
      </c>
    </row>
    <row r="727" spans="1:1" x14ac:dyDescent="0.3">
      <c r="A727" s="5" t="s">
        <v>3751</v>
      </c>
    </row>
    <row r="728" spans="1:1" x14ac:dyDescent="0.3">
      <c r="A728" s="5" t="s">
        <v>444</v>
      </c>
    </row>
    <row r="729" spans="1:1" x14ac:dyDescent="0.3">
      <c r="A729" s="12" t="s">
        <v>3752</v>
      </c>
    </row>
    <row r="730" spans="1:1" x14ac:dyDescent="0.3">
      <c r="A730" s="5" t="s">
        <v>48</v>
      </c>
    </row>
    <row r="731" spans="1:1" x14ac:dyDescent="0.3">
      <c r="A731" s="5" t="s">
        <v>3753</v>
      </c>
    </row>
    <row r="732" spans="1:1" x14ac:dyDescent="0.3">
      <c r="A732" s="7" t="s">
        <v>3754</v>
      </c>
    </row>
    <row r="733" spans="1:1" x14ac:dyDescent="0.3">
      <c r="A733" s="5" t="s">
        <v>3755</v>
      </c>
    </row>
    <row r="734" spans="1:1" x14ac:dyDescent="0.3">
      <c r="A734" s="5" t="s">
        <v>3756</v>
      </c>
    </row>
    <row r="735" spans="1:1" x14ac:dyDescent="0.3">
      <c r="A735" s="5" t="s">
        <v>35</v>
      </c>
    </row>
    <row r="736" spans="1:1" x14ac:dyDescent="0.3">
      <c r="A736" t="s">
        <v>460</v>
      </c>
    </row>
    <row r="737" spans="1:1" x14ac:dyDescent="0.3">
      <c r="A737" s="5" t="s">
        <v>3757</v>
      </c>
    </row>
    <row r="738" spans="1:1" x14ac:dyDescent="0.3">
      <c r="A738" s="5" t="s">
        <v>3758</v>
      </c>
    </row>
    <row r="739" spans="1:1" x14ac:dyDescent="0.3">
      <c r="A739" s="10" t="s">
        <v>3759</v>
      </c>
    </row>
    <row r="740" spans="1:1" x14ac:dyDescent="0.3">
      <c r="A740" s="5" t="s">
        <v>3760</v>
      </c>
    </row>
    <row r="741" spans="1:1" x14ac:dyDescent="0.3">
      <c r="A741" s="5" t="s">
        <v>3761</v>
      </c>
    </row>
    <row r="742" spans="1:1" x14ac:dyDescent="0.3">
      <c r="A742" s="5" t="s">
        <v>3762</v>
      </c>
    </row>
    <row r="743" spans="1:1" x14ac:dyDescent="0.3">
      <c r="A743" s="5" t="s">
        <v>3763</v>
      </c>
    </row>
    <row r="744" spans="1:1" x14ac:dyDescent="0.3">
      <c r="A744" s="5" t="s">
        <v>3764</v>
      </c>
    </row>
    <row r="745" spans="1:1" x14ac:dyDescent="0.3">
      <c r="A745" s="10" t="s">
        <v>3765</v>
      </c>
    </row>
    <row r="746" spans="1:1" x14ac:dyDescent="0.3">
      <c r="A746" s="5" t="s">
        <v>1021</v>
      </c>
    </row>
    <row r="747" spans="1:1" x14ac:dyDescent="0.3">
      <c r="A747" s="5" t="s">
        <v>3766</v>
      </c>
    </row>
    <row r="748" spans="1:1" x14ac:dyDescent="0.3">
      <c r="A748" s="10" t="s">
        <v>3767</v>
      </c>
    </row>
    <row r="749" spans="1:1" x14ac:dyDescent="0.3">
      <c r="A749" s="5" t="s">
        <v>3768</v>
      </c>
    </row>
    <row r="750" spans="1:1" x14ac:dyDescent="0.3">
      <c r="A750" s="5" t="s">
        <v>3769</v>
      </c>
    </row>
    <row r="751" spans="1:1" x14ac:dyDescent="0.3">
      <c r="A751" s="7" t="s">
        <v>3770</v>
      </c>
    </row>
    <row r="752" spans="1:1" x14ac:dyDescent="0.3">
      <c r="A752" s="10" t="s">
        <v>3771</v>
      </c>
    </row>
    <row r="753" spans="1:1" x14ac:dyDescent="0.3">
      <c r="A753" s="10" t="s">
        <v>3772</v>
      </c>
    </row>
    <row r="754" spans="1:1" x14ac:dyDescent="0.3">
      <c r="A754" s="7" t="s">
        <v>3773</v>
      </c>
    </row>
    <row r="755" spans="1:1" x14ac:dyDescent="0.3">
      <c r="A755" s="5" t="s">
        <v>3774</v>
      </c>
    </row>
    <row r="756" spans="1:1" x14ac:dyDescent="0.3">
      <c r="A756" t="s">
        <v>483</v>
      </c>
    </row>
    <row r="757" spans="1:1" x14ac:dyDescent="0.3">
      <c r="A757" s="10" t="s">
        <v>3775</v>
      </c>
    </row>
    <row r="758" spans="1:1" x14ac:dyDescent="0.3">
      <c r="A758" s="5" t="s">
        <v>3776</v>
      </c>
    </row>
    <row r="759" spans="1:1" x14ac:dyDescent="0.3">
      <c r="A759" s="5" t="s">
        <v>3777</v>
      </c>
    </row>
    <row r="760" spans="1:1" x14ac:dyDescent="0.3">
      <c r="A760" s="5" t="s">
        <v>3778</v>
      </c>
    </row>
    <row r="761" spans="1:1" x14ac:dyDescent="0.3">
      <c r="A761" s="5" t="s">
        <v>3779</v>
      </c>
    </row>
    <row r="762" spans="1:1" x14ac:dyDescent="0.3">
      <c r="A762" s="10" t="s">
        <v>3780</v>
      </c>
    </row>
    <row r="763" spans="1:1" x14ac:dyDescent="0.3">
      <c r="A763" s="10" t="s">
        <v>3781</v>
      </c>
    </row>
    <row r="764" spans="1:1" x14ac:dyDescent="0.3">
      <c r="A764" s="5" t="s">
        <v>3782</v>
      </c>
    </row>
    <row r="765" spans="1:1" x14ac:dyDescent="0.3">
      <c r="A765" s="5" t="s">
        <v>3783</v>
      </c>
    </row>
    <row r="766" spans="1:1" x14ac:dyDescent="0.3">
      <c r="A766" s="10" t="s">
        <v>3784</v>
      </c>
    </row>
    <row r="767" spans="1:1" x14ac:dyDescent="0.3">
      <c r="A767" s="10" t="s">
        <v>3785</v>
      </c>
    </row>
    <row r="768" spans="1:1" x14ac:dyDescent="0.3">
      <c r="A768" s="5" t="s">
        <v>105</v>
      </c>
    </row>
    <row r="769" spans="1:1" x14ac:dyDescent="0.3">
      <c r="A769" s="5" t="s">
        <v>3786</v>
      </c>
    </row>
    <row r="770" spans="1:1" x14ac:dyDescent="0.3">
      <c r="A770" s="5" t="s">
        <v>3787</v>
      </c>
    </row>
    <row r="771" spans="1:1" x14ac:dyDescent="0.3">
      <c r="A771" s="5" t="s">
        <v>423</v>
      </c>
    </row>
    <row r="772" spans="1:1" x14ac:dyDescent="0.3">
      <c r="A772" s="10" t="s">
        <v>3788</v>
      </c>
    </row>
    <row r="773" spans="1:1" x14ac:dyDescent="0.3">
      <c r="A773" s="5" t="s">
        <v>3789</v>
      </c>
    </row>
    <row r="774" spans="1:1" x14ac:dyDescent="0.3">
      <c r="A774" s="5" t="s">
        <v>3790</v>
      </c>
    </row>
    <row r="775" spans="1:1" x14ac:dyDescent="0.3">
      <c r="A775" s="5" t="s">
        <v>3791</v>
      </c>
    </row>
    <row r="776" spans="1:1" x14ac:dyDescent="0.3">
      <c r="A776" s="5" t="s">
        <v>3792</v>
      </c>
    </row>
    <row r="777" spans="1:1" x14ac:dyDescent="0.3">
      <c r="A777" s="5" t="s">
        <v>3793</v>
      </c>
    </row>
    <row r="778" spans="1:1" x14ac:dyDescent="0.3">
      <c r="A778" s="5" t="s">
        <v>3794</v>
      </c>
    </row>
    <row r="779" spans="1:1" x14ac:dyDescent="0.3">
      <c r="A779" s="5" t="s">
        <v>3795</v>
      </c>
    </row>
    <row r="780" spans="1:1" x14ac:dyDescent="0.3">
      <c r="A780" s="5" t="s">
        <v>3796</v>
      </c>
    </row>
    <row r="781" spans="1:1" x14ac:dyDescent="0.3">
      <c r="A781" s="5" t="s">
        <v>3797</v>
      </c>
    </row>
    <row r="782" spans="1:1" x14ac:dyDescent="0.3">
      <c r="A782" s="5" t="s">
        <v>3798</v>
      </c>
    </row>
    <row r="783" spans="1:1" x14ac:dyDescent="0.3">
      <c r="A783" s="5" t="s">
        <v>3799</v>
      </c>
    </row>
    <row r="784" spans="1:1" x14ac:dyDescent="0.3">
      <c r="A784"/>
    </row>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spans="1:1" x14ac:dyDescent="0.3">
      <c r="A913"/>
    </row>
    <row r="914" spans="1:1" x14ac:dyDescent="0.3">
      <c r="A914"/>
    </row>
    <row r="915" spans="1:1" x14ac:dyDescent="0.3">
      <c r="A915"/>
    </row>
    <row r="916" spans="1:1" x14ac:dyDescent="0.3">
      <c r="A916"/>
    </row>
    <row r="917" spans="1:1" x14ac:dyDescent="0.3">
      <c r="A917"/>
    </row>
    <row r="918" spans="1:1" x14ac:dyDescent="0.3">
      <c r="A918"/>
    </row>
    <row r="919" spans="1:1" x14ac:dyDescent="0.3">
      <c r="A919"/>
    </row>
    <row r="920" spans="1:1" x14ac:dyDescent="0.3">
      <c r="A920"/>
    </row>
    <row r="921" spans="1:1" x14ac:dyDescent="0.3">
      <c r="A921"/>
    </row>
    <row r="922" spans="1:1" x14ac:dyDescent="0.3">
      <c r="A922"/>
    </row>
    <row r="923" spans="1:1" x14ac:dyDescent="0.3">
      <c r="A923"/>
    </row>
    <row r="924" spans="1:1" x14ac:dyDescent="0.3">
      <c r="A924"/>
    </row>
    <row r="925" spans="1:1" x14ac:dyDescent="0.3">
      <c r="A925"/>
    </row>
    <row r="926" spans="1:1" x14ac:dyDescent="0.3">
      <c r="A926"/>
    </row>
    <row r="927" spans="1:1" x14ac:dyDescent="0.3">
      <c r="A927"/>
    </row>
    <row r="928" spans="1:1" x14ac:dyDescent="0.3">
      <c r="A928"/>
    </row>
    <row r="929" spans="1:1" x14ac:dyDescent="0.3">
      <c r="A929"/>
    </row>
    <row r="930" spans="1:1" x14ac:dyDescent="0.3">
      <c r="A930"/>
    </row>
    <row r="931" spans="1:1" x14ac:dyDescent="0.3">
      <c r="A931"/>
    </row>
    <row r="932" spans="1:1" x14ac:dyDescent="0.3">
      <c r="A932"/>
    </row>
    <row r="933" spans="1:1" x14ac:dyDescent="0.3">
      <c r="A933"/>
    </row>
    <row r="934" spans="1:1" x14ac:dyDescent="0.3">
      <c r="A934"/>
    </row>
    <row r="935" spans="1:1" x14ac:dyDescent="0.3">
      <c r="A935"/>
    </row>
    <row r="936" spans="1:1" x14ac:dyDescent="0.3">
      <c r="A936"/>
    </row>
    <row r="937" spans="1:1" x14ac:dyDescent="0.3">
      <c r="A937"/>
    </row>
    <row r="938" spans="1:1" x14ac:dyDescent="0.3">
      <c r="A938"/>
    </row>
    <row r="939" spans="1:1" x14ac:dyDescent="0.3">
      <c r="A939"/>
    </row>
    <row r="940" spans="1:1" x14ac:dyDescent="0.3">
      <c r="A940"/>
    </row>
    <row r="941" spans="1:1" x14ac:dyDescent="0.3">
      <c r="A941"/>
    </row>
    <row r="942" spans="1:1" x14ac:dyDescent="0.3">
      <c r="A942"/>
    </row>
    <row r="943" spans="1:1" x14ac:dyDescent="0.3">
      <c r="A943"/>
    </row>
    <row r="944" spans="1:1" x14ac:dyDescent="0.3">
      <c r="A944"/>
    </row>
    <row r="945" spans="1:1" x14ac:dyDescent="0.3">
      <c r="A945"/>
    </row>
    <row r="946" spans="1:1" x14ac:dyDescent="0.3">
      <c r="A946"/>
    </row>
    <row r="947" spans="1:1" x14ac:dyDescent="0.3">
      <c r="A947"/>
    </row>
    <row r="948" spans="1:1" x14ac:dyDescent="0.3">
      <c r="A948"/>
    </row>
    <row r="949" spans="1:1" x14ac:dyDescent="0.3">
      <c r="A949"/>
    </row>
    <row r="950" spans="1:1" x14ac:dyDescent="0.3">
      <c r="A950"/>
    </row>
    <row r="951" spans="1:1" x14ac:dyDescent="0.3">
      <c r="A951"/>
    </row>
    <row r="952" spans="1:1" x14ac:dyDescent="0.3">
      <c r="A952"/>
    </row>
    <row r="953" spans="1:1" x14ac:dyDescent="0.3">
      <c r="A953"/>
    </row>
    <row r="954" spans="1:1" x14ac:dyDescent="0.3">
      <c r="A954"/>
    </row>
    <row r="955" spans="1:1" x14ac:dyDescent="0.3">
      <c r="A955"/>
    </row>
    <row r="956" spans="1:1" x14ac:dyDescent="0.3">
      <c r="A956"/>
    </row>
    <row r="957" spans="1:1" x14ac:dyDescent="0.3">
      <c r="A957"/>
    </row>
    <row r="958" spans="1:1" x14ac:dyDescent="0.3">
      <c r="A958"/>
    </row>
    <row r="959" spans="1:1" x14ac:dyDescent="0.3">
      <c r="A959"/>
    </row>
    <row r="960" spans="1:1" x14ac:dyDescent="0.3">
      <c r="A960"/>
    </row>
    <row r="961" spans="1:1" x14ac:dyDescent="0.3">
      <c r="A961"/>
    </row>
    <row r="962" spans="1:1" x14ac:dyDescent="0.3">
      <c r="A962"/>
    </row>
    <row r="963" spans="1:1" x14ac:dyDescent="0.3">
      <c r="A963"/>
    </row>
    <row r="964" spans="1:1" x14ac:dyDescent="0.3">
      <c r="A964"/>
    </row>
    <row r="965" spans="1:1" x14ac:dyDescent="0.3">
      <c r="A965"/>
    </row>
    <row r="966" spans="1:1" x14ac:dyDescent="0.3">
      <c r="A966"/>
    </row>
    <row r="967" spans="1:1" x14ac:dyDescent="0.3">
      <c r="A967"/>
    </row>
    <row r="968" spans="1:1" x14ac:dyDescent="0.3">
      <c r="A968"/>
    </row>
    <row r="969" spans="1:1" x14ac:dyDescent="0.3">
      <c r="A969"/>
    </row>
    <row r="970" spans="1:1" x14ac:dyDescent="0.3">
      <c r="A970"/>
    </row>
    <row r="971" spans="1:1" x14ac:dyDescent="0.3">
      <c r="A971"/>
    </row>
    <row r="972" spans="1:1" x14ac:dyDescent="0.3">
      <c r="A972"/>
    </row>
    <row r="973" spans="1:1" x14ac:dyDescent="0.3">
      <c r="A973"/>
    </row>
    <row r="974" spans="1:1" x14ac:dyDescent="0.3">
      <c r="A974"/>
    </row>
    <row r="975" spans="1:1" x14ac:dyDescent="0.3">
      <c r="A975"/>
    </row>
    <row r="976" spans="1:1" x14ac:dyDescent="0.3">
      <c r="A976"/>
    </row>
    <row r="977" spans="1:1" x14ac:dyDescent="0.3">
      <c r="A977"/>
    </row>
    <row r="978" spans="1:1" x14ac:dyDescent="0.3">
      <c r="A978"/>
    </row>
    <row r="979" spans="1:1" x14ac:dyDescent="0.3">
      <c r="A979"/>
    </row>
    <row r="980" spans="1:1" x14ac:dyDescent="0.3">
      <c r="A980"/>
    </row>
  </sheetData>
  <sortState xmlns:xlrd2="http://schemas.microsoft.com/office/spreadsheetml/2017/richdata2" ref="A2:A980">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Client Summary</vt:lpstr>
      <vt:lpstr>Billable Staff Summary</vt:lpstr>
      <vt:lpstr>Staff Summary</vt:lpstr>
      <vt:lpstr>TS</vt:lpstr>
      <vt:lpstr>A</vt:lpstr>
      <vt:lpstr>Princess Halili</vt:lpstr>
      <vt:lpstr>Aileen Fajardo</vt:lpstr>
      <vt:lpstr>Rejie Montemor</vt:lpstr>
      <vt:lpstr>Ann Morei Narag</vt:lpstr>
      <vt:lpstr>Master</vt:lpstr>
      <vt:lpstr>Christine Chiu</vt:lpstr>
      <vt:lpstr>Efleda Reyes</vt:lpstr>
      <vt:lpstr>Neeti Gambhir</vt:lpstr>
      <vt:lpstr>Ma Angela Ibanez</vt:lpstr>
      <vt:lpstr>Irish Guia Medel</vt:lpstr>
      <vt:lpstr>Franz Xavier Cruz</vt:lpstr>
      <vt:lpstr>Gerardo Macawile</vt:lpstr>
      <vt:lpstr>Mary Ann Carpio</vt:lpstr>
      <vt:lpstr>PivotTS</vt:lpstr>
      <vt:lpstr>TEMP</vt:lpstr>
      <vt:lpstr>Jeric Rivera</vt:lpstr>
      <vt:lpstr>Jennica Felipe</vt:lpstr>
      <vt:lpstr>Jordan Martinez</vt:lpstr>
      <vt:lpstr>Marie Ann Ticzon</vt:lpstr>
      <vt:lpstr>Rachele Anne Nicdao</vt:lpstr>
      <vt:lpstr>Jimwelle Villon</vt:lpstr>
      <vt:lpstr>Sarah Angelica Medrano</vt:lpstr>
      <vt:lpstr>Lindsay Casero</vt:lpstr>
      <vt:lpstr>Client 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 Jon Arquiza</dc:creator>
  <cp:keywords/>
  <dc:description/>
  <cp:lastModifiedBy>Edward Jon Arquiza</cp:lastModifiedBy>
  <cp:revision/>
  <dcterms:created xsi:type="dcterms:W3CDTF">2023-06-08T02:04:33Z</dcterms:created>
  <dcterms:modified xsi:type="dcterms:W3CDTF">2024-05-24T00:04:46Z</dcterms:modified>
  <cp:category/>
  <cp:contentStatus/>
</cp:coreProperties>
</file>